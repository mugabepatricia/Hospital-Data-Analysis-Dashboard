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202300"/>
  <mc:AlternateContent xmlns:mc="http://schemas.openxmlformats.org/markup-compatibility/2006">
    <mc:Choice Requires="x15">
      <x15ac:absPath xmlns:x15ac="http://schemas.microsoft.com/office/spreadsheetml/2010/11/ac" url="/Users/patriciamugisha/Downloads/Portfolio Projects by me/"/>
    </mc:Choice>
  </mc:AlternateContent>
  <xr:revisionPtr revIDLastSave="0" documentId="8_{0739F455-E482-BF41-820E-ECA3678DA2DB}" xr6:coauthVersionLast="47" xr6:coauthVersionMax="47" xr10:uidLastSave="{00000000-0000-0000-0000-000000000000}"/>
  <bookViews>
    <workbookView xWindow="0" yWindow="0" windowWidth="28800" windowHeight="18000" activeTab="1" xr2:uid="{6C7C8381-D442-C44E-B686-86C705558571}"/>
  </bookViews>
  <sheets>
    <sheet name="Pivot tables" sheetId="4" r:id="rId1"/>
    <sheet name="Dashboard" sheetId="5" r:id="rId2"/>
    <sheet name="Cleaned data" sheetId="2" r:id="rId3"/>
    <sheet name="messy_hospital_dataset" sheetId="1" r:id="rId4"/>
  </sheets>
  <definedNames>
    <definedName name="_xlnm._FilterDatabase" localSheetId="2" hidden="1">'Cleaned data'!$A$1:$Z$1201</definedName>
    <definedName name="NativeTimeline_Admission_date">#N/A</definedName>
    <definedName name="Slicer_Doctor">#N/A</definedName>
    <definedName name="Slicer_gender">#N/A</definedName>
    <definedName name="Slicer_insurance">#N/A</definedName>
    <definedName name="Slicer_payment_status">#N/A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8" i="2" l="1"/>
  <c r="S16" i="2"/>
  <c r="U13" i="2"/>
  <c r="U11" i="2"/>
  <c r="U9" i="2"/>
  <c r="U7" i="2"/>
  <c r="T13" i="2"/>
  <c r="T11" i="2"/>
  <c r="T9" i="2"/>
  <c r="T7" i="2"/>
  <c r="S13" i="2"/>
  <c r="S11" i="2"/>
  <c r="S9" i="2"/>
  <c r="S7"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2" i="2"/>
</calcChain>
</file>

<file path=xl/sharedStrings.xml><?xml version="1.0" encoding="utf-8"?>
<sst xmlns="http://schemas.openxmlformats.org/spreadsheetml/2006/main" count="23798" uniqueCount="2560">
  <si>
    <t>patient_id</t>
  </si>
  <si>
    <t>name</t>
  </si>
  <si>
    <t>gender</t>
  </si>
  <si>
    <t>date_of_birth</t>
  </si>
  <si>
    <t>admission_date</t>
  </si>
  <si>
    <t>discharge_date</t>
  </si>
  <si>
    <t>diagnosis</t>
  </si>
  <si>
    <t>department</t>
  </si>
  <si>
    <t>doctor</t>
  </si>
  <si>
    <t>billing_amount</t>
  </si>
  <si>
    <t>payment_status</t>
  </si>
  <si>
    <t>insurance</t>
  </si>
  <si>
    <t>hospital_branch</t>
  </si>
  <si>
    <t>length_of_stay</t>
  </si>
  <si>
    <t>outcome</t>
  </si>
  <si>
    <t>P-0</t>
  </si>
  <si>
    <t>Sarah Connor</t>
  </si>
  <si>
    <t>M</t>
  </si>
  <si>
    <t>Allergies</t>
  </si>
  <si>
    <t>Cardiology</t>
  </si>
  <si>
    <t>Dr. Smith</t>
  </si>
  <si>
    <t>$161</t>
  </si>
  <si>
    <t>paid</t>
  </si>
  <si>
    <t>No</t>
  </si>
  <si>
    <t>Jinja</t>
  </si>
  <si>
    <t>Recovered</t>
  </si>
  <si>
    <t>P-1</t>
  </si>
  <si>
    <t>Stephen Strange</t>
  </si>
  <si>
    <t>Female</t>
  </si>
  <si>
    <t>Hypertension</t>
  </si>
  <si>
    <t>Endocrinology</t>
  </si>
  <si>
    <t>Dr. Adams</t>
  </si>
  <si>
    <t>418 USD</t>
  </si>
  <si>
    <t>PAID</t>
  </si>
  <si>
    <t>Yes</t>
  </si>
  <si>
    <t>Kampala</t>
  </si>
  <si>
    <t>Referred</t>
  </si>
  <si>
    <t>P-2</t>
  </si>
  <si>
    <t>Chris Evans</t>
  </si>
  <si>
    <t>Other</t>
  </si>
  <si>
    <t>Fracture</t>
  </si>
  <si>
    <t>Dr Strange</t>
  </si>
  <si>
    <t>UGX 4854500</t>
  </si>
  <si>
    <t>Partial</t>
  </si>
  <si>
    <t>P003</t>
  </si>
  <si>
    <t>Peter Parker</t>
  </si>
  <si>
    <t>Diabetes</t>
  </si>
  <si>
    <t>UGX 1851500</t>
  </si>
  <si>
    <t>Paid</t>
  </si>
  <si>
    <t>f</t>
  </si>
  <si>
    <t>Asthma</t>
  </si>
  <si>
    <t>James Bond</t>
  </si>
  <si>
    <t>Pulmonology</t>
  </si>
  <si>
    <t>Dr. Patel</t>
  </si>
  <si>
    <t>UGX 4371500</t>
  </si>
  <si>
    <t>P-6</t>
  </si>
  <si>
    <t>Natasha Romanoff</t>
  </si>
  <si>
    <t>Dr. Lee</t>
  </si>
  <si>
    <t>UGX 3703000</t>
  </si>
  <si>
    <t>Bruce Wayne</t>
  </si>
  <si>
    <t>Typhoid</t>
  </si>
  <si>
    <t>Oncology</t>
  </si>
  <si>
    <t>$465</t>
  </si>
  <si>
    <t>P-8</t>
  </si>
  <si>
    <t>John Doe</t>
  </si>
  <si>
    <t>m</t>
  </si>
  <si>
    <t>General Medicine</t>
  </si>
  <si>
    <t>Dr Smith</t>
  </si>
  <si>
    <t>$1261</t>
  </si>
  <si>
    <t>P009</t>
  </si>
  <si>
    <t>UGX 5005000</t>
  </si>
  <si>
    <t>Unpaid</t>
  </si>
  <si>
    <t>Sinusitis</t>
  </si>
  <si>
    <t>$238</t>
  </si>
  <si>
    <t>Pneumonia</t>
  </si>
  <si>
    <t>Orthopedics</t>
  </si>
  <si>
    <t>Dr.Adams</t>
  </si>
  <si>
    <t>P-12</t>
  </si>
  <si>
    <t>Entebbe</t>
  </si>
  <si>
    <t>P013</t>
  </si>
  <si>
    <t>Jane Smith</t>
  </si>
  <si>
    <t>220 USD</t>
  </si>
  <si>
    <t>Tony Stark</t>
  </si>
  <si>
    <t>Flu</t>
  </si>
  <si>
    <t>P015</t>
  </si>
  <si>
    <t>Scott Lang</t>
  </si>
  <si>
    <t>UGX 4399500</t>
  </si>
  <si>
    <t>David Kim</t>
  </si>
  <si>
    <t>Malaria</t>
  </si>
  <si>
    <t>$1253</t>
  </si>
  <si>
    <t>P017</t>
  </si>
  <si>
    <t>Nancy Drew</t>
  </si>
  <si>
    <t>Male</t>
  </si>
  <si>
    <t>$713</t>
  </si>
  <si>
    <t>P018</t>
  </si>
  <si>
    <t>$204</t>
  </si>
  <si>
    <t>P-19</t>
  </si>
  <si>
    <t>F</t>
  </si>
  <si>
    <t>856 USD</t>
  </si>
  <si>
    <t>P-21</t>
  </si>
  <si>
    <t>Cancer</t>
  </si>
  <si>
    <t>566 USD</t>
  </si>
  <si>
    <t>Clark Kent</t>
  </si>
  <si>
    <t>$178</t>
  </si>
  <si>
    <t>P-23</t>
  </si>
  <si>
    <t>Wanda Maximoff</t>
  </si>
  <si>
    <t>UGX 5110000</t>
  </si>
  <si>
    <t>P-24</t>
  </si>
  <si>
    <t>UGX 1596000</t>
  </si>
  <si>
    <t>P-25</t>
  </si>
  <si>
    <t>UGX 2383500</t>
  </si>
  <si>
    <t>P026</t>
  </si>
  <si>
    <t>599 USD</t>
  </si>
  <si>
    <t>P-27</t>
  </si>
  <si>
    <t>Steve Rogers</t>
  </si>
  <si>
    <t>UGX 4354000</t>
  </si>
  <si>
    <t>UGX 2030000</t>
  </si>
  <si>
    <t>P029</t>
  </si>
  <si>
    <t>Diana Prince</t>
  </si>
  <si>
    <t>TChalla</t>
  </si>
  <si>
    <t>$1434</t>
  </si>
  <si>
    <t>P033</t>
  </si>
  <si>
    <t>$1285</t>
  </si>
  <si>
    <t>P-34</t>
  </si>
  <si>
    <t>$798</t>
  </si>
  <si>
    <t>UGX 969500</t>
  </si>
  <si>
    <t>$665</t>
  </si>
  <si>
    <t>UGX 2093000</t>
  </si>
  <si>
    <t>P-38</t>
  </si>
  <si>
    <t>1197 USD</t>
  </si>
  <si>
    <t>P-39</t>
  </si>
  <si>
    <t>$193</t>
  </si>
  <si>
    <t>P040</t>
  </si>
  <si>
    <t>P041</t>
  </si>
  <si>
    <t>UGX 3521000</t>
  </si>
  <si>
    <t>P-42</t>
  </si>
  <si>
    <t>P-43</t>
  </si>
  <si>
    <t>$391</t>
  </si>
  <si>
    <t>P-45</t>
  </si>
  <si>
    <t>P046</t>
  </si>
  <si>
    <t>Linda White</t>
  </si>
  <si>
    <t>UGX 2156000</t>
  </si>
  <si>
    <t>P-47</t>
  </si>
  <si>
    <t>1224 USD</t>
  </si>
  <si>
    <t>P-48</t>
  </si>
  <si>
    <t>1426 USD</t>
  </si>
  <si>
    <t>UGX 3321500</t>
  </si>
  <si>
    <t>P-50</t>
  </si>
  <si>
    <t>486 USD</t>
  </si>
  <si>
    <t>P052</t>
  </si>
  <si>
    <t>Michael Brown</t>
  </si>
  <si>
    <t>UGX 3073000</t>
  </si>
  <si>
    <t>P-53</t>
  </si>
  <si>
    <t>UGX 749000</t>
  </si>
  <si>
    <t>686 USD</t>
  </si>
  <si>
    <t>P-57</t>
  </si>
  <si>
    <t>UGX 994000</t>
  </si>
  <si>
    <t>388 USD</t>
  </si>
  <si>
    <t>P-59</t>
  </si>
  <si>
    <t>UGX 528500</t>
  </si>
  <si>
    <t>P-60</t>
  </si>
  <si>
    <t>1200 USD</t>
  </si>
  <si>
    <t>P-61</t>
  </si>
  <si>
    <t>858 USD</t>
  </si>
  <si>
    <t>$1414</t>
  </si>
  <si>
    <t>P063</t>
  </si>
  <si>
    <t>UGX 367500</t>
  </si>
  <si>
    <t>P064</t>
  </si>
  <si>
    <t>$962</t>
  </si>
  <si>
    <t>P065</t>
  </si>
  <si>
    <t>$973</t>
  </si>
  <si>
    <t>P066</t>
  </si>
  <si>
    <t>334 USD</t>
  </si>
  <si>
    <t>$286</t>
  </si>
  <si>
    <t>P-68</t>
  </si>
  <si>
    <t>UGX 2586500</t>
  </si>
  <si>
    <t>$647</t>
  </si>
  <si>
    <t>P-71</t>
  </si>
  <si>
    <t>115 USD</t>
  </si>
  <si>
    <t>P073</t>
  </si>
  <si>
    <t>P-74</t>
  </si>
  <si>
    <t>$841</t>
  </si>
  <si>
    <t>P075</t>
  </si>
  <si>
    <t>UGX 2852500</t>
  </si>
  <si>
    <t>P076</t>
  </si>
  <si>
    <t>UGX 4903500</t>
  </si>
  <si>
    <t>P-77</t>
  </si>
  <si>
    <t>$687</t>
  </si>
  <si>
    <t>P078</t>
  </si>
  <si>
    <t>$803</t>
  </si>
  <si>
    <t>UGX 724500</t>
  </si>
  <si>
    <t>UGX 955500</t>
  </si>
  <si>
    <t>P-81</t>
  </si>
  <si>
    <t>P082</t>
  </si>
  <si>
    <t>432 USD</t>
  </si>
  <si>
    <t>P-83</t>
  </si>
  <si>
    <t>P084</t>
  </si>
  <si>
    <t>$683</t>
  </si>
  <si>
    <t>P085</t>
  </si>
  <si>
    <t>$890</t>
  </si>
  <si>
    <t>P-86</t>
  </si>
  <si>
    <t>$110</t>
  </si>
  <si>
    <t>P-87</t>
  </si>
  <si>
    <t>P-88</t>
  </si>
  <si>
    <t>UGX 962500</t>
  </si>
  <si>
    <t>780 USD</t>
  </si>
  <si>
    <t>P-90</t>
  </si>
  <si>
    <t>$508</t>
  </si>
  <si>
    <t>P-92</t>
  </si>
  <si>
    <t>UGX 4259500</t>
  </si>
  <si>
    <t>$1409</t>
  </si>
  <si>
    <t>P094</t>
  </si>
  <si>
    <t>$884</t>
  </si>
  <si>
    <t>P096</t>
  </si>
  <si>
    <t>UGX 5236000</t>
  </si>
  <si>
    <t>P097</t>
  </si>
  <si>
    <t>UGX 4452000</t>
  </si>
  <si>
    <t>P-99</t>
  </si>
  <si>
    <t>760 USD</t>
  </si>
  <si>
    <t>P-100</t>
  </si>
  <si>
    <t>UGX 4686500</t>
  </si>
  <si>
    <t>P-101</t>
  </si>
  <si>
    <t>$858</t>
  </si>
  <si>
    <t>P103</t>
  </si>
  <si>
    <t>740 USD</t>
  </si>
  <si>
    <t>P-105</t>
  </si>
  <si>
    <t>UGX 4315500</t>
  </si>
  <si>
    <t>P-106</t>
  </si>
  <si>
    <t>UGX 2492000</t>
  </si>
  <si>
    <t>1442 USD</t>
  </si>
  <si>
    <t>P-110</t>
  </si>
  <si>
    <t>UGX 2887500</t>
  </si>
  <si>
    <t>P-112</t>
  </si>
  <si>
    <t>$381</t>
  </si>
  <si>
    <t>P113</t>
  </si>
  <si>
    <t>$460</t>
  </si>
  <si>
    <t>P115</t>
  </si>
  <si>
    <t>P-116</t>
  </si>
  <si>
    <t>P117</t>
  </si>
  <si>
    <t>$1273</t>
  </si>
  <si>
    <t>P118</t>
  </si>
  <si>
    <t>548 USD</t>
  </si>
  <si>
    <t>226 USD</t>
  </si>
  <si>
    <t>P120</t>
  </si>
  <si>
    <t>$1254</t>
  </si>
  <si>
    <t>$1208</t>
  </si>
  <si>
    <t>P122</t>
  </si>
  <si>
    <t>UGX 1302000</t>
  </si>
  <si>
    <t>P123</t>
  </si>
  <si>
    <t>UGX 1459500</t>
  </si>
  <si>
    <t>P124</t>
  </si>
  <si>
    <t>P125</t>
  </si>
  <si>
    <t>224 USD</t>
  </si>
  <si>
    <t>715 USD</t>
  </si>
  <si>
    <t>P-127</t>
  </si>
  <si>
    <t>$490</t>
  </si>
  <si>
    <t>P128</t>
  </si>
  <si>
    <t>UGX 3713500</t>
  </si>
  <si>
    <t>P-130</t>
  </si>
  <si>
    <t>UGX 3927000</t>
  </si>
  <si>
    <t>P131</t>
  </si>
  <si>
    <t>P-132</t>
  </si>
  <si>
    <t>$124</t>
  </si>
  <si>
    <t>P-133</t>
  </si>
  <si>
    <t>$912</t>
  </si>
  <si>
    <t>$450</t>
  </si>
  <si>
    <t>P-135</t>
  </si>
  <si>
    <t>167 USD</t>
  </si>
  <si>
    <t>$386</t>
  </si>
  <si>
    <t>P137</t>
  </si>
  <si>
    <t>P-138</t>
  </si>
  <si>
    <t>$318</t>
  </si>
  <si>
    <t>P139</t>
  </si>
  <si>
    <t>UGX 1015000</t>
  </si>
  <si>
    <t>P-140</t>
  </si>
  <si>
    <t>229 USD</t>
  </si>
  <si>
    <t>P-142</t>
  </si>
  <si>
    <t>P144</t>
  </si>
  <si>
    <t>$836</t>
  </si>
  <si>
    <t>P-145</t>
  </si>
  <si>
    <t>1145 USD</t>
  </si>
  <si>
    <t>P-146</t>
  </si>
  <si>
    <t>UGX 1365000</t>
  </si>
  <si>
    <t>$1427</t>
  </si>
  <si>
    <t>1357 USD</t>
  </si>
  <si>
    <t>P149</t>
  </si>
  <si>
    <t>UGX 3857000</t>
  </si>
  <si>
    <t>UGX 1659000</t>
  </si>
  <si>
    <t>$1368</t>
  </si>
  <si>
    <t>P-152</t>
  </si>
  <si>
    <t>$1257</t>
  </si>
  <si>
    <t>P154</t>
  </si>
  <si>
    <t>585 USD</t>
  </si>
  <si>
    <t>P-155</t>
  </si>
  <si>
    <t>UGX 2422000</t>
  </si>
  <si>
    <t>P156</t>
  </si>
  <si>
    <t>$1291</t>
  </si>
  <si>
    <t>P-158</t>
  </si>
  <si>
    <t>P159</t>
  </si>
  <si>
    <t>UGX 1487500</t>
  </si>
  <si>
    <t>P-160</t>
  </si>
  <si>
    <t>259 USD</t>
  </si>
  <si>
    <t>P-161</t>
  </si>
  <si>
    <t>$309</t>
  </si>
  <si>
    <t>P-162</t>
  </si>
  <si>
    <t>P-163</t>
  </si>
  <si>
    <t>UGX 4704000</t>
  </si>
  <si>
    <t>P-164</t>
  </si>
  <si>
    <t>$1181</t>
  </si>
  <si>
    <t>UGX 3202500</t>
  </si>
  <si>
    <t>P-166</t>
  </si>
  <si>
    <t>UGX 4193000</t>
  </si>
  <si>
    <t>P167</t>
  </si>
  <si>
    <t>$1280</t>
  </si>
  <si>
    <t>P169</t>
  </si>
  <si>
    <t>125 USD</t>
  </si>
  <si>
    <t>P170</t>
  </si>
  <si>
    <t>UGX 4445000</t>
  </si>
  <si>
    <t>P171</t>
  </si>
  <si>
    <t>UGX 1785000</t>
  </si>
  <si>
    <t>P-172</t>
  </si>
  <si>
    <t>UGX 416500</t>
  </si>
  <si>
    <t>P-173</t>
  </si>
  <si>
    <t>UGX 3307500</t>
  </si>
  <si>
    <t>P-174</t>
  </si>
  <si>
    <t>UGX 2688000</t>
  </si>
  <si>
    <t>P175</t>
  </si>
  <si>
    <t>P-176</t>
  </si>
  <si>
    <t>$1151</t>
  </si>
  <si>
    <t>P178</t>
  </si>
  <si>
    <t>$779</t>
  </si>
  <si>
    <t>$404</t>
  </si>
  <si>
    <t>P-180</t>
  </si>
  <si>
    <t>P-181</t>
  </si>
  <si>
    <t>UGX 4144000</t>
  </si>
  <si>
    <t>P182</t>
  </si>
  <si>
    <t>UGX 2628500</t>
  </si>
  <si>
    <t>P183</t>
  </si>
  <si>
    <t>$548</t>
  </si>
  <si>
    <t>P184</t>
  </si>
  <si>
    <t>UGX 4119500</t>
  </si>
  <si>
    <t>P185</t>
  </si>
  <si>
    <t>UGX 4746000</t>
  </si>
  <si>
    <t>P186</t>
  </si>
  <si>
    <t>1116 USD</t>
  </si>
  <si>
    <t>P-187</t>
  </si>
  <si>
    <t>$321</t>
  </si>
  <si>
    <t>UGX 588000</t>
  </si>
  <si>
    <t>P189</t>
  </si>
  <si>
    <t>$209</t>
  </si>
  <si>
    <t>P-190</t>
  </si>
  <si>
    <t>1105 USD</t>
  </si>
  <si>
    <t>P-191</t>
  </si>
  <si>
    <t>P-192</t>
  </si>
  <si>
    <t>$650</t>
  </si>
  <si>
    <t>$712</t>
  </si>
  <si>
    <t>P-194</t>
  </si>
  <si>
    <t>P195</t>
  </si>
  <si>
    <t>P-196</t>
  </si>
  <si>
    <t>P-197</t>
  </si>
  <si>
    <t>UGX 493500</t>
  </si>
  <si>
    <t>P-198</t>
  </si>
  <si>
    <t>282 USD</t>
  </si>
  <si>
    <t>455 USD</t>
  </si>
  <si>
    <t>1487 USD</t>
  </si>
  <si>
    <t>P202</t>
  </si>
  <si>
    <t>UGX 3048500</t>
  </si>
  <si>
    <t>P-203</t>
  </si>
  <si>
    <t>$1086</t>
  </si>
  <si>
    <t>P-204</t>
  </si>
  <si>
    <t>UGX 2467500</t>
  </si>
  <si>
    <t>P-205</t>
  </si>
  <si>
    <t>$701</t>
  </si>
  <si>
    <t>P206</t>
  </si>
  <si>
    <t>UGX 4546500</t>
  </si>
  <si>
    <t>P-207</t>
  </si>
  <si>
    <t>408 USD</t>
  </si>
  <si>
    <t>P208</t>
  </si>
  <si>
    <t>UGX 3587500</t>
  </si>
  <si>
    <t>P209</t>
  </si>
  <si>
    <t>$864</t>
  </si>
  <si>
    <t>P210</t>
  </si>
  <si>
    <t>UGX 675500</t>
  </si>
  <si>
    <t>368 USD</t>
  </si>
  <si>
    <t>P213</t>
  </si>
  <si>
    <t>P215</t>
  </si>
  <si>
    <t>UGX 3622500</t>
  </si>
  <si>
    <t>P216</t>
  </si>
  <si>
    <t>1458 USD</t>
  </si>
  <si>
    <t>P217</t>
  </si>
  <si>
    <t>P218</t>
  </si>
  <si>
    <t>P-219</t>
  </si>
  <si>
    <t>P220</t>
  </si>
  <si>
    <t>UGX 2719500</t>
  </si>
  <si>
    <t>P221</t>
  </si>
  <si>
    <t>P223</t>
  </si>
  <si>
    <t>$938</t>
  </si>
  <si>
    <t>P224</t>
  </si>
  <si>
    <t>$1305</t>
  </si>
  <si>
    <t>$362</t>
  </si>
  <si>
    <t>P-226</t>
  </si>
  <si>
    <t>UGX 4021500</t>
  </si>
  <si>
    <t>P227</t>
  </si>
  <si>
    <t>UGX 4914000</t>
  </si>
  <si>
    <t>P-228</t>
  </si>
  <si>
    <t>215 USD</t>
  </si>
  <si>
    <t>P-229</t>
  </si>
  <si>
    <t>UGX 4991000</t>
  </si>
  <si>
    <t>P231</t>
  </si>
  <si>
    <t>$622</t>
  </si>
  <si>
    <t>$476</t>
  </si>
  <si>
    <t>$1429</t>
  </si>
  <si>
    <t>P-234</t>
  </si>
  <si>
    <t>P-235</t>
  </si>
  <si>
    <t>312 USD</t>
  </si>
  <si>
    <t>P-236</t>
  </si>
  <si>
    <t>$1242</t>
  </si>
  <si>
    <t>UGX 868000</t>
  </si>
  <si>
    <t>P238</t>
  </si>
  <si>
    <t>P-239</t>
  </si>
  <si>
    <t>$1221</t>
  </si>
  <si>
    <t>P240</t>
  </si>
  <si>
    <t>$1474</t>
  </si>
  <si>
    <t>P241</t>
  </si>
  <si>
    <t>386 USD</t>
  </si>
  <si>
    <t>P-244</t>
  </si>
  <si>
    <t>1439 USD</t>
  </si>
  <si>
    <t>1152 USD</t>
  </si>
  <si>
    <t>P246</t>
  </si>
  <si>
    <t>1469 USD</t>
  </si>
  <si>
    <t>P247</t>
  </si>
  <si>
    <t>UGX 906500</t>
  </si>
  <si>
    <t>UGX 1477000</t>
  </si>
  <si>
    <t>P-249</t>
  </si>
  <si>
    <t>1274 USD</t>
  </si>
  <si>
    <t>1086 USD</t>
  </si>
  <si>
    <t>P251</t>
  </si>
  <si>
    <t>$370</t>
  </si>
  <si>
    <t>$366</t>
  </si>
  <si>
    <t>P-254</t>
  </si>
  <si>
    <t>UGX 3402000</t>
  </si>
  <si>
    <t>915 USD</t>
  </si>
  <si>
    <t>P256</t>
  </si>
  <si>
    <t>$991</t>
  </si>
  <si>
    <t>P-257</t>
  </si>
  <si>
    <t>121 USD</t>
  </si>
  <si>
    <t>P-258</t>
  </si>
  <si>
    <t>UGX 3213000</t>
  </si>
  <si>
    <t>P-259</t>
  </si>
  <si>
    <t>P260</t>
  </si>
  <si>
    <t>1090 USD</t>
  </si>
  <si>
    <t>$1197</t>
  </si>
  <si>
    <t>P-262</t>
  </si>
  <si>
    <t>P263</t>
  </si>
  <si>
    <t>$1108</t>
  </si>
  <si>
    <t>P-264</t>
  </si>
  <si>
    <t>$1079</t>
  </si>
  <si>
    <t>UGX 1071000</t>
  </si>
  <si>
    <t>P-267</t>
  </si>
  <si>
    <t>119 USD</t>
  </si>
  <si>
    <t>P-268</t>
  </si>
  <si>
    <t>$434</t>
  </si>
  <si>
    <t>P-269</t>
  </si>
  <si>
    <t>1340 USD</t>
  </si>
  <si>
    <t>P-271</t>
  </si>
  <si>
    <t>147 USD</t>
  </si>
  <si>
    <t>P272</t>
  </si>
  <si>
    <t>$270</t>
  </si>
  <si>
    <t>UGX 5103000</t>
  </si>
  <si>
    <t>P-274</t>
  </si>
  <si>
    <t>UGX 4175500</t>
  </si>
  <si>
    <t>UGX 1326500</t>
  </si>
  <si>
    <t>P277</t>
  </si>
  <si>
    <t>240 USD</t>
  </si>
  <si>
    <t>UGX 1081500</t>
  </si>
  <si>
    <t>P279</t>
  </si>
  <si>
    <t>UGX 574000</t>
  </si>
  <si>
    <t>P280</t>
  </si>
  <si>
    <t>$606</t>
  </si>
  <si>
    <t>P281</t>
  </si>
  <si>
    <t>711 USD</t>
  </si>
  <si>
    <t>P282</t>
  </si>
  <si>
    <t>1073 USD</t>
  </si>
  <si>
    <t>P-283</t>
  </si>
  <si>
    <t>UGX 2618000</t>
  </si>
  <si>
    <t>P284</t>
  </si>
  <si>
    <t>UGX 2842000</t>
  </si>
  <si>
    <t>P285</t>
  </si>
  <si>
    <t>845 USD</t>
  </si>
  <si>
    <t>P286</t>
  </si>
  <si>
    <t>$1449</t>
  </si>
  <si>
    <t>$1340</t>
  </si>
  <si>
    <t>P289</t>
  </si>
  <si>
    <t>UGX 4480000</t>
  </si>
  <si>
    <t>P-290</t>
  </si>
  <si>
    <t>P291</t>
  </si>
  <si>
    <t>133 USD</t>
  </si>
  <si>
    <t>P292</t>
  </si>
  <si>
    <t>611 USD</t>
  </si>
  <si>
    <t>P-293</t>
  </si>
  <si>
    <t>1205 USD</t>
  </si>
  <si>
    <t>$1074</t>
  </si>
  <si>
    <t>1173 USD</t>
  </si>
  <si>
    <t>P-297</t>
  </si>
  <si>
    <t>P298</t>
  </si>
  <si>
    <t>UGX 1144500</t>
  </si>
  <si>
    <t>P299</t>
  </si>
  <si>
    <t>$1178</t>
  </si>
  <si>
    <t>P-300</t>
  </si>
  <si>
    <t>UGX 2534000</t>
  </si>
  <si>
    <t>P-302</t>
  </si>
  <si>
    <t>UGX 4326000</t>
  </si>
  <si>
    <t>P303</t>
  </si>
  <si>
    <t>1210 USD</t>
  </si>
  <si>
    <t>P304</t>
  </si>
  <si>
    <t>$1191</t>
  </si>
  <si>
    <t>UGX 4735500</t>
  </si>
  <si>
    <t>P306</t>
  </si>
  <si>
    <t>381 USD</t>
  </si>
  <si>
    <t>$910</t>
  </si>
  <si>
    <t>P-310</t>
  </si>
  <si>
    <t>763 USD</t>
  </si>
  <si>
    <t>P311</t>
  </si>
  <si>
    <t>1450 USD</t>
  </si>
  <si>
    <t>UGX 4812500</t>
  </si>
  <si>
    <t>P-313</t>
  </si>
  <si>
    <t>1369 USD</t>
  </si>
  <si>
    <t>P314</t>
  </si>
  <si>
    <t>UGX 5166000</t>
  </si>
  <si>
    <t>P315</t>
  </si>
  <si>
    <t>UGX 2317000</t>
  </si>
  <si>
    <t>P-316</t>
  </si>
  <si>
    <t>UGX 4816000</t>
  </si>
  <si>
    <t>P317</t>
  </si>
  <si>
    <t>P318</t>
  </si>
  <si>
    <t>UGX 2737000</t>
  </si>
  <si>
    <t>P-319</t>
  </si>
  <si>
    <t>$947</t>
  </si>
  <si>
    <t>P-320</t>
  </si>
  <si>
    <t>1194 USD</t>
  </si>
  <si>
    <t>P-321</t>
  </si>
  <si>
    <t>UGX 1897000</t>
  </si>
  <si>
    <t>P322</t>
  </si>
  <si>
    <t>770 USD</t>
  </si>
  <si>
    <t>P-323</t>
  </si>
  <si>
    <t>UGX 5071500</t>
  </si>
  <si>
    <t>P324</t>
  </si>
  <si>
    <t>$1246</t>
  </si>
  <si>
    <t>$203</t>
  </si>
  <si>
    <t>P-326</t>
  </si>
  <si>
    <t>UGX 857500</t>
  </si>
  <si>
    <t>P329</t>
  </si>
  <si>
    <t>800 USD</t>
  </si>
  <si>
    <t>P330</t>
  </si>
  <si>
    <t>P331</t>
  </si>
  <si>
    <t>500 USD</t>
  </si>
  <si>
    <t>$208</t>
  </si>
  <si>
    <t>P333</t>
  </si>
  <si>
    <t>1456 USD</t>
  </si>
  <si>
    <t>273 USD</t>
  </si>
  <si>
    <t>P335</t>
  </si>
  <si>
    <t>UGX 2044000</t>
  </si>
  <si>
    <t>P-336</t>
  </si>
  <si>
    <t>UGX 3710000</t>
  </si>
  <si>
    <t>P-338</t>
  </si>
  <si>
    <t>$1378</t>
  </si>
  <si>
    <t>1311 USD</t>
  </si>
  <si>
    <t>P340</t>
  </si>
  <si>
    <t>884 USD</t>
  </si>
  <si>
    <t>P341</t>
  </si>
  <si>
    <t>UGX 1053500</t>
  </si>
  <si>
    <t>P-343</t>
  </si>
  <si>
    <t>$300</t>
  </si>
  <si>
    <t>P344</t>
  </si>
  <si>
    <t>1338 USD</t>
  </si>
  <si>
    <t>$547</t>
  </si>
  <si>
    <t>P-347</t>
  </si>
  <si>
    <t>UGX 1435000</t>
  </si>
  <si>
    <t>UGX 2922500</t>
  </si>
  <si>
    <t>$1020</t>
  </si>
  <si>
    <t>$1101</t>
  </si>
  <si>
    <t>P352</t>
  </si>
  <si>
    <t>1360 USD</t>
  </si>
  <si>
    <t>P-353</t>
  </si>
  <si>
    <t>660 USD</t>
  </si>
  <si>
    <t>P354</t>
  </si>
  <si>
    <t>$467</t>
  </si>
  <si>
    <t>P-355</t>
  </si>
  <si>
    <t>$1123</t>
  </si>
  <si>
    <t>P356</t>
  </si>
  <si>
    <t>330 USD</t>
  </si>
  <si>
    <t>P357</t>
  </si>
  <si>
    <t>207 USD</t>
  </si>
  <si>
    <t>P-358</t>
  </si>
  <si>
    <t>767 USD</t>
  </si>
  <si>
    <t>P359</t>
  </si>
  <si>
    <t>UGX 3125500</t>
  </si>
  <si>
    <t>803 USD</t>
  </si>
  <si>
    <t>P-361</t>
  </si>
  <si>
    <t>976 USD</t>
  </si>
  <si>
    <t>P362</t>
  </si>
  <si>
    <t>$1081</t>
  </si>
  <si>
    <t>P-363</t>
  </si>
  <si>
    <t>P-365</t>
  </si>
  <si>
    <t>P366</t>
  </si>
  <si>
    <t>UGX 3020500</t>
  </si>
  <si>
    <t>P-367</t>
  </si>
  <si>
    <t>P368</t>
  </si>
  <si>
    <t>$1009</t>
  </si>
  <si>
    <t>P-369</t>
  </si>
  <si>
    <t>UGX 1295000</t>
  </si>
  <si>
    <t>P370</t>
  </si>
  <si>
    <t>1464 USD</t>
  </si>
  <si>
    <t>P-371</t>
  </si>
  <si>
    <t>1018 USD</t>
  </si>
  <si>
    <t>P372</t>
  </si>
  <si>
    <t>1465 USD</t>
  </si>
  <si>
    <t>P373</t>
  </si>
  <si>
    <t>$768</t>
  </si>
  <si>
    <t>P374</t>
  </si>
  <si>
    <t>$1339</t>
  </si>
  <si>
    <t>$869</t>
  </si>
  <si>
    <t>P-377</t>
  </si>
  <si>
    <t>UGX 2513000</t>
  </si>
  <si>
    <t>P378</t>
  </si>
  <si>
    <t>P-379</t>
  </si>
  <si>
    <t>UGX 1319500</t>
  </si>
  <si>
    <t>P380</t>
  </si>
  <si>
    <t>UGX 4245500</t>
  </si>
  <si>
    <t>P381</t>
  </si>
  <si>
    <t>309 USD</t>
  </si>
  <si>
    <t>P-382</t>
  </si>
  <si>
    <t>UGX 2583000</t>
  </si>
  <si>
    <t>P-383</t>
  </si>
  <si>
    <t>$970</t>
  </si>
  <si>
    <t>P384</t>
  </si>
  <si>
    <t>$297</t>
  </si>
  <si>
    <t>$302</t>
  </si>
  <si>
    <t>P386</t>
  </si>
  <si>
    <t>UGX 1645000</t>
  </si>
  <si>
    <t>P388</t>
  </si>
  <si>
    <t>P389</t>
  </si>
  <si>
    <t>$927</t>
  </si>
  <si>
    <t>P-390</t>
  </si>
  <si>
    <t>$1031</t>
  </si>
  <si>
    <t>P391</t>
  </si>
  <si>
    <t>$1376</t>
  </si>
  <si>
    <t>P-393</t>
  </si>
  <si>
    <t>UGX 2975000</t>
  </si>
  <si>
    <t>UGX 819000</t>
  </si>
  <si>
    <t>P396</t>
  </si>
  <si>
    <t>UGX 3146500</t>
  </si>
  <si>
    <t>P397</t>
  </si>
  <si>
    <t>254 USD</t>
  </si>
  <si>
    <t>UGX 899500</t>
  </si>
  <si>
    <t>P400</t>
  </si>
  <si>
    <t>UGX 3304000</t>
  </si>
  <si>
    <t>P401</t>
  </si>
  <si>
    <t>513 USD</t>
  </si>
  <si>
    <t>P-402</t>
  </si>
  <si>
    <t>$710</t>
  </si>
  <si>
    <t>P-403</t>
  </si>
  <si>
    <t>UGX 2593500</t>
  </si>
  <si>
    <t>P404</t>
  </si>
  <si>
    <t>UGX 1158500</t>
  </si>
  <si>
    <t>UGX 3363500</t>
  </si>
  <si>
    <t>1429 USD</t>
  </si>
  <si>
    <t>P409</t>
  </si>
  <si>
    <t>872 USD</t>
  </si>
  <si>
    <t>P410</t>
  </si>
  <si>
    <t>$448</t>
  </si>
  <si>
    <t>P411</t>
  </si>
  <si>
    <t>679 USD</t>
  </si>
  <si>
    <t>P413</t>
  </si>
  <si>
    <t>P414</t>
  </si>
  <si>
    <t>P416</t>
  </si>
  <si>
    <t>P417</t>
  </si>
  <si>
    <t>$534</t>
  </si>
  <si>
    <t>P-418</t>
  </si>
  <si>
    <t>P419</t>
  </si>
  <si>
    <t>P420</t>
  </si>
  <si>
    <t>UGX 3447500</t>
  </si>
  <si>
    <t>P-421</t>
  </si>
  <si>
    <t>UGX 1263500</t>
  </si>
  <si>
    <t>P423</t>
  </si>
  <si>
    <t>$267</t>
  </si>
  <si>
    <t>P424</t>
  </si>
  <si>
    <t>483 USD</t>
  </si>
  <si>
    <t>P425</t>
  </si>
  <si>
    <t>154 USD</t>
  </si>
  <si>
    <t>P-427</t>
  </si>
  <si>
    <t>P-428</t>
  </si>
  <si>
    <t>UGX 4322500</t>
  </si>
  <si>
    <t>P-429</t>
  </si>
  <si>
    <t>P430</t>
  </si>
  <si>
    <t>P-431</t>
  </si>
  <si>
    <t>454 USD</t>
  </si>
  <si>
    <t>P432</t>
  </si>
  <si>
    <t>UGX 805000</t>
  </si>
  <si>
    <t>P433</t>
  </si>
  <si>
    <t>$1036</t>
  </si>
  <si>
    <t>P434</t>
  </si>
  <si>
    <t>UGX 2954000</t>
  </si>
  <si>
    <t>P435</t>
  </si>
  <si>
    <t>602 USD</t>
  </si>
  <si>
    <t>$1159</t>
  </si>
  <si>
    <t>P-438</t>
  </si>
  <si>
    <t>UGX 549500</t>
  </si>
  <si>
    <t>P-440</t>
  </si>
  <si>
    <t>P-441</t>
  </si>
  <si>
    <t>$607</t>
  </si>
  <si>
    <t>341 USD</t>
  </si>
  <si>
    <t>P444</t>
  </si>
  <si>
    <t>UGX 3031000</t>
  </si>
  <si>
    <t>$1418</t>
  </si>
  <si>
    <t>P-448</t>
  </si>
  <si>
    <t>UGX 4697000</t>
  </si>
  <si>
    <t>684 USD</t>
  </si>
  <si>
    <t>P-450</t>
  </si>
  <si>
    <t>P-451</t>
  </si>
  <si>
    <t>1124 USD</t>
  </si>
  <si>
    <t>P-453</t>
  </si>
  <si>
    <t>P454</t>
  </si>
  <si>
    <t>351 USD</t>
  </si>
  <si>
    <t>$772</t>
  </si>
  <si>
    <t>P-456</t>
  </si>
  <si>
    <t>P457</t>
  </si>
  <si>
    <t>UGX 5225500</t>
  </si>
  <si>
    <t>P458</t>
  </si>
  <si>
    <t>P459</t>
  </si>
  <si>
    <t>UGX 4098500</t>
  </si>
  <si>
    <t>P-460</t>
  </si>
  <si>
    <t>P461</t>
  </si>
  <si>
    <t>P462</t>
  </si>
  <si>
    <t>UGX 738500</t>
  </si>
  <si>
    <t>P463</t>
  </si>
  <si>
    <t>$1005</t>
  </si>
  <si>
    <t>P-464</t>
  </si>
  <si>
    <t>$976</t>
  </si>
  <si>
    <t>P465</t>
  </si>
  <si>
    <t>UGX 2436000</t>
  </si>
  <si>
    <t>P467</t>
  </si>
  <si>
    <t>UGX 3699500</t>
  </si>
  <si>
    <t>P468</t>
  </si>
  <si>
    <t>P470</t>
  </si>
  <si>
    <t>P471</t>
  </si>
  <si>
    <t>488 USD</t>
  </si>
  <si>
    <t>P-472</t>
  </si>
  <si>
    <t>673 USD</t>
  </si>
  <si>
    <t>P-473</t>
  </si>
  <si>
    <t>P-474</t>
  </si>
  <si>
    <t>P-475</t>
  </si>
  <si>
    <t>UGX 3913000</t>
  </si>
  <si>
    <t>$837</t>
  </si>
  <si>
    <t>UGX 2369500</t>
  </si>
  <si>
    <t>P-478</t>
  </si>
  <si>
    <t>P-479</t>
  </si>
  <si>
    <t>UGX 3930500</t>
  </si>
  <si>
    <t>P-480</t>
  </si>
  <si>
    <t>P481</t>
  </si>
  <si>
    <t>$463</t>
  </si>
  <si>
    <t>P483</t>
  </si>
  <si>
    <t>735 USD</t>
  </si>
  <si>
    <t>$180</t>
  </si>
  <si>
    <t>$475</t>
  </si>
  <si>
    <t>P-486</t>
  </si>
  <si>
    <t>UGX 1102500</t>
  </si>
  <si>
    <t>P487</t>
  </si>
  <si>
    <t>$613</t>
  </si>
  <si>
    <t>P488</t>
  </si>
  <si>
    <t>$1343</t>
  </si>
  <si>
    <t>P489</t>
  </si>
  <si>
    <t>P-490</t>
  </si>
  <si>
    <t>UGX 451500</t>
  </si>
  <si>
    <t>P491</t>
  </si>
  <si>
    <t>347 USD</t>
  </si>
  <si>
    <t>P-492</t>
  </si>
  <si>
    <t>$855</t>
  </si>
  <si>
    <t>P493</t>
  </si>
  <si>
    <t>P-494</t>
  </si>
  <si>
    <t>977 USD</t>
  </si>
  <si>
    <t>$750</t>
  </si>
  <si>
    <t>P496</t>
  </si>
  <si>
    <t>518 USD</t>
  </si>
  <si>
    <t>P-498</t>
  </si>
  <si>
    <t>$1085</t>
  </si>
  <si>
    <t>412 USD</t>
  </si>
  <si>
    <t>P-500</t>
  </si>
  <si>
    <t>UGX 3937500</t>
  </si>
  <si>
    <t>UGX 3475500</t>
  </si>
  <si>
    <t>P-502</t>
  </si>
  <si>
    <t>P503</t>
  </si>
  <si>
    <t>UGX 2159500</t>
  </si>
  <si>
    <t>P504</t>
  </si>
  <si>
    <t>$1107</t>
  </si>
  <si>
    <t>535 USD</t>
  </si>
  <si>
    <t>$666</t>
  </si>
  <si>
    <t>P-507</t>
  </si>
  <si>
    <t>UGX 3041500</t>
  </si>
  <si>
    <t>P-508</t>
  </si>
  <si>
    <t>P510</t>
  </si>
  <si>
    <t>$1133</t>
  </si>
  <si>
    <t>159 USD</t>
  </si>
  <si>
    <t>P-512</t>
  </si>
  <si>
    <t>$1279</t>
  </si>
  <si>
    <t>P-513</t>
  </si>
  <si>
    <t>796 USD</t>
  </si>
  <si>
    <t>P-514</t>
  </si>
  <si>
    <t>1309 USD</t>
  </si>
  <si>
    <t>P515</t>
  </si>
  <si>
    <t>$1462</t>
  </si>
  <si>
    <t>531 USD</t>
  </si>
  <si>
    <t>P517</t>
  </si>
  <si>
    <t>UGX 2376500</t>
  </si>
  <si>
    <t>P518</t>
  </si>
  <si>
    <t>$500</t>
  </si>
  <si>
    <t>P521</t>
  </si>
  <si>
    <t>P522</t>
  </si>
  <si>
    <t>P523</t>
  </si>
  <si>
    <t>$171</t>
  </si>
  <si>
    <t>P-524</t>
  </si>
  <si>
    <t>UGX 2590000</t>
  </si>
  <si>
    <t>P525</t>
  </si>
  <si>
    <t>UGX 1729000</t>
  </si>
  <si>
    <t>UGX 987000</t>
  </si>
  <si>
    <t>P528</t>
  </si>
  <si>
    <t>$1102</t>
  </si>
  <si>
    <t>$630</t>
  </si>
  <si>
    <t>P-530</t>
  </si>
  <si>
    <t>UGX 3706500</t>
  </si>
  <si>
    <t>$1278</t>
  </si>
  <si>
    <t>UGX 4179000</t>
  </si>
  <si>
    <t>P-533</t>
  </si>
  <si>
    <t>$1099</t>
  </si>
  <si>
    <t>P535</t>
  </si>
  <si>
    <t>1183 USD</t>
  </si>
  <si>
    <t>999 USD</t>
  </si>
  <si>
    <t>P537</t>
  </si>
  <si>
    <t>UGX 3783500</t>
  </si>
  <si>
    <t>P-538</t>
  </si>
  <si>
    <t>$1124</t>
  </si>
  <si>
    <t>P-539</t>
  </si>
  <si>
    <t>P-540</t>
  </si>
  <si>
    <t>$921</t>
  </si>
  <si>
    <t>P541</t>
  </si>
  <si>
    <t>UGX 3731000</t>
  </si>
  <si>
    <t>UGX 2940000</t>
  </si>
  <si>
    <t>P544</t>
  </si>
  <si>
    <t>P-545</t>
  </si>
  <si>
    <t>UGX 1274000</t>
  </si>
  <si>
    <t>523 USD</t>
  </si>
  <si>
    <t>P547</t>
  </si>
  <si>
    <t>1192 USD</t>
  </si>
  <si>
    <t>P548</t>
  </si>
  <si>
    <t>UGX 2992500</t>
  </si>
  <si>
    <t>$1446</t>
  </si>
  <si>
    <t>P-551</t>
  </si>
  <si>
    <t>242 USD</t>
  </si>
  <si>
    <t>P552</t>
  </si>
  <si>
    <t>$1419</t>
  </si>
  <si>
    <t>P-553</t>
  </si>
  <si>
    <t>P-554</t>
  </si>
  <si>
    <t>950 USD</t>
  </si>
  <si>
    <t>P555</t>
  </si>
  <si>
    <t>$559</t>
  </si>
  <si>
    <t>P556</t>
  </si>
  <si>
    <t>UGX 2509500</t>
  </si>
  <si>
    <t>P559</t>
  </si>
  <si>
    <t>UGX 472500</t>
  </si>
  <si>
    <t>340 USD</t>
  </si>
  <si>
    <t>P-561</t>
  </si>
  <si>
    <t>$601</t>
  </si>
  <si>
    <t>P562</t>
  </si>
  <si>
    <t>$222</t>
  </si>
  <si>
    <t>356 USD</t>
  </si>
  <si>
    <t>P-564</t>
  </si>
  <si>
    <t>P-565</t>
  </si>
  <si>
    <t>733 USD</t>
  </si>
  <si>
    <t>P566</t>
  </si>
  <si>
    <t>P-567</t>
  </si>
  <si>
    <t>UGX 616000</t>
  </si>
  <si>
    <t>P568</t>
  </si>
  <si>
    <t>$982</t>
  </si>
  <si>
    <t>P569</t>
  </si>
  <si>
    <t>742 USD</t>
  </si>
  <si>
    <t>P-571</t>
  </si>
  <si>
    <t>$1371</t>
  </si>
  <si>
    <t>P572</t>
  </si>
  <si>
    <t>$1052</t>
  </si>
  <si>
    <t>$1030</t>
  </si>
  <si>
    <t>P575</t>
  </si>
  <si>
    <t>1284 USD</t>
  </si>
  <si>
    <t>P577</t>
  </si>
  <si>
    <t>UGX 465500</t>
  </si>
  <si>
    <t>864 USD</t>
  </si>
  <si>
    <t>P-580</t>
  </si>
  <si>
    <t>P-581</t>
  </si>
  <si>
    <t>P584</t>
  </si>
  <si>
    <t>P-585</t>
  </si>
  <si>
    <t>P-586</t>
  </si>
  <si>
    <t>$469</t>
  </si>
  <si>
    <t>P587</t>
  </si>
  <si>
    <t>P-588</t>
  </si>
  <si>
    <t>$621</t>
  </si>
  <si>
    <t>P589</t>
  </si>
  <si>
    <t>P-590</t>
  </si>
  <si>
    <t>UGX 4560500</t>
  </si>
  <si>
    <t>$1395</t>
  </si>
  <si>
    <t>UGX 1680000</t>
  </si>
  <si>
    <t>UGX 3111500</t>
  </si>
  <si>
    <t>P595</t>
  </si>
  <si>
    <t>$924</t>
  </si>
  <si>
    <t>P596</t>
  </si>
  <si>
    <t>UGX 3167500</t>
  </si>
  <si>
    <t>P-597</t>
  </si>
  <si>
    <t>992 USD</t>
  </si>
  <si>
    <t>P-598</t>
  </si>
  <si>
    <t>UGX 3860500</t>
  </si>
  <si>
    <t>P-600</t>
  </si>
  <si>
    <t>1473 USD</t>
  </si>
  <si>
    <t>P-601</t>
  </si>
  <si>
    <t>UGX 1690500</t>
  </si>
  <si>
    <t>P603</t>
  </si>
  <si>
    <t>$857</t>
  </si>
  <si>
    <t>P604</t>
  </si>
  <si>
    <t>$549</t>
  </si>
  <si>
    <t>P-605</t>
  </si>
  <si>
    <t>450 USD</t>
  </si>
  <si>
    <t>P606</t>
  </si>
  <si>
    <t>1032 USD</t>
  </si>
  <si>
    <t>P607</t>
  </si>
  <si>
    <t>P-608</t>
  </si>
  <si>
    <t>UGX 2877000</t>
  </si>
  <si>
    <t>P-609</t>
  </si>
  <si>
    <t>UGX 3437000</t>
  </si>
  <si>
    <t>P610</t>
  </si>
  <si>
    <t>UGX 3339000</t>
  </si>
  <si>
    <t>P-611</t>
  </si>
  <si>
    <t>P612</t>
  </si>
  <si>
    <t>$821</t>
  </si>
  <si>
    <t>P-613</t>
  </si>
  <si>
    <t>UGX 3741500</t>
  </si>
  <si>
    <t>612 USD</t>
  </si>
  <si>
    <t>P-615</t>
  </si>
  <si>
    <t>UGX 3958500</t>
  </si>
  <si>
    <t>P616</t>
  </si>
  <si>
    <t>UGX 4403000</t>
  </si>
  <si>
    <t>P-617</t>
  </si>
  <si>
    <t>P-618</t>
  </si>
  <si>
    <t>UGX 1456000</t>
  </si>
  <si>
    <t>P619</t>
  </si>
  <si>
    <t>P-620</t>
  </si>
  <si>
    <t>1446 USD</t>
  </si>
  <si>
    <t>P621</t>
  </si>
  <si>
    <t>$403</t>
  </si>
  <si>
    <t>832 USD</t>
  </si>
  <si>
    <t>P623</t>
  </si>
  <si>
    <t>P-624</t>
  </si>
  <si>
    <t>425 USD</t>
  </si>
  <si>
    <t>P625</t>
  </si>
  <si>
    <t>P627</t>
  </si>
  <si>
    <t>UGX 4056500</t>
  </si>
  <si>
    <t>P-629</t>
  </si>
  <si>
    <t>1278 USD</t>
  </si>
  <si>
    <t>P630</t>
  </si>
  <si>
    <t>UGX 4270000</t>
  </si>
  <si>
    <t>P-631</t>
  </si>
  <si>
    <t>$313</t>
  </si>
  <si>
    <t>P632</t>
  </si>
  <si>
    <t>120 USD</t>
  </si>
  <si>
    <t>P634</t>
  </si>
  <si>
    <t>P635</t>
  </si>
  <si>
    <t>UGX 2264500</t>
  </si>
  <si>
    <t>P-636</t>
  </si>
  <si>
    <t>$390</t>
  </si>
  <si>
    <t>P638</t>
  </si>
  <si>
    <t>1310 USD</t>
  </si>
  <si>
    <t>P-639</t>
  </si>
  <si>
    <t>UGX 4420500</t>
  </si>
  <si>
    <t>P640</t>
  </si>
  <si>
    <t>UGX 2275000</t>
  </si>
  <si>
    <t>P642</t>
  </si>
  <si>
    <t>$1365</t>
  </si>
  <si>
    <t>P-643</t>
  </si>
  <si>
    <t>UGX 5211500</t>
  </si>
  <si>
    <t>P644</t>
  </si>
  <si>
    <t>P-645</t>
  </si>
  <si>
    <t>317 USD</t>
  </si>
  <si>
    <t>P-646</t>
  </si>
  <si>
    <t>$1180</t>
  </si>
  <si>
    <t>336 USD</t>
  </si>
  <si>
    <t>P-648</t>
  </si>
  <si>
    <t>$441</t>
  </si>
  <si>
    <t>P650</t>
  </si>
  <si>
    <t>923 USD</t>
  </si>
  <si>
    <t>P-651</t>
  </si>
  <si>
    <t>UGX 3472000</t>
  </si>
  <si>
    <t>P-652</t>
  </si>
  <si>
    <t>$672</t>
  </si>
  <si>
    <t>P-653</t>
  </si>
  <si>
    <t>P655</t>
  </si>
  <si>
    <t>P-656</t>
  </si>
  <si>
    <t>$555</t>
  </si>
  <si>
    <t>P-657</t>
  </si>
  <si>
    <t>$1243</t>
  </si>
  <si>
    <t>P-658</t>
  </si>
  <si>
    <t>1157 USD</t>
  </si>
  <si>
    <t>P-659</t>
  </si>
  <si>
    <t>UGX 1638000</t>
  </si>
  <si>
    <t>$937</t>
  </si>
  <si>
    <t>553 USD</t>
  </si>
  <si>
    <t>P-663</t>
  </si>
  <si>
    <t>$1232</t>
  </si>
  <si>
    <t>$141</t>
  </si>
  <si>
    <t>$652</t>
  </si>
  <si>
    <t>UGX 514500</t>
  </si>
  <si>
    <t>P-667</t>
  </si>
  <si>
    <t>P-668</t>
  </si>
  <si>
    <t>$394</t>
  </si>
  <si>
    <t>P669</t>
  </si>
  <si>
    <t>UGX 2579500</t>
  </si>
  <si>
    <t>P670</t>
  </si>
  <si>
    <t>$1089</t>
  </si>
  <si>
    <t>P671</t>
  </si>
  <si>
    <t>UGX 1813000</t>
  </si>
  <si>
    <t>P-673</t>
  </si>
  <si>
    <t>484 USD</t>
  </si>
  <si>
    <t>P675</t>
  </si>
  <si>
    <t>P676</t>
  </si>
  <si>
    <t>$762</t>
  </si>
  <si>
    <t>UGX 4091500</t>
  </si>
  <si>
    <t>P679</t>
  </si>
  <si>
    <t>UGX 1022000</t>
  </si>
  <si>
    <t>P681</t>
  </si>
  <si>
    <t>$344</t>
  </si>
  <si>
    <t>P-683</t>
  </si>
  <si>
    <t>UGX 371000</t>
  </si>
  <si>
    <t>P684</t>
  </si>
  <si>
    <t>$446</t>
  </si>
  <si>
    <t>P685</t>
  </si>
  <si>
    <t>UGX 1354500</t>
  </si>
  <si>
    <t>P686</t>
  </si>
  <si>
    <t>1392 USD</t>
  </si>
  <si>
    <t>P688</t>
  </si>
  <si>
    <t>UGX 4861500</t>
  </si>
  <si>
    <t>P689</t>
  </si>
  <si>
    <t>158 USD</t>
  </si>
  <si>
    <t>P691</t>
  </si>
  <si>
    <t>UGX 1361500</t>
  </si>
  <si>
    <t>P692</t>
  </si>
  <si>
    <t>UGX 4329500</t>
  </si>
  <si>
    <t>P-693</t>
  </si>
  <si>
    <t>751 USD</t>
  </si>
  <si>
    <t>P-694</t>
  </si>
  <si>
    <t>$796</t>
  </si>
  <si>
    <t>P695</t>
  </si>
  <si>
    <t>P-696</t>
  </si>
  <si>
    <t>$676</t>
  </si>
  <si>
    <t>P-699</t>
  </si>
  <si>
    <t>$954</t>
  </si>
  <si>
    <t>P701</t>
  </si>
  <si>
    <t>P-702</t>
  </si>
  <si>
    <t>1068 USD</t>
  </si>
  <si>
    <t>P-703</t>
  </si>
  <si>
    <t>1445 USD</t>
  </si>
  <si>
    <t>P704</t>
  </si>
  <si>
    <t>UGX 4616500</t>
  </si>
  <si>
    <t>$925</t>
  </si>
  <si>
    <t>P706</t>
  </si>
  <si>
    <t>UGX 4823000</t>
  </si>
  <si>
    <t>P-707</t>
  </si>
  <si>
    <t>UGX 4438000</t>
  </si>
  <si>
    <t>903 USD</t>
  </si>
  <si>
    <t>P709</t>
  </si>
  <si>
    <t>P710</t>
  </si>
  <si>
    <t>$1066</t>
  </si>
  <si>
    <t>426 USD</t>
  </si>
  <si>
    <t>P714</t>
  </si>
  <si>
    <t>$1287</t>
  </si>
  <si>
    <t>UGX 2803500</t>
  </si>
  <si>
    <t>P-716</t>
  </si>
  <si>
    <t>P717</t>
  </si>
  <si>
    <t>$1296</t>
  </si>
  <si>
    <t>1093 USD</t>
  </si>
  <si>
    <t>P-719</t>
  </si>
  <si>
    <t>P720</t>
  </si>
  <si>
    <t>$1201</t>
  </si>
  <si>
    <t>P-721</t>
  </si>
  <si>
    <t>$489</t>
  </si>
  <si>
    <t>P-722</t>
  </si>
  <si>
    <t>UGX 3265500</t>
  </si>
  <si>
    <t>P-724</t>
  </si>
  <si>
    <t>P725</t>
  </si>
  <si>
    <t>574 USD</t>
  </si>
  <si>
    <t>P-726</t>
  </si>
  <si>
    <t>UGX 1473500</t>
  </si>
  <si>
    <t>UGX 518000</t>
  </si>
  <si>
    <t>P729</t>
  </si>
  <si>
    <t>P730</t>
  </si>
  <si>
    <t>UGX 878500</t>
  </si>
  <si>
    <t>P-731</t>
  </si>
  <si>
    <t>UGX 836500</t>
  </si>
  <si>
    <t>$237</t>
  </si>
  <si>
    <t>P-734</t>
  </si>
  <si>
    <t>249 USD</t>
  </si>
  <si>
    <t>UGX 1428000</t>
  </si>
  <si>
    <t>P-736</t>
  </si>
  <si>
    <t>180 USD</t>
  </si>
  <si>
    <t>P-737</t>
  </si>
  <si>
    <t>$1000</t>
  </si>
  <si>
    <t>P738</t>
  </si>
  <si>
    <t>$1284</t>
  </si>
  <si>
    <t>609 USD</t>
  </si>
  <si>
    <t>1162 USD</t>
  </si>
  <si>
    <t>P742</t>
  </si>
  <si>
    <t>$1063</t>
  </si>
  <si>
    <t>P-743</t>
  </si>
  <si>
    <t>P744</t>
  </si>
  <si>
    <t>1269 USD</t>
  </si>
  <si>
    <t>P745</t>
  </si>
  <si>
    <t>UGX 3661000</t>
  </si>
  <si>
    <t>P-746</t>
  </si>
  <si>
    <t>587 USD</t>
  </si>
  <si>
    <t>P747</t>
  </si>
  <si>
    <t>UGX 2765000</t>
  </si>
  <si>
    <t>$327</t>
  </si>
  <si>
    <t>134 USD</t>
  </si>
  <si>
    <t>P-750</t>
  </si>
  <si>
    <t>1366 USD</t>
  </si>
  <si>
    <t>UGX 2149000</t>
  </si>
  <si>
    <t>665 USD</t>
  </si>
  <si>
    <t>P753</t>
  </si>
  <si>
    <t>P754</t>
  </si>
  <si>
    <t>$560</t>
  </si>
  <si>
    <t>P-755</t>
  </si>
  <si>
    <t>P-756</t>
  </si>
  <si>
    <t>P757</t>
  </si>
  <si>
    <t>UGX 3829000</t>
  </si>
  <si>
    <t>P761</t>
  </si>
  <si>
    <t>255 USD</t>
  </si>
  <si>
    <t>P763</t>
  </si>
  <si>
    <t>846 USD</t>
  </si>
  <si>
    <t>P-765</t>
  </si>
  <si>
    <t>1420 USD</t>
  </si>
  <si>
    <t>$402</t>
  </si>
  <si>
    <t>P-767</t>
  </si>
  <si>
    <t>UGX 5183500</t>
  </si>
  <si>
    <t>P768</t>
  </si>
  <si>
    <t>P769</t>
  </si>
  <si>
    <t>$1396</t>
  </si>
  <si>
    <t>P771</t>
  </si>
  <si>
    <t>$727</t>
  </si>
  <si>
    <t>P-772</t>
  </si>
  <si>
    <t>P-773</t>
  </si>
  <si>
    <t>1335 USD</t>
  </si>
  <si>
    <t>UGX 647500</t>
  </si>
  <si>
    <t>P775</t>
  </si>
  <si>
    <t>1017 USD</t>
  </si>
  <si>
    <t>P776</t>
  </si>
  <si>
    <t>P-777</t>
  </si>
  <si>
    <t>$820</t>
  </si>
  <si>
    <t>P778</t>
  </si>
  <si>
    <t>$131</t>
  </si>
  <si>
    <t>P779</t>
  </si>
  <si>
    <t>1326 USD</t>
  </si>
  <si>
    <t>UGX 3846500</t>
  </si>
  <si>
    <t>UGX 4196500</t>
  </si>
  <si>
    <t>1119 USD</t>
  </si>
  <si>
    <t>P783</t>
  </si>
  <si>
    <t>184 USD</t>
  </si>
  <si>
    <t>476 USD</t>
  </si>
  <si>
    <t>P-785</t>
  </si>
  <si>
    <t>$1160</t>
  </si>
  <si>
    <t>P786</t>
  </si>
  <si>
    <t>P-787</t>
  </si>
  <si>
    <t>1081 USD</t>
  </si>
  <si>
    <t>P-788</t>
  </si>
  <si>
    <t>1208 USD</t>
  </si>
  <si>
    <t>521 USD</t>
  </si>
  <si>
    <t>P-790</t>
  </si>
  <si>
    <t>UGX 3591000</t>
  </si>
  <si>
    <t>P-791</t>
  </si>
  <si>
    <t>1466 USD</t>
  </si>
  <si>
    <t>P792</t>
  </si>
  <si>
    <t>$233</t>
  </si>
  <si>
    <t>UGX 3752000</t>
  </si>
  <si>
    <t>P794</t>
  </si>
  <si>
    <t>$610</t>
  </si>
  <si>
    <t>UGX 5162500</t>
  </si>
  <si>
    <t>P-796</t>
  </si>
  <si>
    <t>$1113</t>
  </si>
  <si>
    <t>P-797</t>
  </si>
  <si>
    <t>$1475</t>
  </si>
  <si>
    <t>P800</t>
  </si>
  <si>
    <t>P801</t>
  </si>
  <si>
    <t>577 USD</t>
  </si>
  <si>
    <t>$112</t>
  </si>
  <si>
    <t>P-803</t>
  </si>
  <si>
    <t>UGX 4595500</t>
  </si>
  <si>
    <t>$804</t>
  </si>
  <si>
    <t>UGX 3657500</t>
  </si>
  <si>
    <t>1314 USD</t>
  </si>
  <si>
    <t>$1069</t>
  </si>
  <si>
    <t>P-811</t>
  </si>
  <si>
    <t>1395 USD</t>
  </si>
  <si>
    <t>$644</t>
  </si>
  <si>
    <t>P813</t>
  </si>
  <si>
    <t>UGX 1396500</t>
  </si>
  <si>
    <t>P-814</t>
  </si>
  <si>
    <t>$966</t>
  </si>
  <si>
    <t>P815</t>
  </si>
  <si>
    <t>$743</t>
  </si>
  <si>
    <t>855 USD</t>
  </si>
  <si>
    <t>P-817</t>
  </si>
  <si>
    <t>P818</t>
  </si>
  <si>
    <t>P-820</t>
  </si>
  <si>
    <t>$509</t>
  </si>
  <si>
    <t>P821</t>
  </si>
  <si>
    <t>$734</t>
  </si>
  <si>
    <t>$100</t>
  </si>
  <si>
    <t>UGX 892500</t>
  </si>
  <si>
    <t>276 USD</t>
  </si>
  <si>
    <t>$103</t>
  </si>
  <si>
    <t>P-829</t>
  </si>
  <si>
    <t>1228 USD</t>
  </si>
  <si>
    <t>618 USD</t>
  </si>
  <si>
    <t>P-831</t>
  </si>
  <si>
    <t>P-832</t>
  </si>
  <si>
    <t>P-833</t>
  </si>
  <si>
    <t>727 USD</t>
  </si>
  <si>
    <t>P834</t>
  </si>
  <si>
    <t>P-836</t>
  </si>
  <si>
    <t>P-837</t>
  </si>
  <si>
    <t>1024 USD</t>
  </si>
  <si>
    <t>P-838</t>
  </si>
  <si>
    <t>UGX 696500</t>
  </si>
  <si>
    <t>P840</t>
  </si>
  <si>
    <t>P-841</t>
  </si>
  <si>
    <t>$964</t>
  </si>
  <si>
    <t>UGX 5078500</t>
  </si>
  <si>
    <t>P843</t>
  </si>
  <si>
    <t>$900</t>
  </si>
  <si>
    <t>P-844</t>
  </si>
  <si>
    <t>P-845</t>
  </si>
  <si>
    <t>1259 USD</t>
  </si>
  <si>
    <t>P-847</t>
  </si>
  <si>
    <t>$235</t>
  </si>
  <si>
    <t>P-850</t>
  </si>
  <si>
    <t>1291 USD</t>
  </si>
  <si>
    <t>P-851</t>
  </si>
  <si>
    <t>799 USD</t>
  </si>
  <si>
    <t>P-852</t>
  </si>
  <si>
    <t>UGX 1774500</t>
  </si>
  <si>
    <t>UGX 850500</t>
  </si>
  <si>
    <t>P-854</t>
  </si>
  <si>
    <t>572 USD</t>
  </si>
  <si>
    <t>P855</t>
  </si>
  <si>
    <t>UGX 4749500</t>
  </si>
  <si>
    <t>P856</t>
  </si>
  <si>
    <t>P-858</t>
  </si>
  <si>
    <t>524 USD</t>
  </si>
  <si>
    <t>UGX 2821000</t>
  </si>
  <si>
    <t>P860</t>
  </si>
  <si>
    <t>1299 USD</t>
  </si>
  <si>
    <t>P861</t>
  </si>
  <si>
    <t>P862</t>
  </si>
  <si>
    <t>P863</t>
  </si>
  <si>
    <t>325 USD</t>
  </si>
  <si>
    <t>UGX 3251500</t>
  </si>
  <si>
    <t>P866</t>
  </si>
  <si>
    <t>P867</t>
  </si>
  <si>
    <t>$987</t>
  </si>
  <si>
    <t>P869</t>
  </si>
  <si>
    <t>UGX 4375000</t>
  </si>
  <si>
    <t>$1158</t>
  </si>
  <si>
    <t>P-871</t>
  </si>
  <si>
    <t>$502</t>
  </si>
  <si>
    <t>622 USD</t>
  </si>
  <si>
    <t>UGX 3997000</t>
  </si>
  <si>
    <t>P875</t>
  </si>
  <si>
    <t>P-876</t>
  </si>
  <si>
    <t>UGX 2740500</t>
  </si>
  <si>
    <t>P-877</t>
  </si>
  <si>
    <t>P878</t>
  </si>
  <si>
    <t>UGX 1120000</t>
  </si>
  <si>
    <t>793 USD</t>
  </si>
  <si>
    <t>P-881</t>
  </si>
  <si>
    <t>$220</t>
  </si>
  <si>
    <t>P882</t>
  </si>
  <si>
    <t>P885</t>
  </si>
  <si>
    <t>UGX 1407000</t>
  </si>
  <si>
    <t>P-886</t>
  </si>
  <si>
    <t>P-887</t>
  </si>
  <si>
    <t>UGX 4935000</t>
  </si>
  <si>
    <t>P-889</t>
  </si>
  <si>
    <t>UGX 920500</t>
  </si>
  <si>
    <t>P-890</t>
  </si>
  <si>
    <t>$840</t>
  </si>
  <si>
    <t>P891</t>
  </si>
  <si>
    <t>UGX 3584000</t>
  </si>
  <si>
    <t>P-892</t>
  </si>
  <si>
    <t>$137</t>
  </si>
  <si>
    <t>P-893</t>
  </si>
  <si>
    <t>924 USD</t>
  </si>
  <si>
    <t>P-894</t>
  </si>
  <si>
    <t>1027 USD</t>
  </si>
  <si>
    <t>P-895</t>
  </si>
  <si>
    <t>$1249</t>
  </si>
  <si>
    <t>UGX 742000</t>
  </si>
  <si>
    <t>$478</t>
  </si>
  <si>
    <t>P900</t>
  </si>
  <si>
    <t>1063 USD</t>
  </si>
  <si>
    <t>P-901</t>
  </si>
  <si>
    <t>P-903</t>
  </si>
  <si>
    <t>372 USD</t>
  </si>
  <si>
    <t>P-904</t>
  </si>
  <si>
    <t>P-905</t>
  </si>
  <si>
    <t>$995</t>
  </si>
  <si>
    <t>P-906</t>
  </si>
  <si>
    <t>P907</t>
  </si>
  <si>
    <t>P908</t>
  </si>
  <si>
    <t>P-909</t>
  </si>
  <si>
    <t>P-910</t>
  </si>
  <si>
    <t>$256</t>
  </si>
  <si>
    <t>UGX 609000</t>
  </si>
  <si>
    <t>1199 USD</t>
  </si>
  <si>
    <t>P-914</t>
  </si>
  <si>
    <t>UGX 4473000</t>
  </si>
  <si>
    <t>P-915</t>
  </si>
  <si>
    <t>467 USD</t>
  </si>
  <si>
    <t>P-916</t>
  </si>
  <si>
    <t>990 USD</t>
  </si>
  <si>
    <t>P-918</t>
  </si>
  <si>
    <t>UGX 3538500</t>
  </si>
  <si>
    <t>P919</t>
  </si>
  <si>
    <t>$1192</t>
  </si>
  <si>
    <t>P-920</t>
  </si>
  <si>
    <t>$1213</t>
  </si>
  <si>
    <t>$551</t>
  </si>
  <si>
    <t>P-922</t>
  </si>
  <si>
    <t>$155</t>
  </si>
  <si>
    <t>P-923</t>
  </si>
  <si>
    <t>$1338</t>
  </si>
  <si>
    <t>P-924</t>
  </si>
  <si>
    <t>256 USD</t>
  </si>
  <si>
    <t>635 USD</t>
  </si>
  <si>
    <t>P-926</t>
  </si>
  <si>
    <t>$856</t>
  </si>
  <si>
    <t>P927</t>
  </si>
  <si>
    <t>P928</t>
  </si>
  <si>
    <t>P-929</t>
  </si>
  <si>
    <t>704 USD</t>
  </si>
  <si>
    <t>P930</t>
  </si>
  <si>
    <t>$147</t>
  </si>
  <si>
    <t>P-932</t>
  </si>
  <si>
    <t>P-933</t>
  </si>
  <si>
    <t>UGX 2194500</t>
  </si>
  <si>
    <t>P934</t>
  </si>
  <si>
    <t>506 USD</t>
  </si>
  <si>
    <t>P935</t>
  </si>
  <si>
    <t>P-936</t>
  </si>
  <si>
    <t>329 USD</t>
  </si>
  <si>
    <t>P-937</t>
  </si>
  <si>
    <t>808 USD</t>
  </si>
  <si>
    <t>P-938</t>
  </si>
  <si>
    <t>934 USD</t>
  </si>
  <si>
    <t>P939</t>
  </si>
  <si>
    <t>702 USD</t>
  </si>
  <si>
    <t>P-940</t>
  </si>
  <si>
    <t>338 USD</t>
  </si>
  <si>
    <t>P-941</t>
  </si>
  <si>
    <t>$1033</t>
  </si>
  <si>
    <t>969 USD</t>
  </si>
  <si>
    <t>P943</t>
  </si>
  <si>
    <t>P-944</t>
  </si>
  <si>
    <t>UGX 812000</t>
  </si>
  <si>
    <t>P-945</t>
  </si>
  <si>
    <t>498 USD</t>
  </si>
  <si>
    <t>$915</t>
  </si>
  <si>
    <t>P948</t>
  </si>
  <si>
    <t>P-949</t>
  </si>
  <si>
    <t>UGX 3461500</t>
  </si>
  <si>
    <t>P950</t>
  </si>
  <si>
    <t>UGX 2597000</t>
  </si>
  <si>
    <t>P951</t>
  </si>
  <si>
    <t>$102</t>
  </si>
  <si>
    <t>P952</t>
  </si>
  <si>
    <t>$868</t>
  </si>
  <si>
    <t>P953</t>
  </si>
  <si>
    <t>854 USD</t>
  </si>
  <si>
    <t>P-954</t>
  </si>
  <si>
    <t>UGX 1330000</t>
  </si>
  <si>
    <t>P-956</t>
  </si>
  <si>
    <t>$436</t>
  </si>
  <si>
    <t>P957</t>
  </si>
  <si>
    <t>$1016</t>
  </si>
  <si>
    <t>P-958</t>
  </si>
  <si>
    <t>$430</t>
  </si>
  <si>
    <t>1155 USD</t>
  </si>
  <si>
    <t>P-961</t>
  </si>
  <si>
    <t>P962</t>
  </si>
  <si>
    <t>UGX 4858000</t>
  </si>
  <si>
    <t>$456</t>
  </si>
  <si>
    <t>P964</t>
  </si>
  <si>
    <t>424 USD</t>
  </si>
  <si>
    <t>P965</t>
  </si>
  <si>
    <t>$1389</t>
  </si>
  <si>
    <t>501 USD</t>
  </si>
  <si>
    <t>P967</t>
  </si>
  <si>
    <t>415 USD</t>
  </si>
  <si>
    <t>P-968</t>
  </si>
  <si>
    <t>$651</t>
  </si>
  <si>
    <t>UGX 1088500</t>
  </si>
  <si>
    <t>UGX 1942500</t>
  </si>
  <si>
    <t>P972</t>
  </si>
  <si>
    <t>$764</t>
  </si>
  <si>
    <t>P973</t>
  </si>
  <si>
    <t>196 USD</t>
  </si>
  <si>
    <t>P974</t>
  </si>
  <si>
    <t>543 USD</t>
  </si>
  <si>
    <t>P975</t>
  </si>
  <si>
    <t>$406</t>
  </si>
  <si>
    <t>839 USD</t>
  </si>
  <si>
    <t>UGX 2352000</t>
  </si>
  <si>
    <t>P-978</t>
  </si>
  <si>
    <t>1128 USD</t>
  </si>
  <si>
    <t>P979</t>
  </si>
  <si>
    <t>248 USD</t>
  </si>
  <si>
    <t>P980</t>
  </si>
  <si>
    <t>UGX 2523500</t>
  </si>
  <si>
    <t>P981</t>
  </si>
  <si>
    <t>UGX 1277500</t>
  </si>
  <si>
    <t>P-982</t>
  </si>
  <si>
    <t>$1421</t>
  </si>
  <si>
    <t>P-983</t>
  </si>
  <si>
    <t>P-985</t>
  </si>
  <si>
    <t>P-986</t>
  </si>
  <si>
    <t>UGX 889000</t>
  </si>
  <si>
    <t>1109 USD</t>
  </si>
  <si>
    <t>P-988</t>
  </si>
  <si>
    <t>367 USD</t>
  </si>
  <si>
    <t>P-990</t>
  </si>
  <si>
    <t>P-991</t>
  </si>
  <si>
    <t>718 USD</t>
  </si>
  <si>
    <t>P992</t>
  </si>
  <si>
    <t>UGX 1547000</t>
  </si>
  <si>
    <t>P-993</t>
  </si>
  <si>
    <t>$290</t>
  </si>
  <si>
    <t>P994</t>
  </si>
  <si>
    <t>$1479</t>
  </si>
  <si>
    <t>P995</t>
  </si>
  <si>
    <t>$538</t>
  </si>
  <si>
    <t>P996</t>
  </si>
  <si>
    <t>P997</t>
  </si>
  <si>
    <t>$879</t>
  </si>
  <si>
    <t>P998</t>
  </si>
  <si>
    <t>P999</t>
  </si>
  <si>
    <t>P-1000</t>
  </si>
  <si>
    <t>P-1001</t>
  </si>
  <si>
    <t>P-1002</t>
  </si>
  <si>
    <t>P1003</t>
  </si>
  <si>
    <t>P-1004</t>
  </si>
  <si>
    <t>$1049</t>
  </si>
  <si>
    <t>920 USD</t>
  </si>
  <si>
    <t>P1006</t>
  </si>
  <si>
    <t>$346</t>
  </si>
  <si>
    <t>P-1007</t>
  </si>
  <si>
    <t>1174 USD</t>
  </si>
  <si>
    <t>748 USD</t>
  </si>
  <si>
    <t>$999</t>
  </si>
  <si>
    <t>P-1012</t>
  </si>
  <si>
    <t>1452 USD</t>
  </si>
  <si>
    <t>P-1013</t>
  </si>
  <si>
    <t>UGX 4847500</t>
  </si>
  <si>
    <t>P-1014</t>
  </si>
  <si>
    <t>UGX 4200000</t>
  </si>
  <si>
    <t>P1016</t>
  </si>
  <si>
    <t>$878</t>
  </si>
  <si>
    <t>P1017</t>
  </si>
  <si>
    <t>P1018</t>
  </si>
  <si>
    <t>1480 USD</t>
  </si>
  <si>
    <t>P-1019</t>
  </si>
  <si>
    <t>P1022</t>
  </si>
  <si>
    <t>321 USD</t>
  </si>
  <si>
    <t>P1023</t>
  </si>
  <si>
    <t>P-1024</t>
  </si>
  <si>
    <t>$1091</t>
  </si>
  <si>
    <t>P-1025</t>
  </si>
  <si>
    <t>UGX 3773000</t>
  </si>
  <si>
    <t>P1028</t>
  </si>
  <si>
    <t>$357</t>
  </si>
  <si>
    <t>P-1031</t>
  </si>
  <si>
    <t>342 USD</t>
  </si>
  <si>
    <t>$899</t>
  </si>
  <si>
    <t>P1034</t>
  </si>
  <si>
    <t>P1035</t>
  </si>
  <si>
    <t>P1036</t>
  </si>
  <si>
    <t>UGX 4319000</t>
  </si>
  <si>
    <t>P1037</t>
  </si>
  <si>
    <t>UGX 3426500</t>
  </si>
  <si>
    <t>P1038</t>
  </si>
  <si>
    <t>P1039</t>
  </si>
  <si>
    <t>$447</t>
  </si>
  <si>
    <t>P1040</t>
  </si>
  <si>
    <t>UGX 1995000</t>
  </si>
  <si>
    <t>P1041</t>
  </si>
  <si>
    <t>$1153</t>
  </si>
  <si>
    <t>P-1042</t>
  </si>
  <si>
    <t>1368 USD</t>
  </si>
  <si>
    <t>P-1043</t>
  </si>
  <si>
    <t>$174</t>
  </si>
  <si>
    <t>P1045</t>
  </si>
  <si>
    <t>$409</t>
  </si>
  <si>
    <t>P-1046</t>
  </si>
  <si>
    <t>571 USD</t>
  </si>
  <si>
    <t>705 USD</t>
  </si>
  <si>
    <t>P1048</t>
  </si>
  <si>
    <t>1227 USD</t>
  </si>
  <si>
    <t>P-1049</t>
  </si>
  <si>
    <t>UGX 2348500</t>
  </si>
  <si>
    <t>P-1050</t>
  </si>
  <si>
    <t>UGX 3006500</t>
  </si>
  <si>
    <t>P1051</t>
  </si>
  <si>
    <t>852 USD</t>
  </si>
  <si>
    <t>P1052</t>
  </si>
  <si>
    <t>584 USD</t>
  </si>
  <si>
    <t>UGX 2243500</t>
  </si>
  <si>
    <t>1062 USD</t>
  </si>
  <si>
    <t>$959</t>
  </si>
  <si>
    <t>P-1060</t>
  </si>
  <si>
    <t>P1061</t>
  </si>
  <si>
    <t>$1493</t>
  </si>
  <si>
    <t>P1062</t>
  </si>
  <si>
    <t>946 USD</t>
  </si>
  <si>
    <t>P1063</t>
  </si>
  <si>
    <t>$244</t>
  </si>
  <si>
    <t>P-1064</t>
  </si>
  <si>
    <t>UGX 2082500</t>
  </si>
  <si>
    <t>P-1065</t>
  </si>
  <si>
    <t>P1068</t>
  </si>
  <si>
    <t>P-1069</t>
  </si>
  <si>
    <t>UGX 3486000</t>
  </si>
  <si>
    <t>P-1070</t>
  </si>
  <si>
    <t>UGX 4564000</t>
  </si>
  <si>
    <t>P1071</t>
  </si>
  <si>
    <t>$1464</t>
  </si>
  <si>
    <t>P-1072</t>
  </si>
  <si>
    <t>P-1073</t>
  </si>
  <si>
    <t>UGX 4413500</t>
  </si>
  <si>
    <t>P1076</t>
  </si>
  <si>
    <t>$685</t>
  </si>
  <si>
    <t>P-1077</t>
  </si>
  <si>
    <t>$165</t>
  </si>
  <si>
    <t>P-1078</t>
  </si>
  <si>
    <t>1009 USD</t>
  </si>
  <si>
    <t>UGX 3384500</t>
  </si>
  <si>
    <t>150 USD</t>
  </si>
  <si>
    <t>P1081</t>
  </si>
  <si>
    <t>$780</t>
  </si>
  <si>
    <t>P1083</t>
  </si>
  <si>
    <t>1336 USD</t>
  </si>
  <si>
    <t>1076 USD</t>
  </si>
  <si>
    <t>P-1085</t>
  </si>
  <si>
    <t>UGX 3839500</t>
  </si>
  <si>
    <t>P1086</t>
  </si>
  <si>
    <t>$525</t>
  </si>
  <si>
    <t>$787</t>
  </si>
  <si>
    <t>P1088</t>
  </si>
  <si>
    <t>P-1089</t>
  </si>
  <si>
    <t>639 USD</t>
  </si>
  <si>
    <t>P1090</t>
  </si>
  <si>
    <t>UGX 4343500</t>
  </si>
  <si>
    <t>UGX 2173500</t>
  </si>
  <si>
    <t>365 USD</t>
  </si>
  <si>
    <t>UGX 2646000</t>
  </si>
  <si>
    <t>P1094</t>
  </si>
  <si>
    <t>P1095</t>
  </si>
  <si>
    <t>171 USD</t>
  </si>
  <si>
    <t>P-1096</t>
  </si>
  <si>
    <t>P-1097</t>
  </si>
  <si>
    <t>P1098</t>
  </si>
  <si>
    <t>$853</t>
  </si>
  <si>
    <t>P1100</t>
  </si>
  <si>
    <t>732 USD</t>
  </si>
  <si>
    <t>P1101</t>
  </si>
  <si>
    <t>UGX 917000</t>
  </si>
  <si>
    <t>P-1103</t>
  </si>
  <si>
    <t>P1104</t>
  </si>
  <si>
    <t>UGX 2982000</t>
  </si>
  <si>
    <t>UGX 4679500</t>
  </si>
  <si>
    <t>P-1106</t>
  </si>
  <si>
    <t>P-1107</t>
  </si>
  <si>
    <t>UGX 3983000</t>
  </si>
  <si>
    <t>P-1109</t>
  </si>
  <si>
    <t>P-1110</t>
  </si>
  <si>
    <t>P1111</t>
  </si>
  <si>
    <t>1247 USD</t>
  </si>
  <si>
    <t>1080 USD</t>
  </si>
  <si>
    <t>P-1113</t>
  </si>
  <si>
    <t>P-1114</t>
  </si>
  <si>
    <t>$1075</t>
  </si>
  <si>
    <t>P-1115</t>
  </si>
  <si>
    <t>UGX 3419500</t>
  </si>
  <si>
    <t>P-1116</t>
  </si>
  <si>
    <t>UGX 479500</t>
  </si>
  <si>
    <t>P-1117</t>
  </si>
  <si>
    <t>$897</t>
  </si>
  <si>
    <t>P-1119</t>
  </si>
  <si>
    <t>P1120</t>
  </si>
  <si>
    <t>$1300</t>
  </si>
  <si>
    <t>UGX 3185000</t>
  </si>
  <si>
    <t>P-1122</t>
  </si>
  <si>
    <t>$167</t>
  </si>
  <si>
    <t>P1123</t>
  </si>
  <si>
    <t>P-1125</t>
  </si>
  <si>
    <t>UGX 2488500</t>
  </si>
  <si>
    <t>683 USD</t>
  </si>
  <si>
    <t>P-1127</t>
  </si>
  <si>
    <t>UGX 4168500</t>
  </si>
  <si>
    <t>P-1128</t>
  </si>
  <si>
    <t>812 USD</t>
  </si>
  <si>
    <t>P1129</t>
  </si>
  <si>
    <t>1351 USD</t>
  </si>
  <si>
    <t>902 USD</t>
  </si>
  <si>
    <t>P-1131</t>
  </si>
  <si>
    <t>P-1132</t>
  </si>
  <si>
    <t>UGX 1746500</t>
  </si>
  <si>
    <t>P-1133</t>
  </si>
  <si>
    <t>UGX 581000</t>
  </si>
  <si>
    <t>P-1134</t>
  </si>
  <si>
    <t>P1135</t>
  </si>
  <si>
    <t>373 USD</t>
  </si>
  <si>
    <t>$1003</t>
  </si>
  <si>
    <t>$531</t>
  </si>
  <si>
    <t>$239</t>
  </si>
  <si>
    <t>P-1139</t>
  </si>
  <si>
    <t>$1047</t>
  </si>
  <si>
    <t>P-1140</t>
  </si>
  <si>
    <t>P1141</t>
  </si>
  <si>
    <t>401 USD</t>
  </si>
  <si>
    <t>P1142</t>
  </si>
  <si>
    <t>UGX 2037000</t>
  </si>
  <si>
    <t>UGX 1092000</t>
  </si>
  <si>
    <t>P1145</t>
  </si>
  <si>
    <t>$440</t>
  </si>
  <si>
    <t>271 USD</t>
  </si>
  <si>
    <t>P1149</t>
  </si>
  <si>
    <t>UGX 4588500</t>
  </si>
  <si>
    <t>P-1150</t>
  </si>
  <si>
    <t>UGX 2751000</t>
  </si>
  <si>
    <t>P1151</t>
  </si>
  <si>
    <t>559 USD</t>
  </si>
  <si>
    <t>P1152</t>
  </si>
  <si>
    <t>P1153</t>
  </si>
  <si>
    <t>P-1154</t>
  </si>
  <si>
    <t>1448 USD</t>
  </si>
  <si>
    <t>P1155</t>
  </si>
  <si>
    <t>1189 USD</t>
  </si>
  <si>
    <t>P-1156</t>
  </si>
  <si>
    <t>297 USD</t>
  </si>
  <si>
    <t>P1157</t>
  </si>
  <si>
    <t>UGX 1505000</t>
  </si>
  <si>
    <t>P-1158</t>
  </si>
  <si>
    <t>955 USD</t>
  </si>
  <si>
    <t>1478 USD</t>
  </si>
  <si>
    <t>$322</t>
  </si>
  <si>
    <t>P1161</t>
  </si>
  <si>
    <t>UGX 1067500</t>
  </si>
  <si>
    <t>730 USD</t>
  </si>
  <si>
    <t>P-1165</t>
  </si>
  <si>
    <t>UGX 4777500</t>
  </si>
  <si>
    <t>P-1167</t>
  </si>
  <si>
    <t>$1290</t>
  </si>
  <si>
    <t>P-1169</t>
  </si>
  <si>
    <t>1273 USD</t>
  </si>
  <si>
    <t>P-1170</t>
  </si>
  <si>
    <t>P-1171</t>
  </si>
  <si>
    <t>UGX 4347000</t>
  </si>
  <si>
    <t>$163</t>
  </si>
  <si>
    <t>P1173</t>
  </si>
  <si>
    <t>866 USD</t>
  </si>
  <si>
    <t>P1174</t>
  </si>
  <si>
    <t>$355</t>
  </si>
  <si>
    <t>UGX 2681000</t>
  </si>
  <si>
    <t>P1176</t>
  </si>
  <si>
    <t>P1177</t>
  </si>
  <si>
    <t>654 USD</t>
  </si>
  <si>
    <t>P-1178</t>
  </si>
  <si>
    <t>UGX 1176000</t>
  </si>
  <si>
    <t>P1179</t>
  </si>
  <si>
    <t>1065 USD</t>
  </si>
  <si>
    <t>P-1180</t>
  </si>
  <si>
    <t>P1181</t>
  </si>
  <si>
    <t>1167 USD</t>
  </si>
  <si>
    <t>P-1182</t>
  </si>
  <si>
    <t>UGX 798000</t>
  </si>
  <si>
    <t>P-1183</t>
  </si>
  <si>
    <t>911 USD</t>
  </si>
  <si>
    <t>P-1186</t>
  </si>
  <si>
    <t>UGX 3143000</t>
  </si>
  <si>
    <t>P-1187</t>
  </si>
  <si>
    <t>UGX 4441500</t>
  </si>
  <si>
    <t>P1188</t>
  </si>
  <si>
    <t>1206 USD</t>
  </si>
  <si>
    <t>P-1189</t>
  </si>
  <si>
    <t>P-1190</t>
  </si>
  <si>
    <t>$1203</t>
  </si>
  <si>
    <t>P-1191</t>
  </si>
  <si>
    <t>P-1192</t>
  </si>
  <si>
    <t>$908</t>
  </si>
  <si>
    <t>P1193</t>
  </si>
  <si>
    <t>P1194</t>
  </si>
  <si>
    <t>1044 USD</t>
  </si>
  <si>
    <t>823 USD</t>
  </si>
  <si>
    <t>P-1196</t>
  </si>
  <si>
    <t>P1197</t>
  </si>
  <si>
    <t>$1035</t>
  </si>
  <si>
    <t>P1198</t>
  </si>
  <si>
    <t>102 USD</t>
  </si>
  <si>
    <t>Date of Birth</t>
  </si>
  <si>
    <t>Admission date</t>
  </si>
  <si>
    <t>Discharge date</t>
  </si>
  <si>
    <t>Doctor</t>
  </si>
  <si>
    <t>Diagnosis</t>
  </si>
  <si>
    <t>P000</t>
  </si>
  <si>
    <t>P001</t>
  </si>
  <si>
    <t>P002</t>
  </si>
  <si>
    <t>P004</t>
  </si>
  <si>
    <t>P005</t>
  </si>
  <si>
    <t>P006</t>
  </si>
  <si>
    <t>P007</t>
  </si>
  <si>
    <t>P008</t>
  </si>
  <si>
    <t>P010</t>
  </si>
  <si>
    <t>P011</t>
  </si>
  <si>
    <t>P012</t>
  </si>
  <si>
    <t>P014</t>
  </si>
  <si>
    <t>P016</t>
  </si>
  <si>
    <t>P019</t>
  </si>
  <si>
    <t>P020</t>
  </si>
  <si>
    <t>P021</t>
  </si>
  <si>
    <t>P022</t>
  </si>
  <si>
    <t>P023</t>
  </si>
  <si>
    <t>P024</t>
  </si>
  <si>
    <t>P025</t>
  </si>
  <si>
    <t>P027</t>
  </si>
  <si>
    <t>P028</t>
  </si>
  <si>
    <t>P030</t>
  </si>
  <si>
    <t>P031</t>
  </si>
  <si>
    <t>P032</t>
  </si>
  <si>
    <t>P034</t>
  </si>
  <si>
    <t>P035</t>
  </si>
  <si>
    <t>P036</t>
  </si>
  <si>
    <t>P037</t>
  </si>
  <si>
    <t>P038</t>
  </si>
  <si>
    <t>P039</t>
  </si>
  <si>
    <t>P042</t>
  </si>
  <si>
    <t>P043</t>
  </si>
  <si>
    <t>P044</t>
  </si>
  <si>
    <t>P045</t>
  </si>
  <si>
    <t>P047</t>
  </si>
  <si>
    <t>P048</t>
  </si>
  <si>
    <t>P049</t>
  </si>
  <si>
    <t>P050</t>
  </si>
  <si>
    <t>P051</t>
  </si>
  <si>
    <t>P053</t>
  </si>
  <si>
    <t>P054</t>
  </si>
  <si>
    <t>P055</t>
  </si>
  <si>
    <t>P056</t>
  </si>
  <si>
    <t>P057</t>
  </si>
  <si>
    <t>P058</t>
  </si>
  <si>
    <t>P059</t>
  </si>
  <si>
    <t>P060</t>
  </si>
  <si>
    <t>P061</t>
  </si>
  <si>
    <t>P062</t>
  </si>
  <si>
    <t>P067</t>
  </si>
  <si>
    <t>P068</t>
  </si>
  <si>
    <t>P069</t>
  </si>
  <si>
    <t>P070</t>
  </si>
  <si>
    <t>P071</t>
  </si>
  <si>
    <t>P072</t>
  </si>
  <si>
    <t>P074</t>
  </si>
  <si>
    <t>P077</t>
  </si>
  <si>
    <t>P079</t>
  </si>
  <si>
    <t>P080</t>
  </si>
  <si>
    <t>P081</t>
  </si>
  <si>
    <t>P083</t>
  </si>
  <si>
    <t>P086</t>
  </si>
  <si>
    <t>P087</t>
  </si>
  <si>
    <t>P088</t>
  </si>
  <si>
    <t>P089</t>
  </si>
  <si>
    <t>P090</t>
  </si>
  <si>
    <t>P091</t>
  </si>
  <si>
    <t>P092</t>
  </si>
  <si>
    <t>P093</t>
  </si>
  <si>
    <t>P095</t>
  </si>
  <si>
    <t>P098</t>
  </si>
  <si>
    <t>P099</t>
  </si>
  <si>
    <t>P100</t>
  </si>
  <si>
    <t>P101</t>
  </si>
  <si>
    <t>P102</t>
  </si>
  <si>
    <t>P104</t>
  </si>
  <si>
    <t>P105</t>
  </si>
  <si>
    <t>P106</t>
  </si>
  <si>
    <t>P107</t>
  </si>
  <si>
    <t>P108</t>
  </si>
  <si>
    <t>P109</t>
  </si>
  <si>
    <t>P110</t>
  </si>
  <si>
    <t>P111</t>
  </si>
  <si>
    <t>P112</t>
  </si>
  <si>
    <t>P114</t>
  </si>
  <si>
    <t>P116</t>
  </si>
  <si>
    <t>P119</t>
  </si>
  <si>
    <t>P121</t>
  </si>
  <si>
    <t>P126</t>
  </si>
  <si>
    <t>P127</t>
  </si>
  <si>
    <t>P129</t>
  </si>
  <si>
    <t>P130</t>
  </si>
  <si>
    <t>P132</t>
  </si>
  <si>
    <t>P133</t>
  </si>
  <si>
    <t>P134</t>
  </si>
  <si>
    <t>P135</t>
  </si>
  <si>
    <t>P136</t>
  </si>
  <si>
    <t>P138</t>
  </si>
  <si>
    <t>P140</t>
  </si>
  <si>
    <t>P141</t>
  </si>
  <si>
    <t>P142</t>
  </si>
  <si>
    <t>P143</t>
  </si>
  <si>
    <t>P145</t>
  </si>
  <si>
    <t>P146</t>
  </si>
  <si>
    <t>P147</t>
  </si>
  <si>
    <t>P148</t>
  </si>
  <si>
    <t>P150</t>
  </si>
  <si>
    <t>P151</t>
  </si>
  <si>
    <t>P152</t>
  </si>
  <si>
    <t>P153</t>
  </si>
  <si>
    <t>P155</t>
  </si>
  <si>
    <t>P157</t>
  </si>
  <si>
    <t>P158</t>
  </si>
  <si>
    <t>P160</t>
  </si>
  <si>
    <t>P161</t>
  </si>
  <si>
    <t>P162</t>
  </si>
  <si>
    <t>P163</t>
  </si>
  <si>
    <t>P164</t>
  </si>
  <si>
    <t>P165</t>
  </si>
  <si>
    <t>P166</t>
  </si>
  <si>
    <t>P168</t>
  </si>
  <si>
    <t>P172</t>
  </si>
  <si>
    <t>P173</t>
  </si>
  <si>
    <t>P174</t>
  </si>
  <si>
    <t>P176</t>
  </si>
  <si>
    <t>P177</t>
  </si>
  <si>
    <t>P179</t>
  </si>
  <si>
    <t>P180</t>
  </si>
  <si>
    <t>P181</t>
  </si>
  <si>
    <t>P187</t>
  </si>
  <si>
    <t>P188</t>
  </si>
  <si>
    <t>P190</t>
  </si>
  <si>
    <t>P191</t>
  </si>
  <si>
    <t>P192</t>
  </si>
  <si>
    <t>P193</t>
  </si>
  <si>
    <t>P194</t>
  </si>
  <si>
    <t>P196</t>
  </si>
  <si>
    <t>P197</t>
  </si>
  <si>
    <t>P198</t>
  </si>
  <si>
    <t>P199</t>
  </si>
  <si>
    <t>P200</t>
  </si>
  <si>
    <t>P201</t>
  </si>
  <si>
    <t>P203</t>
  </si>
  <si>
    <t>P204</t>
  </si>
  <si>
    <t>P205</t>
  </si>
  <si>
    <t>P207</t>
  </si>
  <si>
    <t>P211</t>
  </si>
  <si>
    <t>P212</t>
  </si>
  <si>
    <t>P214</t>
  </si>
  <si>
    <t>P219</t>
  </si>
  <si>
    <t>P222</t>
  </si>
  <si>
    <t>P225</t>
  </si>
  <si>
    <t>P226</t>
  </si>
  <si>
    <t>P228</t>
  </si>
  <si>
    <t>P229</t>
  </si>
  <si>
    <t>P230</t>
  </si>
  <si>
    <t>P232</t>
  </si>
  <si>
    <t>P233</t>
  </si>
  <si>
    <t>P234</t>
  </si>
  <si>
    <t>P235</t>
  </si>
  <si>
    <t>P236</t>
  </si>
  <si>
    <t>P237</t>
  </si>
  <si>
    <t>P239</t>
  </si>
  <si>
    <t>P242</t>
  </si>
  <si>
    <t>P243</t>
  </si>
  <si>
    <t>P244</t>
  </si>
  <si>
    <t>P245</t>
  </si>
  <si>
    <t>P248</t>
  </si>
  <si>
    <t>P249</t>
  </si>
  <si>
    <t>P250</t>
  </si>
  <si>
    <t>P252</t>
  </si>
  <si>
    <t>P253</t>
  </si>
  <si>
    <t>P254</t>
  </si>
  <si>
    <t>P255</t>
  </si>
  <si>
    <t>P257</t>
  </si>
  <si>
    <t>P258</t>
  </si>
  <si>
    <t>P259</t>
  </si>
  <si>
    <t>P261</t>
  </si>
  <si>
    <t>P262</t>
  </si>
  <si>
    <t>P264</t>
  </si>
  <si>
    <t>P265</t>
  </si>
  <si>
    <t>P266</t>
  </si>
  <si>
    <t>P267</t>
  </si>
  <si>
    <t>P268</t>
  </si>
  <si>
    <t>P269</t>
  </si>
  <si>
    <t>P270</t>
  </si>
  <si>
    <t>P271</t>
  </si>
  <si>
    <t>P273</t>
  </si>
  <si>
    <t>P274</t>
  </si>
  <si>
    <t>P275</t>
  </si>
  <si>
    <t>P276</t>
  </si>
  <si>
    <t>P278</t>
  </si>
  <si>
    <t>P283</t>
  </si>
  <si>
    <t>P287</t>
  </si>
  <si>
    <t>P288</t>
  </si>
  <si>
    <t>P290</t>
  </si>
  <si>
    <t>P293</t>
  </si>
  <si>
    <t>P294</t>
  </si>
  <si>
    <t>P295</t>
  </si>
  <si>
    <t>P296</t>
  </si>
  <si>
    <t>P297</t>
  </si>
  <si>
    <t>P300</t>
  </si>
  <si>
    <t>P301</t>
  </si>
  <si>
    <t>P302</t>
  </si>
  <si>
    <t>P305</t>
  </si>
  <si>
    <t>P307</t>
  </si>
  <si>
    <t>P308</t>
  </si>
  <si>
    <t>P309</t>
  </si>
  <si>
    <t>P310</t>
  </si>
  <si>
    <t>P312</t>
  </si>
  <si>
    <t>P313</t>
  </si>
  <si>
    <t>P316</t>
  </si>
  <si>
    <t>P319</t>
  </si>
  <si>
    <t>P320</t>
  </si>
  <si>
    <t>P321</t>
  </si>
  <si>
    <t>P323</t>
  </si>
  <si>
    <t>P325</t>
  </si>
  <si>
    <t>P326</t>
  </si>
  <si>
    <t>P327</t>
  </si>
  <si>
    <t>P328</t>
  </si>
  <si>
    <t>P332</t>
  </si>
  <si>
    <t>P334</t>
  </si>
  <si>
    <t>P336</t>
  </si>
  <si>
    <t>P337</t>
  </si>
  <si>
    <t>P338</t>
  </si>
  <si>
    <t>P339</t>
  </si>
  <si>
    <t>P342</t>
  </si>
  <si>
    <t>P343</t>
  </si>
  <si>
    <t>P345</t>
  </si>
  <si>
    <t>P346</t>
  </si>
  <si>
    <t>P347</t>
  </si>
  <si>
    <t>P348</t>
  </si>
  <si>
    <t>P349</t>
  </si>
  <si>
    <t>P350</t>
  </si>
  <si>
    <t>P351</t>
  </si>
  <si>
    <t>P353</t>
  </si>
  <si>
    <t>P355</t>
  </si>
  <si>
    <t>P358</t>
  </si>
  <si>
    <t>P360</t>
  </si>
  <si>
    <t>P361</t>
  </si>
  <si>
    <t>P363</t>
  </si>
  <si>
    <t>P364</t>
  </si>
  <si>
    <t>P365</t>
  </si>
  <si>
    <t>P367</t>
  </si>
  <si>
    <t>P369</t>
  </si>
  <si>
    <t>P371</t>
  </si>
  <si>
    <t>P375</t>
  </si>
  <si>
    <t>P376</t>
  </si>
  <si>
    <t>P377</t>
  </si>
  <si>
    <t>P379</t>
  </si>
  <si>
    <t>P382</t>
  </si>
  <si>
    <t>P383</t>
  </si>
  <si>
    <t>P385</t>
  </si>
  <si>
    <t>P387</t>
  </si>
  <si>
    <t>P390</t>
  </si>
  <si>
    <t>P392</t>
  </si>
  <si>
    <t>P393</t>
  </si>
  <si>
    <t>P394</t>
  </si>
  <si>
    <t>P395</t>
  </si>
  <si>
    <t>P398</t>
  </si>
  <si>
    <t>P399</t>
  </si>
  <si>
    <t>P402</t>
  </si>
  <si>
    <t>P403</t>
  </si>
  <si>
    <t>P405</t>
  </si>
  <si>
    <t>P406</t>
  </si>
  <si>
    <t>P407</t>
  </si>
  <si>
    <t>P408</t>
  </si>
  <si>
    <t>P412</t>
  </si>
  <si>
    <t>P415</t>
  </si>
  <si>
    <t>P418</t>
  </si>
  <si>
    <t>P421</t>
  </si>
  <si>
    <t>P422</t>
  </si>
  <si>
    <t>P426</t>
  </si>
  <si>
    <t>P427</t>
  </si>
  <si>
    <t>P428</t>
  </si>
  <si>
    <t>P429</t>
  </si>
  <si>
    <t>P431</t>
  </si>
  <si>
    <t>P436</t>
  </si>
  <si>
    <t>P437</t>
  </si>
  <si>
    <t>P438</t>
  </si>
  <si>
    <t>P439</t>
  </si>
  <si>
    <t>P440</t>
  </si>
  <si>
    <t>P441</t>
  </si>
  <si>
    <t>P442</t>
  </si>
  <si>
    <t>P443</t>
  </si>
  <si>
    <t>P445</t>
  </si>
  <si>
    <t>P446</t>
  </si>
  <si>
    <t>P447</t>
  </si>
  <si>
    <t>P448</t>
  </si>
  <si>
    <t>P449</t>
  </si>
  <si>
    <t>P450</t>
  </si>
  <si>
    <t>P451</t>
  </si>
  <si>
    <t>P452</t>
  </si>
  <si>
    <t>P453</t>
  </si>
  <si>
    <t>P455</t>
  </si>
  <si>
    <t>P456</t>
  </si>
  <si>
    <t>P460</t>
  </si>
  <si>
    <t>P464</t>
  </si>
  <si>
    <t>P466</t>
  </si>
  <si>
    <t>P469</t>
  </si>
  <si>
    <t>P472</t>
  </si>
  <si>
    <t>P473</t>
  </si>
  <si>
    <t>P474</t>
  </si>
  <si>
    <t>P475</t>
  </si>
  <si>
    <t>P476</t>
  </si>
  <si>
    <t>P477</t>
  </si>
  <si>
    <t>P478</t>
  </si>
  <si>
    <t>P479</t>
  </si>
  <si>
    <t>P480</t>
  </si>
  <si>
    <t>P482</t>
  </si>
  <si>
    <t>P484</t>
  </si>
  <si>
    <t>P485</t>
  </si>
  <si>
    <t>P486</t>
  </si>
  <si>
    <t>P490</t>
  </si>
  <si>
    <t>P492</t>
  </si>
  <si>
    <t>P494</t>
  </si>
  <si>
    <t>P495</t>
  </si>
  <si>
    <t>P497</t>
  </si>
  <si>
    <t>P498</t>
  </si>
  <si>
    <t>P499</t>
  </si>
  <si>
    <t>P500</t>
  </si>
  <si>
    <t>P501</t>
  </si>
  <si>
    <t>P502</t>
  </si>
  <si>
    <t>P505</t>
  </si>
  <si>
    <t>P506</t>
  </si>
  <si>
    <t>P507</t>
  </si>
  <si>
    <t>P508</t>
  </si>
  <si>
    <t>P509</t>
  </si>
  <si>
    <t>P511</t>
  </si>
  <si>
    <t>P512</t>
  </si>
  <si>
    <t>P513</t>
  </si>
  <si>
    <t>P514</t>
  </si>
  <si>
    <t>P516</t>
  </si>
  <si>
    <t>P519</t>
  </si>
  <si>
    <t>P520</t>
  </si>
  <si>
    <t>P524</t>
  </si>
  <si>
    <t>P526</t>
  </si>
  <si>
    <t>P527</t>
  </si>
  <si>
    <t>P529</t>
  </si>
  <si>
    <t>P530</t>
  </si>
  <si>
    <t>P531</t>
  </si>
  <si>
    <t>P532</t>
  </si>
  <si>
    <t>P533</t>
  </si>
  <si>
    <t>P534</t>
  </si>
  <si>
    <t>P536</t>
  </si>
  <si>
    <t>P538</t>
  </si>
  <si>
    <t>P539</t>
  </si>
  <si>
    <t>P540</t>
  </si>
  <si>
    <t>P542</t>
  </si>
  <si>
    <t>P543</t>
  </si>
  <si>
    <t>P545</t>
  </si>
  <si>
    <t>P546</t>
  </si>
  <si>
    <t>P549</t>
  </si>
  <si>
    <t>P550</t>
  </si>
  <si>
    <t>P551</t>
  </si>
  <si>
    <t>P553</t>
  </si>
  <si>
    <t>P554</t>
  </si>
  <si>
    <t>P557</t>
  </si>
  <si>
    <t>P558</t>
  </si>
  <si>
    <t>P560</t>
  </si>
  <si>
    <t>P561</t>
  </si>
  <si>
    <t>P563</t>
  </si>
  <si>
    <t>P564</t>
  </si>
  <si>
    <t>P565</t>
  </si>
  <si>
    <t>P567</t>
  </si>
  <si>
    <t>P570</t>
  </si>
  <si>
    <t>P571</t>
  </si>
  <si>
    <t>P573</t>
  </si>
  <si>
    <t>P574</t>
  </si>
  <si>
    <t>P576</t>
  </si>
  <si>
    <t>P578</t>
  </si>
  <si>
    <t>P579</t>
  </si>
  <si>
    <t>P580</t>
  </si>
  <si>
    <t>P581</t>
  </si>
  <si>
    <t>P582</t>
  </si>
  <si>
    <t>P583</t>
  </si>
  <si>
    <t>P585</t>
  </si>
  <si>
    <t>P586</t>
  </si>
  <si>
    <t>P588</t>
  </si>
  <si>
    <t>P590</t>
  </si>
  <si>
    <t>P591</t>
  </si>
  <si>
    <t>P592</t>
  </si>
  <si>
    <t>P593</t>
  </si>
  <si>
    <t>P594</t>
  </si>
  <si>
    <t>P597</t>
  </si>
  <si>
    <t>P598</t>
  </si>
  <si>
    <t>P599</t>
  </si>
  <si>
    <t>P600</t>
  </si>
  <si>
    <t>P601</t>
  </si>
  <si>
    <t>P602</t>
  </si>
  <si>
    <t>P605</t>
  </si>
  <si>
    <t>P608</t>
  </si>
  <si>
    <t>P609</t>
  </si>
  <si>
    <t>P611</t>
  </si>
  <si>
    <t>P613</t>
  </si>
  <si>
    <t>P614</t>
  </si>
  <si>
    <t>P615</t>
  </si>
  <si>
    <t>P617</t>
  </si>
  <si>
    <t>P618</t>
  </si>
  <si>
    <t>P620</t>
  </si>
  <si>
    <t>P622</t>
  </si>
  <si>
    <t>P624</t>
  </si>
  <si>
    <t>P626</t>
  </si>
  <si>
    <t>P628</t>
  </si>
  <si>
    <t>P629</t>
  </si>
  <si>
    <t>P631</t>
  </si>
  <si>
    <t>P633</t>
  </si>
  <si>
    <t>P636</t>
  </si>
  <si>
    <t>P637</t>
  </si>
  <si>
    <t>P639</t>
  </si>
  <si>
    <t>P641</t>
  </si>
  <si>
    <t>P643</t>
  </si>
  <si>
    <t>P645</t>
  </si>
  <si>
    <t>P646</t>
  </si>
  <si>
    <t>P647</t>
  </si>
  <si>
    <t>P648</t>
  </si>
  <si>
    <t>P649</t>
  </si>
  <si>
    <t>P651</t>
  </si>
  <si>
    <t>P652</t>
  </si>
  <si>
    <t>P653</t>
  </si>
  <si>
    <t>P654</t>
  </si>
  <si>
    <t>P656</t>
  </si>
  <si>
    <t>P657</t>
  </si>
  <si>
    <t>P658</t>
  </si>
  <si>
    <t>P659</t>
  </si>
  <si>
    <t>P660</t>
  </si>
  <si>
    <t>P661</t>
  </si>
  <si>
    <t>P662</t>
  </si>
  <si>
    <t>P663</t>
  </si>
  <si>
    <t>P664</t>
  </si>
  <si>
    <t>P665</t>
  </si>
  <si>
    <t>P666</t>
  </si>
  <si>
    <t>P667</t>
  </si>
  <si>
    <t>P668</t>
  </si>
  <si>
    <t>P672</t>
  </si>
  <si>
    <t>P673</t>
  </si>
  <si>
    <t>P674</t>
  </si>
  <si>
    <t>P677</t>
  </si>
  <si>
    <t>P678</t>
  </si>
  <si>
    <t>P680</t>
  </si>
  <si>
    <t>P682</t>
  </si>
  <si>
    <t>P683</t>
  </si>
  <si>
    <t>P687</t>
  </si>
  <si>
    <t>P690</t>
  </si>
  <si>
    <t>P693</t>
  </si>
  <si>
    <t>P694</t>
  </si>
  <si>
    <t>P696</t>
  </si>
  <si>
    <t>P697</t>
  </si>
  <si>
    <t>P698</t>
  </si>
  <si>
    <t>P699</t>
  </si>
  <si>
    <t>P700</t>
  </si>
  <si>
    <t>P702</t>
  </si>
  <si>
    <t>P703</t>
  </si>
  <si>
    <t>P705</t>
  </si>
  <si>
    <t>P707</t>
  </si>
  <si>
    <t>P708</t>
  </si>
  <si>
    <t>P711</t>
  </si>
  <si>
    <t>P712</t>
  </si>
  <si>
    <t>P713</t>
  </si>
  <si>
    <t>P715</t>
  </si>
  <si>
    <t>P716</t>
  </si>
  <si>
    <t>P718</t>
  </si>
  <si>
    <t>P719</t>
  </si>
  <si>
    <t>P721</t>
  </si>
  <si>
    <t>P722</t>
  </si>
  <si>
    <t>P723</t>
  </si>
  <si>
    <t>P724</t>
  </si>
  <si>
    <t>P726</t>
  </si>
  <si>
    <t>P727</t>
  </si>
  <si>
    <t>P728</t>
  </si>
  <si>
    <t>P731</t>
  </si>
  <si>
    <t>P732</t>
  </si>
  <si>
    <t>P733</t>
  </si>
  <si>
    <t>P734</t>
  </si>
  <si>
    <t>P735</t>
  </si>
  <si>
    <t>P736</t>
  </si>
  <si>
    <t>P737</t>
  </si>
  <si>
    <t>P739</t>
  </si>
  <si>
    <t>P740</t>
  </si>
  <si>
    <t>P741</t>
  </si>
  <si>
    <t>P743</t>
  </si>
  <si>
    <t>P746</t>
  </si>
  <si>
    <t>P748</t>
  </si>
  <si>
    <t>P749</t>
  </si>
  <si>
    <t>P750</t>
  </si>
  <si>
    <t>P751</t>
  </si>
  <si>
    <t>P752</t>
  </si>
  <si>
    <t>P755</t>
  </si>
  <si>
    <t>P756</t>
  </si>
  <si>
    <t>P758</t>
  </si>
  <si>
    <t>P759</t>
  </si>
  <si>
    <t>P760</t>
  </si>
  <si>
    <t>P762</t>
  </si>
  <si>
    <t>P764</t>
  </si>
  <si>
    <t>P765</t>
  </si>
  <si>
    <t>P766</t>
  </si>
  <si>
    <t>P767</t>
  </si>
  <si>
    <t>P770</t>
  </si>
  <si>
    <t>P772</t>
  </si>
  <si>
    <t>P773</t>
  </si>
  <si>
    <t>P774</t>
  </si>
  <si>
    <t>P777</t>
  </si>
  <si>
    <t>P780</t>
  </si>
  <si>
    <t>P781</t>
  </si>
  <si>
    <t>P782</t>
  </si>
  <si>
    <t>P784</t>
  </si>
  <si>
    <t>P785</t>
  </si>
  <si>
    <t>P787</t>
  </si>
  <si>
    <t>P788</t>
  </si>
  <si>
    <t>P789</t>
  </si>
  <si>
    <t>P790</t>
  </si>
  <si>
    <t>P791</t>
  </si>
  <si>
    <t>P793</t>
  </si>
  <si>
    <t>P795</t>
  </si>
  <si>
    <t>P796</t>
  </si>
  <si>
    <t>P797</t>
  </si>
  <si>
    <t>P798</t>
  </si>
  <si>
    <t>P799</t>
  </si>
  <si>
    <t>P802</t>
  </si>
  <si>
    <t>P803</t>
  </si>
  <si>
    <t>P804</t>
  </si>
  <si>
    <t>P805</t>
  </si>
  <si>
    <t>P806</t>
  </si>
  <si>
    <t>P807</t>
  </si>
  <si>
    <t>P808</t>
  </si>
  <si>
    <t>P809</t>
  </si>
  <si>
    <t>P810</t>
  </si>
  <si>
    <t>P811</t>
  </si>
  <si>
    <t>P812</t>
  </si>
  <si>
    <t>P814</t>
  </si>
  <si>
    <t>P816</t>
  </si>
  <si>
    <t>P817</t>
  </si>
  <si>
    <t>P819</t>
  </si>
  <si>
    <t>P820</t>
  </si>
  <si>
    <t>P822</t>
  </si>
  <si>
    <t>P823</t>
  </si>
  <si>
    <t>P824</t>
  </si>
  <si>
    <t>P825</t>
  </si>
  <si>
    <t>P826</t>
  </si>
  <si>
    <t>P827</t>
  </si>
  <si>
    <t>P828</t>
  </si>
  <si>
    <t>P829</t>
  </si>
  <si>
    <t>P830</t>
  </si>
  <si>
    <t>P831</t>
  </si>
  <si>
    <t>P832</t>
  </si>
  <si>
    <t>P833</t>
  </si>
  <si>
    <t>P835</t>
  </si>
  <si>
    <t>P836</t>
  </si>
  <si>
    <t>P837</t>
  </si>
  <si>
    <t>P838</t>
  </si>
  <si>
    <t>P839</t>
  </si>
  <si>
    <t>P841</t>
  </si>
  <si>
    <t>P842</t>
  </si>
  <si>
    <t>P844</t>
  </si>
  <si>
    <t>P845</t>
  </si>
  <si>
    <t>P846</t>
  </si>
  <si>
    <t>P847</t>
  </si>
  <si>
    <t>P848</t>
  </si>
  <si>
    <t>P849</t>
  </si>
  <si>
    <t>P850</t>
  </si>
  <si>
    <t>P851</t>
  </si>
  <si>
    <t>P852</t>
  </si>
  <si>
    <t>P853</t>
  </si>
  <si>
    <t>P854</t>
  </si>
  <si>
    <t>P857</t>
  </si>
  <si>
    <t>P858</t>
  </si>
  <si>
    <t>P859</t>
  </si>
  <si>
    <t>P864</t>
  </si>
  <si>
    <t>P865</t>
  </si>
  <si>
    <t>P868</t>
  </si>
  <si>
    <t>P870</t>
  </si>
  <si>
    <t>P871</t>
  </si>
  <si>
    <t>P872</t>
  </si>
  <si>
    <t>P873</t>
  </si>
  <si>
    <t>P874</t>
  </si>
  <si>
    <t>P876</t>
  </si>
  <si>
    <t>P877</t>
  </si>
  <si>
    <t>P879</t>
  </si>
  <si>
    <t>P880</t>
  </si>
  <si>
    <t>P881</t>
  </si>
  <si>
    <t>P883</t>
  </si>
  <si>
    <t>P884</t>
  </si>
  <si>
    <t>P886</t>
  </si>
  <si>
    <t>P887</t>
  </si>
  <si>
    <t>P888</t>
  </si>
  <si>
    <t>P889</t>
  </si>
  <si>
    <t>P890</t>
  </si>
  <si>
    <t>P892</t>
  </si>
  <si>
    <t>P893</t>
  </si>
  <si>
    <t>P894</t>
  </si>
  <si>
    <t>P895</t>
  </si>
  <si>
    <t>P896</t>
  </si>
  <si>
    <t>P897</t>
  </si>
  <si>
    <t>P898</t>
  </si>
  <si>
    <t>P899</t>
  </si>
  <si>
    <t>P901</t>
  </si>
  <si>
    <t>P902</t>
  </si>
  <si>
    <t>P903</t>
  </si>
  <si>
    <t>P904</t>
  </si>
  <si>
    <t>P905</t>
  </si>
  <si>
    <t>P906</t>
  </si>
  <si>
    <t>P909</t>
  </si>
  <si>
    <t>P910</t>
  </si>
  <si>
    <t>P911</t>
  </si>
  <si>
    <t>P912</t>
  </si>
  <si>
    <t>P913</t>
  </si>
  <si>
    <t>P914</t>
  </si>
  <si>
    <t>P915</t>
  </si>
  <si>
    <t>P916</t>
  </si>
  <si>
    <t>P917</t>
  </si>
  <si>
    <t>P918</t>
  </si>
  <si>
    <t>P920</t>
  </si>
  <si>
    <t>P921</t>
  </si>
  <si>
    <t>P922</t>
  </si>
  <si>
    <t>P923</t>
  </si>
  <si>
    <t>P924</t>
  </si>
  <si>
    <t>P925</t>
  </si>
  <si>
    <t>P926</t>
  </si>
  <si>
    <t>P929</t>
  </si>
  <si>
    <t>P931</t>
  </si>
  <si>
    <t>P932</t>
  </si>
  <si>
    <t>P933</t>
  </si>
  <si>
    <t>P936</t>
  </si>
  <si>
    <t>P937</t>
  </si>
  <si>
    <t>P938</t>
  </si>
  <si>
    <t>P940</t>
  </si>
  <si>
    <t>P941</t>
  </si>
  <si>
    <t>P942</t>
  </si>
  <si>
    <t>P944</t>
  </si>
  <si>
    <t>P945</t>
  </si>
  <si>
    <t>P946</t>
  </si>
  <si>
    <t>P947</t>
  </si>
  <si>
    <t>P949</t>
  </si>
  <si>
    <t>P954</t>
  </si>
  <si>
    <t>P955</t>
  </si>
  <si>
    <t>P956</t>
  </si>
  <si>
    <t>P958</t>
  </si>
  <si>
    <t>P959</t>
  </si>
  <si>
    <t>P960</t>
  </si>
  <si>
    <t>P961</t>
  </si>
  <si>
    <t>P963</t>
  </si>
  <si>
    <t>P966</t>
  </si>
  <si>
    <t>P968</t>
  </si>
  <si>
    <t>P969</t>
  </si>
  <si>
    <t>P970</t>
  </si>
  <si>
    <t>P971</t>
  </si>
  <si>
    <t>P976</t>
  </si>
  <si>
    <t>P977</t>
  </si>
  <si>
    <t>P978</t>
  </si>
  <si>
    <t>P982</t>
  </si>
  <si>
    <t>P983</t>
  </si>
  <si>
    <t>P984</t>
  </si>
  <si>
    <t>P985</t>
  </si>
  <si>
    <t>P986</t>
  </si>
  <si>
    <t>P987</t>
  </si>
  <si>
    <t>P988</t>
  </si>
  <si>
    <t>P989</t>
  </si>
  <si>
    <t>P990</t>
  </si>
  <si>
    <t>P991</t>
  </si>
  <si>
    <t>P993</t>
  </si>
  <si>
    <t>P1000</t>
  </si>
  <si>
    <t>P1001</t>
  </si>
  <si>
    <t>P1002</t>
  </si>
  <si>
    <t>P1004</t>
  </si>
  <si>
    <t>P1005</t>
  </si>
  <si>
    <t>P1007</t>
  </si>
  <si>
    <t>P1008</t>
  </si>
  <si>
    <t>P1009</t>
  </si>
  <si>
    <t>P1010</t>
  </si>
  <si>
    <t>P1011</t>
  </si>
  <si>
    <t>P1012</t>
  </si>
  <si>
    <t>P1013</t>
  </si>
  <si>
    <t>P1014</t>
  </si>
  <si>
    <t>P1015</t>
  </si>
  <si>
    <t>P1019</t>
  </si>
  <si>
    <t>P1020</t>
  </si>
  <si>
    <t>P1021</t>
  </si>
  <si>
    <t>P1024</t>
  </si>
  <si>
    <t>P1025</t>
  </si>
  <si>
    <t>P1026</t>
  </si>
  <si>
    <t>P1027</t>
  </si>
  <si>
    <t>P1029</t>
  </si>
  <si>
    <t>P1030</t>
  </si>
  <si>
    <t>P1031</t>
  </si>
  <si>
    <t>P1032</t>
  </si>
  <si>
    <t>P1033</t>
  </si>
  <si>
    <t>P1042</t>
  </si>
  <si>
    <t>P1043</t>
  </si>
  <si>
    <t>P1044</t>
  </si>
  <si>
    <t>P1046</t>
  </si>
  <si>
    <t>P1047</t>
  </si>
  <si>
    <t>P1049</t>
  </si>
  <si>
    <t>P1050</t>
  </si>
  <si>
    <t>P1053</t>
  </si>
  <si>
    <t>P1054</t>
  </si>
  <si>
    <t>P1055</t>
  </si>
  <si>
    <t>P1056</t>
  </si>
  <si>
    <t>P1057</t>
  </si>
  <si>
    <t>P1058</t>
  </si>
  <si>
    <t>P1059</t>
  </si>
  <si>
    <t>P1060</t>
  </si>
  <si>
    <t>P1064</t>
  </si>
  <si>
    <t>P1065</t>
  </si>
  <si>
    <t>P1066</t>
  </si>
  <si>
    <t>P1067</t>
  </si>
  <si>
    <t>P1069</t>
  </si>
  <si>
    <t>P1070</t>
  </si>
  <si>
    <t>P1072</t>
  </si>
  <si>
    <t>P1073</t>
  </si>
  <si>
    <t>P1074</t>
  </si>
  <si>
    <t>P1075</t>
  </si>
  <si>
    <t>P1077</t>
  </si>
  <si>
    <t>P1078</t>
  </si>
  <si>
    <t>P1079</t>
  </si>
  <si>
    <t>P1080</t>
  </si>
  <si>
    <t>P1082</t>
  </si>
  <si>
    <t>P1084</t>
  </si>
  <si>
    <t>P1085</t>
  </si>
  <si>
    <t>P1087</t>
  </si>
  <si>
    <t>P1089</t>
  </si>
  <si>
    <t>P1091</t>
  </si>
  <si>
    <t>P1092</t>
  </si>
  <si>
    <t>P1093</t>
  </si>
  <si>
    <t>P1096</t>
  </si>
  <si>
    <t>P1097</t>
  </si>
  <si>
    <t>P1099</t>
  </si>
  <si>
    <t>P1102</t>
  </si>
  <si>
    <t>P1103</t>
  </si>
  <si>
    <t>P1105</t>
  </si>
  <si>
    <t>P1106</t>
  </si>
  <si>
    <t>P1107</t>
  </si>
  <si>
    <t>P1108</t>
  </si>
  <si>
    <t>P1109</t>
  </si>
  <si>
    <t>P1110</t>
  </si>
  <si>
    <t>P1112</t>
  </si>
  <si>
    <t>P1113</t>
  </si>
  <si>
    <t>P1114</t>
  </si>
  <si>
    <t>P1115</t>
  </si>
  <si>
    <t>P1116</t>
  </si>
  <si>
    <t>P1117</t>
  </si>
  <si>
    <t>P1118</t>
  </si>
  <si>
    <t>P1119</t>
  </si>
  <si>
    <t>P1121</t>
  </si>
  <si>
    <t>P1122</t>
  </si>
  <si>
    <t>P1124</t>
  </si>
  <si>
    <t>P1125</t>
  </si>
  <si>
    <t>P1126</t>
  </si>
  <si>
    <t>P1127</t>
  </si>
  <si>
    <t>P1128</t>
  </si>
  <si>
    <t>P1130</t>
  </si>
  <si>
    <t>P1131</t>
  </si>
  <si>
    <t>P1132</t>
  </si>
  <si>
    <t>P1133</t>
  </si>
  <si>
    <t>P1134</t>
  </si>
  <si>
    <t>P1136</t>
  </si>
  <si>
    <t>P1137</t>
  </si>
  <si>
    <t>P1138</t>
  </si>
  <si>
    <t>P1139</t>
  </si>
  <si>
    <t>P1140</t>
  </si>
  <si>
    <t>P1143</t>
  </si>
  <si>
    <t>P1144</t>
  </si>
  <si>
    <t>P1146</t>
  </si>
  <si>
    <t>P1147</t>
  </si>
  <si>
    <t>P1148</t>
  </si>
  <si>
    <t>P1150</t>
  </si>
  <si>
    <t>P1154</t>
  </si>
  <si>
    <t>P1156</t>
  </si>
  <si>
    <t>P1158</t>
  </si>
  <si>
    <t>P1159</t>
  </si>
  <si>
    <t>P1160</t>
  </si>
  <si>
    <t>P1162</t>
  </si>
  <si>
    <t>P1163</t>
  </si>
  <si>
    <t>P1164</t>
  </si>
  <si>
    <t>P1165</t>
  </si>
  <si>
    <t>P1166</t>
  </si>
  <si>
    <t>P1167</t>
  </si>
  <si>
    <t>P1168</t>
  </si>
  <si>
    <t>P1169</t>
  </si>
  <si>
    <t>P1170</t>
  </si>
  <si>
    <t>P1171</t>
  </si>
  <si>
    <t>P1172</t>
  </si>
  <si>
    <t>P1175</t>
  </si>
  <si>
    <t>P1178</t>
  </si>
  <si>
    <t>P1180</t>
  </si>
  <si>
    <t>P1182</t>
  </si>
  <si>
    <t>P1183</t>
  </si>
  <si>
    <t>P1184</t>
  </si>
  <si>
    <t>P1185</t>
  </si>
  <si>
    <t>P1186</t>
  </si>
  <si>
    <t>P1187</t>
  </si>
  <si>
    <t>P1189</t>
  </si>
  <si>
    <t>P1190</t>
  </si>
  <si>
    <t>P1191</t>
  </si>
  <si>
    <t>P1192</t>
  </si>
  <si>
    <t>P1195</t>
  </si>
  <si>
    <t>P1196</t>
  </si>
  <si>
    <t>P1199</t>
  </si>
  <si>
    <t>Patient_ID</t>
  </si>
  <si>
    <t>Name</t>
  </si>
  <si>
    <t>Age at Admission</t>
  </si>
  <si>
    <t>Still Admitted</t>
  </si>
  <si>
    <t>Length of Stay</t>
  </si>
  <si>
    <t>Not Stated</t>
  </si>
  <si>
    <t>Pulmnology</t>
  </si>
  <si>
    <t>ENT</t>
  </si>
  <si>
    <t>Department</t>
  </si>
  <si>
    <t>not stated</t>
  </si>
  <si>
    <t>Outcome</t>
  </si>
  <si>
    <t>Dr Adams</t>
  </si>
  <si>
    <t>Dr Patel</t>
  </si>
  <si>
    <t>Dr Lee</t>
  </si>
  <si>
    <t>still admitted</t>
  </si>
  <si>
    <t>Count of Patients</t>
  </si>
  <si>
    <t>Youngest Patient</t>
  </si>
  <si>
    <t>Oldest Patient</t>
  </si>
  <si>
    <t xml:space="preserve">Average Patient age </t>
  </si>
  <si>
    <t>Average length of stay</t>
  </si>
  <si>
    <t>Total Revenue paid</t>
  </si>
  <si>
    <t>Cardiology Revenue</t>
  </si>
  <si>
    <t>Endocrinology revenue</t>
  </si>
  <si>
    <t>Oncology Revenue</t>
  </si>
  <si>
    <t>Orthopedics Revenue</t>
  </si>
  <si>
    <t>Pulmnology revenue</t>
  </si>
  <si>
    <t>General Medicine Revenue</t>
  </si>
  <si>
    <t>Row Labels</t>
  </si>
  <si>
    <t>Grand Total</t>
  </si>
  <si>
    <t>Count of Patient_ID</t>
  </si>
  <si>
    <t>Sum of billing_amount</t>
  </si>
  <si>
    <t>Patient Count per Department</t>
  </si>
  <si>
    <t>Revenue per Department</t>
  </si>
  <si>
    <t>Patient count per Diagnosis</t>
  </si>
  <si>
    <t>(All)</t>
  </si>
  <si>
    <t>HOSPITAL DASHBOARD 2024</t>
  </si>
  <si>
    <t>% Paid Bills</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</si>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</sst>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dd\-mmm\-yyyy"/>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48"/>
      <color theme="1"/>
      <name val="Aptos Narrow"/>
      <scheme val="minor"/>
    </font>
    <font>
      <b/>
      <sz val="18"/>
      <color rgb="FF000000"/>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4">
    <xf numFmtId="0" fontId="0" fillId="0" borderId="0"/>
    <xf numFmtId="41"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0">
    <xf numFmtId="0" fontId="0" fillId="0" borderId="0" xfId="0"/>
    <xf numFmtId="14" fontId="0" fillId="0" borderId="0" xfId="0" applyNumberFormat="1"/>
    <xf numFmtId="0" fontId="18" fillId="0" borderId="0" xfId="0" applyFont="1"/>
    <xf numFmtId="164" fontId="18" fillId="0" borderId="0" xfId="0" applyNumberFormat="1" applyFont="1"/>
    <xf numFmtId="164" fontId="0" fillId="0" borderId="0" xfId="0" applyNumberFormat="1"/>
    <xf numFmtId="0" fontId="18" fillId="0" borderId="0" xfId="0" applyFont="1" applyAlignment="1">
      <alignment horizontal="right"/>
    </xf>
    <xf numFmtId="0" fontId="0" fillId="0" borderId="0" xfId="0" applyAlignment="1">
      <alignment horizontal="right"/>
    </xf>
    <xf numFmtId="41" fontId="0" fillId="0" borderId="0" xfId="1" applyFont="1"/>
    <xf numFmtId="164" fontId="18" fillId="0" borderId="0" xfId="0" applyNumberFormat="1" applyFont="1" applyAlignment="1">
      <alignment horizontal="right"/>
    </xf>
    <xf numFmtId="164" fontId="0" fillId="0" borderId="0" xfId="0" applyNumberFormat="1" applyAlignment="1">
      <alignment horizontal="right"/>
    </xf>
    <xf numFmtId="0" fontId="18" fillId="0" borderId="10" xfId="0" applyFont="1" applyBorder="1"/>
    <xf numFmtId="0" fontId="18" fillId="0" borderId="13" xfId="0" applyFont="1" applyBorder="1"/>
    <xf numFmtId="0" fontId="18" fillId="0" borderId="11" xfId="0" applyFont="1" applyBorder="1"/>
    <xf numFmtId="0" fontId="18" fillId="0" borderId="12" xfId="0" applyFont="1" applyBorder="1"/>
    <xf numFmtId="0" fontId="18" fillId="0" borderId="14" xfId="0" applyFont="1" applyBorder="1"/>
    <xf numFmtId="0" fontId="0" fillId="33" borderId="13" xfId="0" applyFill="1" applyBorder="1"/>
    <xf numFmtId="1" fontId="0" fillId="33" borderId="15" xfId="0" applyNumberFormat="1" applyFill="1" applyBorder="1"/>
    <xf numFmtId="1" fontId="0" fillId="33" borderId="0" xfId="0" applyNumberFormat="1" applyFill="1"/>
    <xf numFmtId="41" fontId="0" fillId="33" borderId="0" xfId="1" applyFont="1" applyFill="1" applyBorder="1"/>
    <xf numFmtId="41" fontId="0" fillId="33" borderId="16" xfId="1" applyFont="1" applyFill="1" applyBorder="1"/>
    <xf numFmtId="41" fontId="0" fillId="33" borderId="14" xfId="1" applyFont="1" applyFill="1" applyBorder="1"/>
    <xf numFmtId="41" fontId="0" fillId="33" borderId="17" xfId="1" applyFont="1" applyFill="1" applyBorder="1"/>
    <xf numFmtId="0" fontId="0" fillId="0" borderId="0" xfId="0" pivotButton="1"/>
    <xf numFmtId="0" fontId="0" fillId="0" borderId="0" xfId="0" applyAlignment="1">
      <alignment horizontal="left"/>
    </xf>
    <xf numFmtId="41" fontId="0" fillId="0" borderId="0" xfId="0" applyNumberFormat="1"/>
    <xf numFmtId="0" fontId="18" fillId="0" borderId="0" xfId="0" applyFont="1" applyAlignment="1">
      <alignment horizontal="left"/>
    </xf>
    <xf numFmtId="0" fontId="19" fillId="0" borderId="0" xfId="0" applyFont="1" applyAlignment="1">
      <alignment horizontal="center" vertical="center"/>
    </xf>
    <xf numFmtId="0" fontId="0" fillId="0" borderId="0" xfId="0" applyNumberFormat="1"/>
    <xf numFmtId="9" fontId="0" fillId="0" borderId="0" xfId="43" applyFont="1"/>
    <xf numFmtId="0" fontId="20" fillId="0" borderId="0" xfId="0" applyFon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0]" xfId="1" builtinId="6"/>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43" builtinId="5"/>
    <cellStyle name="Title" xfId="2" builtinId="15" customBuiltin="1"/>
    <cellStyle name="Total" xfId="18" builtinId="25" customBuiltin="1"/>
    <cellStyle name="Warning Text" xfId="15" builtinId="11" customBuiltin="1"/>
  </cellStyles>
  <dxfs count="6">
    <dxf>
      <alignment horizontal="righ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dxf>
    <dxf>
      <numFmt numFmtId="164" formatCode="dd\-mmm\-yyyy"/>
      <alignment horizontal="right" vertical="bottom" textRotation="0" wrapText="0" indent="0" justifyLastLine="0" shrinkToFit="0" readingOrder="0"/>
    </dxf>
    <dxf>
      <numFmt numFmtId="164" formatCode="dd\-mmm\-yyyy"/>
    </dxf>
    <dxf>
      <numFmt numFmtId="164" formatCode="dd\-mmm\-yyyy"/>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colors>
    <mruColors>
      <color rgb="FFFF2F92"/>
      <color rgb="FFFF7E79"/>
      <color rgb="FFFF9300"/>
      <color rgb="FFFFC000"/>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2024.xlsx]Pivot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Patient count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pivotFmt>
    </c:pivotFmts>
    <c:plotArea>
      <c:layout/>
      <c:barChart>
        <c:barDir val="col"/>
        <c:grouping val="clustered"/>
        <c:varyColors val="0"/>
        <c:ser>
          <c:idx val="0"/>
          <c:order val="0"/>
          <c:tx>
            <c:strRef>
              <c:f>'Pivot tables'!$B$3</c:f>
              <c:strCache>
                <c:ptCount val="1"/>
                <c:pt idx="0">
                  <c:v>Total</c:v>
                </c:pt>
              </c:strCache>
            </c:strRef>
          </c:tx>
          <c:spPr>
            <a:solidFill>
              <a:schemeClr val="accent2">
                <a:lumMod val="60000"/>
                <a:lumOff val="40000"/>
              </a:schemeClr>
            </a:solidFill>
            <a:ln>
              <a:noFill/>
            </a:ln>
            <a:effectLst/>
          </c:spPr>
          <c:invertIfNegative val="0"/>
          <c:dPt>
            <c:idx val="0"/>
            <c:invertIfNegative val="0"/>
            <c:bubble3D val="0"/>
            <c:spPr>
              <a:solidFill>
                <a:schemeClr val="accent2">
                  <a:lumMod val="75000"/>
                </a:schemeClr>
              </a:solidFill>
              <a:ln>
                <a:noFill/>
              </a:ln>
              <a:effectLst/>
            </c:spPr>
          </c:dPt>
          <c:dPt>
            <c:idx val="3"/>
            <c:invertIfNegative val="0"/>
            <c:bubble3D val="0"/>
            <c:extLst>
              <c:ext xmlns:c16="http://schemas.microsoft.com/office/drawing/2014/chart" uri="{C3380CC4-5D6E-409C-BE32-E72D297353CC}">
                <c16:uniqueId val="{00000001-29A8-804E-A92F-F99045518549}"/>
              </c:ext>
            </c:extLst>
          </c:dPt>
          <c:dPt>
            <c:idx val="6"/>
            <c:invertIfNegative val="0"/>
            <c:bubble3D val="0"/>
            <c:extLst>
              <c:ext xmlns:c16="http://schemas.microsoft.com/office/drawing/2014/chart" uri="{C3380CC4-5D6E-409C-BE32-E72D297353CC}">
                <c16:uniqueId val="{00000002-67DE-634E-8510-DCFA672026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tables'!$A$4:$A$11</c:f>
              <c:strCache>
                <c:ptCount val="7"/>
                <c:pt idx="0">
                  <c:v>General Medicine</c:v>
                </c:pt>
                <c:pt idx="1">
                  <c:v>ENT</c:v>
                </c:pt>
                <c:pt idx="2">
                  <c:v>Pulmnology</c:v>
                </c:pt>
                <c:pt idx="3">
                  <c:v>Endocrinology</c:v>
                </c:pt>
                <c:pt idx="4">
                  <c:v>Oncology</c:v>
                </c:pt>
                <c:pt idx="5">
                  <c:v>Orthopedics</c:v>
                </c:pt>
                <c:pt idx="6">
                  <c:v>Cardiology</c:v>
                </c:pt>
              </c:strCache>
            </c:strRef>
          </c:cat>
          <c:val>
            <c:numRef>
              <c:f>'Pivot tables'!$B$4:$B$11</c:f>
              <c:numCache>
                <c:formatCode>General</c:formatCode>
                <c:ptCount val="7"/>
                <c:pt idx="0">
                  <c:v>325</c:v>
                </c:pt>
                <c:pt idx="1">
                  <c:v>212</c:v>
                </c:pt>
                <c:pt idx="2">
                  <c:v>208</c:v>
                </c:pt>
                <c:pt idx="3">
                  <c:v>135</c:v>
                </c:pt>
                <c:pt idx="4">
                  <c:v>117</c:v>
                </c:pt>
                <c:pt idx="5">
                  <c:v>108</c:v>
                </c:pt>
                <c:pt idx="6">
                  <c:v>95</c:v>
                </c:pt>
              </c:numCache>
            </c:numRef>
          </c:val>
          <c:extLst>
            <c:ext xmlns:c16="http://schemas.microsoft.com/office/drawing/2014/chart" uri="{C3380CC4-5D6E-409C-BE32-E72D297353CC}">
              <c16:uniqueId val="{00000002-29A8-804E-A92F-F99045518549}"/>
            </c:ext>
          </c:extLst>
        </c:ser>
        <c:dLbls>
          <c:dLblPos val="outEnd"/>
          <c:showLegendKey val="0"/>
          <c:showVal val="1"/>
          <c:showCatName val="0"/>
          <c:showSerName val="0"/>
          <c:showPercent val="0"/>
          <c:showBubbleSize val="0"/>
        </c:dLbls>
        <c:gapWidth val="219"/>
        <c:overlap val="-27"/>
        <c:axId val="960075455"/>
        <c:axId val="953899135"/>
      </c:barChart>
      <c:catAx>
        <c:axId val="96007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953899135"/>
        <c:crosses val="autoZero"/>
        <c:auto val="1"/>
        <c:lblAlgn val="ctr"/>
        <c:lblOffset val="100"/>
        <c:noMultiLvlLbl val="0"/>
      </c:catAx>
      <c:valAx>
        <c:axId val="953899135"/>
        <c:scaling>
          <c:orientation val="minMax"/>
        </c:scaling>
        <c:delete val="1"/>
        <c:axPos val="l"/>
        <c:numFmt formatCode="General" sourceLinked="1"/>
        <c:majorTickMark val="none"/>
        <c:minorTickMark val="none"/>
        <c:tickLblPos val="nextTo"/>
        <c:crossAx val="96007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2024.xlsx]Pivot tables!PivotTable3</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b="1">
                <a:solidFill>
                  <a:schemeClr val="tx1"/>
                </a:solidFill>
              </a:rPr>
              <a:t>Revenue per Department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G"/>
        </a:p>
      </c:txPr>
    </c:title>
    <c:autoTitleDeleted val="0"/>
    <c:pivotFmts>
      <c:pivotFmt>
        <c:idx val="0"/>
        <c:spPr>
          <a:solidFill>
            <a:schemeClr val="accent1">
              <a:lumMod val="60000"/>
              <a:lumOff val="40000"/>
            </a:schemeClr>
          </a:soli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w="9525" cap="flat" cmpd="sng" algn="ctr">
            <a:solidFill>
              <a:schemeClr val="accent1">
                <a:shade val="95000"/>
              </a:schemeClr>
            </a:solidFill>
            <a:round/>
          </a:ln>
          <a:effectLst/>
        </c:spPr>
      </c:pivotFmt>
      <c:pivotFmt>
        <c:idx val="2"/>
        <c:spPr>
          <a:solidFill>
            <a:schemeClr val="accent1">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9525" cap="flat" cmpd="sng" algn="ctr">
            <a:solidFill>
              <a:schemeClr val="accent1">
                <a:shade val="95000"/>
              </a:schemeClr>
            </a:solidFill>
            <a:round/>
          </a:ln>
          <a:effectLst/>
        </c:spPr>
      </c:pivotFmt>
      <c:pivotFmt>
        <c:idx val="4"/>
        <c:spPr>
          <a:solidFill>
            <a:schemeClr val="accent1">
              <a:lumMod val="60000"/>
              <a:lumOff val="40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w="9525" cap="flat" cmpd="sng" algn="ctr">
            <a:solidFill>
              <a:schemeClr val="accent1">
                <a:shade val="95000"/>
              </a:schemeClr>
            </a:solidFill>
            <a:round/>
          </a:ln>
          <a:effectLst/>
        </c:spPr>
      </c:pivotFmt>
    </c:pivotFmts>
    <c:plotArea>
      <c:layout/>
      <c:barChart>
        <c:barDir val="bar"/>
        <c:grouping val="clustered"/>
        <c:varyColors val="0"/>
        <c:ser>
          <c:idx val="0"/>
          <c:order val="0"/>
          <c:tx>
            <c:strRef>
              <c:f>'Pivot tables'!$B$20</c:f>
              <c:strCache>
                <c:ptCount val="1"/>
                <c:pt idx="0">
                  <c:v>Total</c:v>
                </c:pt>
              </c:strCache>
            </c:strRef>
          </c:tx>
          <c:spPr>
            <a:solidFill>
              <a:schemeClr val="accent1">
                <a:lumMod val="60000"/>
                <a:lumOff val="40000"/>
              </a:schemeClr>
            </a:solidFill>
            <a:ln w="9525" cap="flat" cmpd="sng" algn="ctr">
              <a:solidFill>
                <a:schemeClr val="accent1">
                  <a:shade val="95000"/>
                </a:schemeClr>
              </a:solidFill>
              <a:round/>
            </a:ln>
            <a:effectLst/>
          </c:spPr>
          <c:invertIfNegative val="0"/>
          <c:dPt>
            <c:idx val="0"/>
            <c:invertIfNegative val="0"/>
            <c:bubble3D val="0"/>
            <c:spPr>
              <a:solidFill>
                <a:schemeClr val="accent1">
                  <a:lumMod val="75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1-AC65-9F4E-9D46-A768E118E1B4}"/>
              </c:ext>
            </c:extLst>
          </c:dPt>
          <c:dPt>
            <c:idx val="3"/>
            <c:invertIfNegative val="0"/>
            <c:bubble3D val="0"/>
            <c:extLst>
              <c:ext xmlns:c16="http://schemas.microsoft.com/office/drawing/2014/chart" uri="{C3380CC4-5D6E-409C-BE32-E72D297353CC}">
                <c16:uniqueId val="{00000001-2C17-714F-AD10-3934E965FF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tables'!$A$21:$A$28</c:f>
              <c:strCache>
                <c:ptCount val="7"/>
                <c:pt idx="0">
                  <c:v>General Medicine</c:v>
                </c:pt>
                <c:pt idx="1">
                  <c:v>Pulmnology</c:v>
                </c:pt>
                <c:pt idx="2">
                  <c:v>ENT</c:v>
                </c:pt>
                <c:pt idx="3">
                  <c:v>Endocrinology</c:v>
                </c:pt>
                <c:pt idx="4">
                  <c:v>Oncology</c:v>
                </c:pt>
                <c:pt idx="5">
                  <c:v>Orthopedics</c:v>
                </c:pt>
                <c:pt idx="6">
                  <c:v>Cardiology</c:v>
                </c:pt>
              </c:strCache>
            </c:strRef>
          </c:cat>
          <c:val>
            <c:numRef>
              <c:f>'Pivot tables'!$B$21:$B$28</c:f>
              <c:numCache>
                <c:formatCode>_(* #,##0_);_(* \(#,##0\);_(* "-"_);_(@_)</c:formatCode>
                <c:ptCount val="7"/>
                <c:pt idx="0">
                  <c:v>981509484</c:v>
                </c:pt>
                <c:pt idx="1">
                  <c:v>648239720</c:v>
                </c:pt>
                <c:pt idx="2">
                  <c:v>589038976</c:v>
                </c:pt>
                <c:pt idx="3">
                  <c:v>414112924</c:v>
                </c:pt>
                <c:pt idx="4">
                  <c:v>331382248</c:v>
                </c:pt>
                <c:pt idx="5">
                  <c:v>313891936</c:v>
                </c:pt>
                <c:pt idx="6">
                  <c:v>276222056</c:v>
                </c:pt>
              </c:numCache>
            </c:numRef>
          </c:val>
          <c:extLst>
            <c:ext xmlns:c16="http://schemas.microsoft.com/office/drawing/2014/chart" uri="{C3380CC4-5D6E-409C-BE32-E72D297353CC}">
              <c16:uniqueId val="{00000002-2C17-714F-AD10-3934E965FFF2}"/>
            </c:ext>
          </c:extLst>
        </c:ser>
        <c:dLbls>
          <c:dLblPos val="outEnd"/>
          <c:showLegendKey val="0"/>
          <c:showVal val="1"/>
          <c:showCatName val="0"/>
          <c:showSerName val="0"/>
          <c:showPercent val="0"/>
          <c:showBubbleSize val="0"/>
        </c:dLbls>
        <c:gapWidth val="100"/>
        <c:axId val="830984575"/>
        <c:axId val="830986367"/>
      </c:barChart>
      <c:catAx>
        <c:axId val="83098457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G"/>
          </a:p>
        </c:txPr>
        <c:crossAx val="830986367"/>
        <c:crosses val="autoZero"/>
        <c:auto val="1"/>
        <c:lblAlgn val="ctr"/>
        <c:lblOffset val="100"/>
        <c:noMultiLvlLbl val="0"/>
      </c:catAx>
      <c:valAx>
        <c:axId val="830986367"/>
        <c:scaling>
          <c:orientation val="minMax"/>
        </c:scaling>
        <c:delete val="1"/>
        <c:axPos val="b"/>
        <c:numFmt formatCode="_(* #,##0_);_(* \(#,##0\);_(* &quot;-&quot;_);_(@_)" sourceLinked="1"/>
        <c:majorTickMark val="none"/>
        <c:minorTickMark val="none"/>
        <c:tickLblPos val="nextTo"/>
        <c:crossAx val="83098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2024.xlsx]Pivot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Patient count per Diagnosis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pivotFmt>
    </c:pivotFmts>
    <c:plotArea>
      <c:layout/>
      <c:barChart>
        <c:barDir val="col"/>
        <c:grouping val="clustered"/>
        <c:varyColors val="0"/>
        <c:ser>
          <c:idx val="0"/>
          <c:order val="0"/>
          <c:tx>
            <c:strRef>
              <c:f>'Pivot tables'!$B$31</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3814-1342-8F1A-586E9097AF8A}"/>
              </c:ext>
            </c:extLst>
          </c:dPt>
          <c:dPt>
            <c:idx val="3"/>
            <c:invertIfNegative val="0"/>
            <c:bubble3D val="0"/>
            <c:extLst>
              <c:ext xmlns:c16="http://schemas.microsoft.com/office/drawing/2014/chart" uri="{C3380CC4-5D6E-409C-BE32-E72D297353CC}">
                <c16:uniqueId val="{00000001-DA97-DC45-B63D-92A55709F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tables'!$A$32:$A$43</c:f>
              <c:strCache>
                <c:ptCount val="11"/>
                <c:pt idx="0">
                  <c:v>Diabetes</c:v>
                </c:pt>
                <c:pt idx="1">
                  <c:v>Cancer</c:v>
                </c:pt>
                <c:pt idx="2">
                  <c:v>Typhoid</c:v>
                </c:pt>
                <c:pt idx="3">
                  <c:v>Malaria</c:v>
                </c:pt>
                <c:pt idx="4">
                  <c:v>Fracture</c:v>
                </c:pt>
                <c:pt idx="5">
                  <c:v>Sinusitis</c:v>
                </c:pt>
                <c:pt idx="6">
                  <c:v>Asthma</c:v>
                </c:pt>
                <c:pt idx="7">
                  <c:v>Allergies</c:v>
                </c:pt>
                <c:pt idx="8">
                  <c:v>Flu</c:v>
                </c:pt>
                <c:pt idx="9">
                  <c:v>Pneumonia</c:v>
                </c:pt>
                <c:pt idx="10">
                  <c:v>Hypertension</c:v>
                </c:pt>
              </c:strCache>
            </c:strRef>
          </c:cat>
          <c:val>
            <c:numRef>
              <c:f>'Pivot tables'!$B$32:$B$43</c:f>
              <c:numCache>
                <c:formatCode>General</c:formatCode>
                <c:ptCount val="11"/>
                <c:pt idx="0">
                  <c:v>135</c:v>
                </c:pt>
                <c:pt idx="1">
                  <c:v>117</c:v>
                </c:pt>
                <c:pt idx="2">
                  <c:v>111</c:v>
                </c:pt>
                <c:pt idx="3">
                  <c:v>109</c:v>
                </c:pt>
                <c:pt idx="4">
                  <c:v>108</c:v>
                </c:pt>
                <c:pt idx="5">
                  <c:v>107</c:v>
                </c:pt>
                <c:pt idx="6">
                  <c:v>106</c:v>
                </c:pt>
                <c:pt idx="7">
                  <c:v>105</c:v>
                </c:pt>
                <c:pt idx="8">
                  <c:v>105</c:v>
                </c:pt>
                <c:pt idx="9">
                  <c:v>102</c:v>
                </c:pt>
                <c:pt idx="10">
                  <c:v>95</c:v>
                </c:pt>
              </c:numCache>
            </c:numRef>
          </c:val>
          <c:extLst>
            <c:ext xmlns:c16="http://schemas.microsoft.com/office/drawing/2014/chart" uri="{C3380CC4-5D6E-409C-BE32-E72D297353CC}">
              <c16:uniqueId val="{00000002-DA97-DC45-B63D-92A55709F76F}"/>
            </c:ext>
          </c:extLst>
        </c:ser>
        <c:dLbls>
          <c:dLblPos val="outEnd"/>
          <c:showLegendKey val="0"/>
          <c:showVal val="1"/>
          <c:showCatName val="0"/>
          <c:showSerName val="0"/>
          <c:showPercent val="0"/>
          <c:showBubbleSize val="0"/>
        </c:dLbls>
        <c:gapWidth val="219"/>
        <c:overlap val="-27"/>
        <c:axId val="816508287"/>
        <c:axId val="960271167"/>
      </c:barChart>
      <c:catAx>
        <c:axId val="816508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960271167"/>
        <c:crosses val="autoZero"/>
        <c:auto val="1"/>
        <c:lblAlgn val="ctr"/>
        <c:lblOffset val="100"/>
        <c:noMultiLvlLbl val="0"/>
      </c:catAx>
      <c:valAx>
        <c:axId val="960271167"/>
        <c:scaling>
          <c:orientation val="minMax"/>
        </c:scaling>
        <c:delete val="1"/>
        <c:axPos val="l"/>
        <c:numFmt formatCode="General" sourceLinked="1"/>
        <c:majorTickMark val="none"/>
        <c:minorTickMark val="none"/>
        <c:tickLblPos val="nextTo"/>
        <c:crossAx val="81650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2024.xlsx]Pivot 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Diagnosis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rgbClr val="FF7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2F92"/>
          </a:solidFill>
          <a:ln>
            <a:noFill/>
          </a:ln>
          <a:effectLst/>
        </c:spPr>
      </c:pivotFmt>
      <c:pivotFmt>
        <c:idx val="2"/>
        <c:spPr>
          <a:solidFill>
            <a:srgbClr val="FF7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2F92"/>
          </a:solidFill>
          <a:ln>
            <a:noFill/>
          </a:ln>
          <a:effectLst/>
        </c:spPr>
      </c:pivotFmt>
      <c:pivotFmt>
        <c:idx val="4"/>
        <c:spPr>
          <a:solidFill>
            <a:srgbClr val="FF7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2F92"/>
          </a:solidFill>
          <a:ln>
            <a:noFill/>
          </a:ln>
          <a:effectLst/>
        </c:spPr>
      </c:pivotFmt>
    </c:pivotFmts>
    <c:plotArea>
      <c:layout/>
      <c:barChart>
        <c:barDir val="bar"/>
        <c:grouping val="clustered"/>
        <c:varyColors val="0"/>
        <c:ser>
          <c:idx val="0"/>
          <c:order val="0"/>
          <c:tx>
            <c:strRef>
              <c:f>'Pivot tables'!$B$47</c:f>
              <c:strCache>
                <c:ptCount val="1"/>
                <c:pt idx="0">
                  <c:v>Total</c:v>
                </c:pt>
              </c:strCache>
            </c:strRef>
          </c:tx>
          <c:spPr>
            <a:solidFill>
              <a:srgbClr val="FF7E79"/>
            </a:solidFill>
            <a:ln>
              <a:noFill/>
            </a:ln>
            <a:effectLst/>
          </c:spPr>
          <c:invertIfNegative val="0"/>
          <c:dPt>
            <c:idx val="0"/>
            <c:invertIfNegative val="0"/>
            <c:bubble3D val="0"/>
            <c:spPr>
              <a:solidFill>
                <a:srgbClr val="FF2F92"/>
              </a:solidFill>
              <a:ln>
                <a:noFill/>
              </a:ln>
              <a:effectLst/>
            </c:spPr>
            <c:extLst>
              <c:ext xmlns:c16="http://schemas.microsoft.com/office/drawing/2014/chart" uri="{C3380CC4-5D6E-409C-BE32-E72D297353CC}">
                <c16:uniqueId val="{00000001-CA4E-CC4D-A2C8-4C42BC8D80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tables'!$A$48:$A$59</c:f>
              <c:strCache>
                <c:ptCount val="11"/>
                <c:pt idx="0">
                  <c:v>Diabetes</c:v>
                </c:pt>
                <c:pt idx="1">
                  <c:v>Typhoid</c:v>
                </c:pt>
                <c:pt idx="2">
                  <c:v>Asthma</c:v>
                </c:pt>
                <c:pt idx="3">
                  <c:v>Cancer</c:v>
                </c:pt>
                <c:pt idx="4">
                  <c:v>Flu</c:v>
                </c:pt>
                <c:pt idx="5">
                  <c:v>Malaria</c:v>
                </c:pt>
                <c:pt idx="6">
                  <c:v>Pneumonia</c:v>
                </c:pt>
                <c:pt idx="7">
                  <c:v>Fracture</c:v>
                </c:pt>
                <c:pt idx="8">
                  <c:v>Sinusitis</c:v>
                </c:pt>
                <c:pt idx="9">
                  <c:v>Allergies</c:v>
                </c:pt>
                <c:pt idx="10">
                  <c:v>Hypertension</c:v>
                </c:pt>
              </c:strCache>
            </c:strRef>
          </c:cat>
          <c:val>
            <c:numRef>
              <c:f>'Pivot tables'!$B$48:$B$59</c:f>
              <c:numCache>
                <c:formatCode>_(* #,##0_);_(* \(#,##0\);_(* "-"_);_(@_)</c:formatCode>
                <c:ptCount val="11"/>
                <c:pt idx="0">
                  <c:v>414112924</c:v>
                </c:pt>
                <c:pt idx="1">
                  <c:v>347342236</c:v>
                </c:pt>
                <c:pt idx="2">
                  <c:v>334058372</c:v>
                </c:pt>
                <c:pt idx="3">
                  <c:v>331382248</c:v>
                </c:pt>
                <c:pt idx="4">
                  <c:v>319972964</c:v>
                </c:pt>
                <c:pt idx="5">
                  <c:v>314194284</c:v>
                </c:pt>
                <c:pt idx="6">
                  <c:v>314181348</c:v>
                </c:pt>
                <c:pt idx="7">
                  <c:v>313891936</c:v>
                </c:pt>
                <c:pt idx="8">
                  <c:v>295342104</c:v>
                </c:pt>
                <c:pt idx="9">
                  <c:v>293696872</c:v>
                </c:pt>
                <c:pt idx="10">
                  <c:v>276222056</c:v>
                </c:pt>
              </c:numCache>
            </c:numRef>
          </c:val>
          <c:extLst>
            <c:ext xmlns:c16="http://schemas.microsoft.com/office/drawing/2014/chart" uri="{C3380CC4-5D6E-409C-BE32-E72D297353CC}">
              <c16:uniqueId val="{00000002-CA4E-CC4D-A2C8-4C42BC8D804A}"/>
            </c:ext>
          </c:extLst>
        </c:ser>
        <c:dLbls>
          <c:dLblPos val="outEnd"/>
          <c:showLegendKey val="0"/>
          <c:showVal val="1"/>
          <c:showCatName val="0"/>
          <c:showSerName val="0"/>
          <c:showPercent val="0"/>
          <c:showBubbleSize val="0"/>
        </c:dLbls>
        <c:gapWidth val="219"/>
        <c:axId val="772315711"/>
        <c:axId val="772312575"/>
      </c:barChart>
      <c:catAx>
        <c:axId val="77231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772312575"/>
        <c:crosses val="autoZero"/>
        <c:auto val="1"/>
        <c:lblAlgn val="ctr"/>
        <c:lblOffset val="100"/>
        <c:noMultiLvlLbl val="0"/>
      </c:catAx>
      <c:valAx>
        <c:axId val="772312575"/>
        <c:scaling>
          <c:orientation val="minMax"/>
        </c:scaling>
        <c:delete val="1"/>
        <c:axPos val="b"/>
        <c:numFmt formatCode="_(* #,##0_);_(* \(#,##0\);_(* &quot;-&quot;_);_(@_)" sourceLinked="1"/>
        <c:majorTickMark val="none"/>
        <c:minorTickMark val="none"/>
        <c:tickLblPos val="nextTo"/>
        <c:crossAx val="77231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12</xdr:row>
      <xdr:rowOff>12700</xdr:rowOff>
    </xdr:from>
    <xdr:to>
      <xdr:col>3</xdr:col>
      <xdr:colOff>431800</xdr:colOff>
      <xdr:row>15</xdr:row>
      <xdr:rowOff>12700</xdr:rowOff>
    </xdr:to>
    <xdr:sp macro="" textlink="">
      <xdr:nvSpPr>
        <xdr:cNvPr id="10" name="TextBox 9">
          <a:extLst>
            <a:ext uri="{FF2B5EF4-FFF2-40B4-BE49-F238E27FC236}">
              <a16:creationId xmlns:a16="http://schemas.microsoft.com/office/drawing/2014/main" id="{4B50902F-C344-320D-16F8-15E20B60A28B}"/>
            </a:ext>
          </a:extLst>
        </xdr:cNvPr>
        <xdr:cNvSpPr txBox="1"/>
      </xdr:nvSpPr>
      <xdr:spPr>
        <a:xfrm>
          <a:off x="190500" y="2451100"/>
          <a:ext cx="29464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General medicine has the highest patient load with 58 patients and Crdiology has the lowest patient load with 11 patients.</a:t>
          </a:r>
        </a:p>
      </xdr:txBody>
    </xdr:sp>
    <xdr:clientData/>
  </xdr:twoCellAnchor>
  <xdr:twoCellAnchor>
    <xdr:from>
      <xdr:col>2</xdr:col>
      <xdr:colOff>246381</xdr:colOff>
      <xdr:row>19</xdr:row>
      <xdr:rowOff>12700</xdr:rowOff>
    </xdr:from>
    <xdr:to>
      <xdr:col>6</xdr:col>
      <xdr:colOff>76200</xdr:colOff>
      <xdr:row>23</xdr:row>
      <xdr:rowOff>101600</xdr:rowOff>
    </xdr:to>
    <xdr:sp macro="" textlink="">
      <xdr:nvSpPr>
        <xdr:cNvPr id="11" name="TextBox 10">
          <a:extLst>
            <a:ext uri="{FF2B5EF4-FFF2-40B4-BE49-F238E27FC236}">
              <a16:creationId xmlns:a16="http://schemas.microsoft.com/office/drawing/2014/main" id="{61397DA2-752A-27E1-553B-1B116E725591}"/>
            </a:ext>
          </a:extLst>
        </xdr:cNvPr>
        <xdr:cNvSpPr txBox="1"/>
      </xdr:nvSpPr>
      <xdr:spPr>
        <a:xfrm>
          <a:off x="3395981" y="3873500"/>
          <a:ext cx="2293619" cy="90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Just like the number of patients is high, the revenue generated by the general medicine is the highest compared t all other departments.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615950</xdr:colOff>
      <xdr:row>2</xdr:row>
      <xdr:rowOff>63500</xdr:rowOff>
    </xdr:from>
    <xdr:to>
      <xdr:col>21</xdr:col>
      <xdr:colOff>793750</xdr:colOff>
      <xdr:row>9</xdr:row>
      <xdr:rowOff>25400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05A3F8E4-8171-F941-BBB2-6D91D04278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589250" y="952500"/>
              <a:ext cx="1828800" cy="1384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349250</xdr:colOff>
      <xdr:row>2</xdr:row>
      <xdr:rowOff>63500</xdr:rowOff>
    </xdr:from>
    <xdr:to>
      <xdr:col>19</xdr:col>
      <xdr:colOff>609600</xdr:colOff>
      <xdr:row>8</xdr:row>
      <xdr:rowOff>190500</xdr:rowOff>
    </xdr:to>
    <mc:AlternateContent xmlns:mc="http://schemas.openxmlformats.org/markup-compatibility/2006">
      <mc:Choice xmlns:a14="http://schemas.microsoft.com/office/drawing/2010/main" Requires="a14">
        <xdr:graphicFrame macro="">
          <xdr:nvGraphicFramePr>
            <xdr:cNvPr id="3" name="payment_status">
              <a:extLst>
                <a:ext uri="{FF2B5EF4-FFF2-40B4-BE49-F238E27FC236}">
                  <a16:creationId xmlns:a16="http://schemas.microsoft.com/office/drawing/2014/main" id="{36D5A8BF-5CF2-724A-915F-3BBAB232C861}"/>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13671550" y="952500"/>
              <a:ext cx="1911350" cy="134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374650</xdr:colOff>
      <xdr:row>2</xdr:row>
      <xdr:rowOff>63500</xdr:rowOff>
    </xdr:from>
    <xdr:to>
      <xdr:col>17</xdr:col>
      <xdr:colOff>292100</xdr:colOff>
      <xdr:row>8</xdr:row>
      <xdr:rowOff>165100</xdr:rowOff>
    </xdr:to>
    <mc:AlternateContent xmlns:mc="http://schemas.openxmlformats.org/markup-compatibility/2006">
      <mc:Choice xmlns:a14="http://schemas.microsoft.com/office/drawing/2010/main" Requires="a14">
        <xdr:graphicFrame macro="">
          <xdr:nvGraphicFramePr>
            <xdr:cNvPr id="4" name="Doctor">
              <a:extLst>
                <a:ext uri="{FF2B5EF4-FFF2-40B4-BE49-F238E27FC236}">
                  <a16:creationId xmlns:a16="http://schemas.microsoft.com/office/drawing/2014/main" id="{99B3477F-5E2A-174F-AD24-B464DF073AD4}"/>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1220450" y="952500"/>
              <a:ext cx="2393950" cy="132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9</xdr:row>
      <xdr:rowOff>76200</xdr:rowOff>
    </xdr:from>
    <xdr:to>
      <xdr:col>13</xdr:col>
      <xdr:colOff>127000</xdr:colOff>
      <xdr:row>22</xdr:row>
      <xdr:rowOff>76200</xdr:rowOff>
    </xdr:to>
    <xdr:graphicFrame macro="">
      <xdr:nvGraphicFramePr>
        <xdr:cNvPr id="5" name="Patient/Department">
          <a:extLst>
            <a:ext uri="{FF2B5EF4-FFF2-40B4-BE49-F238E27FC236}">
              <a16:creationId xmlns:a16="http://schemas.microsoft.com/office/drawing/2014/main" id="{5AD05FB1-2FCD-004D-92A0-A139EBA8F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774700</xdr:colOff>
      <xdr:row>9</xdr:row>
      <xdr:rowOff>6350</xdr:rowOff>
    </xdr:from>
    <xdr:to>
      <xdr:col>22</xdr:col>
      <xdr:colOff>12700</xdr:colOff>
      <xdr:row>23</xdr:row>
      <xdr:rowOff>177800</xdr:rowOff>
    </xdr:to>
    <xdr:graphicFrame macro="">
      <xdr:nvGraphicFramePr>
        <xdr:cNvPr id="6" name="Chart 5">
          <a:extLst>
            <a:ext uri="{FF2B5EF4-FFF2-40B4-BE49-F238E27FC236}">
              <a16:creationId xmlns:a16="http://schemas.microsoft.com/office/drawing/2014/main" id="{44DF9C96-A6FD-D74E-99CD-8F6A1BDC4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800100</xdr:colOff>
      <xdr:row>24</xdr:row>
      <xdr:rowOff>57150</xdr:rowOff>
    </xdr:from>
    <xdr:to>
      <xdr:col>22</xdr:col>
      <xdr:colOff>25400</xdr:colOff>
      <xdr:row>42</xdr:row>
      <xdr:rowOff>25400</xdr:rowOff>
    </xdr:to>
    <xdr:graphicFrame macro="">
      <xdr:nvGraphicFramePr>
        <xdr:cNvPr id="7" name="Chart 6">
          <a:extLst>
            <a:ext uri="{FF2B5EF4-FFF2-40B4-BE49-F238E27FC236}">
              <a16:creationId xmlns:a16="http://schemas.microsoft.com/office/drawing/2014/main" id="{6EB70788-EAB5-BA4D-8563-AB2932BD4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2</xdr:row>
      <xdr:rowOff>63500</xdr:rowOff>
    </xdr:from>
    <xdr:to>
      <xdr:col>11</xdr:col>
      <xdr:colOff>749300</xdr:colOff>
      <xdr:row>8</xdr:row>
      <xdr:rowOff>165100</xdr:rowOff>
    </xdr:to>
    <mc:AlternateContent xmlns:mc="http://schemas.openxmlformats.org/markup-compatibility/2006">
      <mc:Choice xmlns:tsle="http://schemas.microsoft.com/office/drawing/2012/timeslicer" Requires="tsle">
        <xdr:graphicFrame macro="">
          <xdr:nvGraphicFramePr>
            <xdr:cNvPr id="8" name="Admission date">
              <a:extLst>
                <a:ext uri="{FF2B5EF4-FFF2-40B4-BE49-F238E27FC236}">
                  <a16:creationId xmlns:a16="http://schemas.microsoft.com/office/drawing/2014/main" id="{DA8118E6-3751-3144-8E6C-9DFA17BDD9EF}"/>
                </a:ext>
              </a:extLst>
            </xdr:cNvPr>
            <xdr:cNvGraphicFramePr/>
          </xdr:nvGraphicFramePr>
          <xdr:xfrm>
            <a:off x="0" y="0"/>
            <a:ext cx="0" cy="0"/>
          </xdr:xfrm>
          <a:graphic>
            <a:graphicData uri="http://schemas.microsoft.com/office/drawing/2012/timeslicer">
              <tsle:timeslicer xmlns:tsle="http://schemas.microsoft.com/office/drawing/2012/timeslicer" name="Admission date"/>
            </a:graphicData>
          </a:graphic>
        </xdr:graphicFrame>
      </mc:Choice>
      <mc:Fallback>
        <xdr:sp macro="" textlink="">
          <xdr:nvSpPr>
            <xdr:cNvPr id="0" name=""/>
            <xdr:cNvSpPr>
              <a:spLocks noTextEdit="1"/>
            </xdr:cNvSpPr>
          </xdr:nvSpPr>
          <xdr:spPr>
            <a:xfrm>
              <a:off x="3416300" y="952500"/>
              <a:ext cx="5702300" cy="1320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2</xdr:col>
      <xdr:colOff>12700</xdr:colOff>
      <xdr:row>16</xdr:row>
      <xdr:rowOff>76200</xdr:rowOff>
    </xdr:from>
    <xdr:to>
      <xdr:col>4</xdr:col>
      <xdr:colOff>800100</xdr:colOff>
      <xdr:row>21</xdr:row>
      <xdr:rowOff>0</xdr:rowOff>
    </xdr:to>
    <xdr:sp macro="" textlink="">
      <xdr:nvSpPr>
        <xdr:cNvPr id="9" name="TextBox 8">
          <a:extLst>
            <a:ext uri="{FF2B5EF4-FFF2-40B4-BE49-F238E27FC236}">
              <a16:creationId xmlns:a16="http://schemas.microsoft.com/office/drawing/2014/main" id="{FCBAF01A-6CF7-D63C-D44B-77A18D42A04A}"/>
            </a:ext>
          </a:extLst>
        </xdr:cNvPr>
        <xdr:cNvSpPr txBox="1"/>
      </xdr:nvSpPr>
      <xdr:spPr>
        <a:xfrm>
          <a:off x="952500" y="3810000"/>
          <a:ext cx="2438400" cy="104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800" b="1" i="0" u="none" strike="noStrike">
              <a:solidFill>
                <a:schemeClr val="dk1"/>
              </a:solidFill>
              <a:effectLst/>
              <a:latin typeface="+mn-lt"/>
              <a:ea typeface="+mn-ea"/>
              <a:cs typeface="+mn-cs"/>
            </a:rPr>
            <a:t>3,554,397,344 </a:t>
          </a:r>
          <a:endParaRPr lang="en-GB" sz="2800" b="1">
            <a:effectLst/>
          </a:endParaRPr>
        </a:p>
        <a:p>
          <a:pPr algn="ctr"/>
          <a:r>
            <a:rPr lang="en-GB" sz="2400" b="0" i="0" u="none" strike="noStrike">
              <a:solidFill>
                <a:schemeClr val="dk1"/>
              </a:solidFill>
              <a:effectLst/>
              <a:latin typeface="+mn-lt"/>
              <a:ea typeface="+mn-ea"/>
              <a:cs typeface="+mn-cs"/>
            </a:rPr>
            <a:t>Total Revenue</a:t>
          </a:r>
          <a:r>
            <a:rPr lang="en-GB" sz="2400" b="0">
              <a:effectLst/>
            </a:rPr>
            <a:t> </a:t>
          </a:r>
          <a:r>
            <a:rPr lang="en-GB" sz="2400" b="0" i="0" u="none" strike="noStrike">
              <a:solidFill>
                <a:schemeClr val="dk1"/>
              </a:solidFill>
              <a:effectLst/>
              <a:latin typeface="+mn-lt"/>
              <a:ea typeface="+mn-ea"/>
              <a:cs typeface="+mn-cs"/>
            </a:rPr>
            <a:t>               </a:t>
          </a:r>
          <a:endParaRPr lang="en-GB" sz="2400" b="0"/>
        </a:p>
      </xdr:txBody>
    </xdr:sp>
    <xdr:clientData/>
  </xdr:twoCellAnchor>
  <xdr:twoCellAnchor>
    <xdr:from>
      <xdr:col>2</xdr:col>
      <xdr:colOff>12700</xdr:colOff>
      <xdr:row>9</xdr:row>
      <xdr:rowOff>114300</xdr:rowOff>
    </xdr:from>
    <xdr:to>
      <xdr:col>4</xdr:col>
      <xdr:colOff>774700</xdr:colOff>
      <xdr:row>15</xdr:row>
      <xdr:rowOff>190500</xdr:rowOff>
    </xdr:to>
    <xdr:sp macro="" textlink="">
      <xdr:nvSpPr>
        <xdr:cNvPr id="10" name="TextBox 9">
          <a:extLst>
            <a:ext uri="{FF2B5EF4-FFF2-40B4-BE49-F238E27FC236}">
              <a16:creationId xmlns:a16="http://schemas.microsoft.com/office/drawing/2014/main" id="{D4468F6A-13F2-0EFB-E443-BB9492350559}"/>
            </a:ext>
          </a:extLst>
        </xdr:cNvPr>
        <xdr:cNvSpPr txBox="1"/>
      </xdr:nvSpPr>
      <xdr:spPr>
        <a:xfrm>
          <a:off x="952500" y="2425700"/>
          <a:ext cx="241300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4000" b="1" i="0" u="none" strike="noStrike">
              <a:solidFill>
                <a:schemeClr val="dk1"/>
              </a:solidFill>
              <a:effectLst/>
              <a:latin typeface="+mn-lt"/>
              <a:ea typeface="+mn-ea"/>
              <a:cs typeface="+mn-cs"/>
            </a:rPr>
            <a:t>59%</a:t>
          </a:r>
          <a:r>
            <a:rPr lang="en-GB" sz="4000" b="1">
              <a:effectLst/>
            </a:rPr>
            <a:t> </a:t>
          </a:r>
          <a:endParaRPr lang="en-GB" sz="40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3200" b="0" i="0" u="none" strike="noStrike">
              <a:solidFill>
                <a:schemeClr val="dk1"/>
              </a:solidFill>
              <a:effectLst/>
              <a:latin typeface="+mn-lt"/>
              <a:ea typeface="+mn-ea"/>
              <a:cs typeface="+mn-cs"/>
            </a:rPr>
            <a:t>% Bills</a:t>
          </a:r>
          <a:r>
            <a:rPr lang="en-GB" sz="3200" b="0">
              <a:effectLst/>
            </a:rPr>
            <a:t> Paid</a:t>
          </a:r>
          <a:endParaRPr lang="en-GB" sz="3200" b="0"/>
        </a:p>
      </xdr:txBody>
    </xdr:sp>
    <xdr:clientData/>
  </xdr:twoCellAnchor>
  <xdr:twoCellAnchor>
    <xdr:from>
      <xdr:col>2</xdr:col>
      <xdr:colOff>25400</xdr:colOff>
      <xdr:row>2</xdr:row>
      <xdr:rowOff>190500</xdr:rowOff>
    </xdr:from>
    <xdr:to>
      <xdr:col>4</xdr:col>
      <xdr:colOff>660400</xdr:colOff>
      <xdr:row>9</xdr:row>
      <xdr:rowOff>0</xdr:rowOff>
    </xdr:to>
    <xdr:sp macro="" textlink="">
      <xdr:nvSpPr>
        <xdr:cNvPr id="11" name="TextBox 10">
          <a:extLst>
            <a:ext uri="{FF2B5EF4-FFF2-40B4-BE49-F238E27FC236}">
              <a16:creationId xmlns:a16="http://schemas.microsoft.com/office/drawing/2014/main" id="{79414E89-AAC8-6978-7FC0-11A16138F5F0}"/>
            </a:ext>
          </a:extLst>
        </xdr:cNvPr>
        <xdr:cNvSpPr txBox="1"/>
      </xdr:nvSpPr>
      <xdr:spPr>
        <a:xfrm>
          <a:off x="965200" y="1079500"/>
          <a:ext cx="2286000" cy="1231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3200" b="1" i="0" u="none" strike="noStrike">
              <a:solidFill>
                <a:schemeClr val="dk1"/>
              </a:solidFill>
              <a:effectLst/>
              <a:latin typeface="+mn-lt"/>
              <a:ea typeface="+mn-ea"/>
              <a:cs typeface="+mn-cs"/>
            </a:rPr>
            <a:t>1201</a:t>
          </a:r>
          <a:r>
            <a:rPr lang="en-GB" sz="3200" b="1">
              <a:effectLst/>
            </a:rPr>
            <a:t> </a:t>
          </a:r>
          <a:endParaRPr lang="en-GB" sz="32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2400" b="0" i="0" u="none" strike="noStrike">
              <a:solidFill>
                <a:schemeClr val="dk1"/>
              </a:solidFill>
              <a:effectLst/>
              <a:latin typeface="+mn-lt"/>
              <a:ea typeface="+mn-ea"/>
              <a:cs typeface="+mn-cs"/>
            </a:rPr>
            <a:t>Count of Patients</a:t>
          </a:r>
          <a:r>
            <a:rPr lang="en-GB" sz="2400" b="0">
              <a:effectLst/>
            </a:rPr>
            <a:t> </a:t>
          </a:r>
          <a:endParaRPr lang="en-GB" sz="2400" b="0"/>
        </a:p>
      </xdr:txBody>
    </xdr:sp>
    <xdr:clientData/>
  </xdr:twoCellAnchor>
  <xdr:twoCellAnchor>
    <xdr:from>
      <xdr:col>2</xdr:col>
      <xdr:colOff>12700</xdr:colOff>
      <xdr:row>21</xdr:row>
      <xdr:rowOff>101600</xdr:rowOff>
    </xdr:from>
    <xdr:to>
      <xdr:col>4</xdr:col>
      <xdr:colOff>749300</xdr:colOff>
      <xdr:row>29</xdr:row>
      <xdr:rowOff>114300</xdr:rowOff>
    </xdr:to>
    <xdr:sp macro="" textlink="">
      <xdr:nvSpPr>
        <xdr:cNvPr id="12" name="TextBox 11">
          <a:extLst>
            <a:ext uri="{FF2B5EF4-FFF2-40B4-BE49-F238E27FC236}">
              <a16:creationId xmlns:a16="http://schemas.microsoft.com/office/drawing/2014/main" id="{B158845B-BCC1-6F75-2CA2-639D926EC6A7}"/>
            </a:ext>
          </a:extLst>
        </xdr:cNvPr>
        <xdr:cNvSpPr txBox="1"/>
      </xdr:nvSpPr>
      <xdr:spPr>
        <a:xfrm>
          <a:off x="952500" y="4953000"/>
          <a:ext cx="2387600"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3600" b="1" i="0" u="none" strike="noStrike">
              <a:solidFill>
                <a:schemeClr val="dk1"/>
              </a:solidFill>
              <a:effectLst/>
              <a:latin typeface="+mn-lt"/>
              <a:ea typeface="+mn-ea"/>
              <a:cs typeface="+mn-cs"/>
            </a:rPr>
            <a:t>8</a:t>
          </a:r>
          <a:r>
            <a:rPr lang="en-GB" sz="3600" b="1">
              <a:effectLst/>
            </a:rPr>
            <a:t> </a:t>
          </a:r>
          <a:endParaRPr lang="en-GB" sz="3600" b="1" i="0" u="none" strike="noStrike">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GB" sz="2800" b="0" i="0" u="none" strike="noStrike">
              <a:solidFill>
                <a:schemeClr val="dk1"/>
              </a:solidFill>
              <a:effectLst/>
              <a:latin typeface="+mn-lt"/>
              <a:ea typeface="+mn-ea"/>
              <a:cs typeface="+mn-cs"/>
            </a:rPr>
            <a:t>Average length of stay</a:t>
          </a:r>
          <a:r>
            <a:rPr lang="en-GB" sz="2800" b="0">
              <a:effectLst/>
            </a:rPr>
            <a:t> (days)</a:t>
          </a:r>
          <a:endParaRPr lang="en-GB" sz="2800" b="0"/>
        </a:p>
      </xdr:txBody>
    </xdr:sp>
    <xdr:clientData/>
  </xdr:twoCellAnchor>
  <xdr:twoCellAnchor>
    <xdr:from>
      <xdr:col>4</xdr:col>
      <xdr:colOff>812800</xdr:colOff>
      <xdr:row>22</xdr:row>
      <xdr:rowOff>50800</xdr:rowOff>
    </xdr:from>
    <xdr:to>
      <xdr:col>13</xdr:col>
      <xdr:colOff>685800</xdr:colOff>
      <xdr:row>42</xdr:row>
      <xdr:rowOff>12700</xdr:rowOff>
    </xdr:to>
    <xdr:graphicFrame macro="">
      <xdr:nvGraphicFramePr>
        <xdr:cNvPr id="13" name="Chart 12">
          <a:extLst>
            <a:ext uri="{FF2B5EF4-FFF2-40B4-BE49-F238E27FC236}">
              <a16:creationId xmlns:a16="http://schemas.microsoft.com/office/drawing/2014/main" id="{47112843-134B-7D4A-9D2D-F3AA9C2DA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812800</xdr:colOff>
      <xdr:row>2</xdr:row>
      <xdr:rowOff>76200</xdr:rowOff>
    </xdr:from>
    <xdr:to>
      <xdr:col>14</xdr:col>
      <xdr:colOff>342900</xdr:colOff>
      <xdr:row>8</xdr:row>
      <xdr:rowOff>177800</xdr:rowOff>
    </xdr:to>
    <mc:AlternateContent xmlns:mc="http://schemas.openxmlformats.org/markup-compatibility/2006">
      <mc:Choice xmlns:a14="http://schemas.microsoft.com/office/drawing/2010/main" Requires="a14">
        <xdr:graphicFrame macro="">
          <xdr:nvGraphicFramePr>
            <xdr:cNvPr id="14" name="insurance">
              <a:extLst>
                <a:ext uri="{FF2B5EF4-FFF2-40B4-BE49-F238E27FC236}">
                  <a16:creationId xmlns:a16="http://schemas.microsoft.com/office/drawing/2014/main" id="{5C465A19-F145-DD42-BDCE-CC822BCAA5D7}"/>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dr:sp macro="" textlink="">
          <xdr:nvSpPr>
            <xdr:cNvPr id="0" name=""/>
            <xdr:cNvSpPr>
              <a:spLocks noTextEdit="1"/>
            </xdr:cNvSpPr>
          </xdr:nvSpPr>
          <xdr:spPr>
            <a:xfrm>
              <a:off x="9182100" y="965200"/>
              <a:ext cx="2006600" cy="1320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3.533640740738" createdVersion="8" refreshedVersion="8" minRefreshableVersion="3" recordCount="1200" xr:uid="{7090380A-CEDB-1446-8BBB-57116F956DFD}">
  <cacheSource type="worksheet">
    <worksheetSource name="Hospital_Data"/>
  </cacheSource>
  <cacheFields count="16">
    <cacheField name="Patient_ID" numFmtId="0">
      <sharedItems/>
    </cacheField>
    <cacheField name="Name" numFmtId="0">
      <sharedItems/>
    </cacheField>
    <cacheField name="gender" numFmtId="0">
      <sharedItems count="3">
        <s v="Male"/>
        <s v="Female"/>
        <s v="Other"/>
      </sharedItems>
    </cacheField>
    <cacheField name="Date of Birth" numFmtId="164">
      <sharedItems containsSemiMixedTypes="0" containsNonDate="0" containsDate="1" containsString="0" minDate="1950-02-28T00:00:00" maxDate="2009-10-24T00:00:00"/>
    </cacheField>
    <cacheField name="Admission date" numFmtId="164">
      <sharedItems containsSemiMixedTypes="0" containsNonDate="0" containsDate="1" containsString="0" minDate="2024-01-01T00:00:00" maxDate="2024-07-01T00:00:00" count="182">
        <d v="2024-02-27T00:00:00"/>
        <d v="2024-05-30T00:00:00"/>
        <d v="2024-05-17T00:00:00"/>
        <d v="2024-04-07T00:00:00"/>
        <d v="2024-06-24T00:00:00"/>
        <d v="2024-06-13T00:00:00"/>
        <d v="2024-02-09T00:00:00"/>
        <d v="2024-02-10T00:00:00"/>
        <d v="2024-01-05T00:00:00"/>
        <d v="2024-05-15T00:00:00"/>
        <d v="2024-03-03T00:00:00"/>
        <d v="2024-01-28T00:00:00"/>
        <d v="2024-01-24T00:00:00"/>
        <d v="2024-01-31T00:00:00"/>
        <d v="2024-04-27T00:00:00"/>
        <d v="2024-04-22T00:00:00"/>
        <d v="2024-03-28T00:00:00"/>
        <d v="2024-05-23T00:00:00"/>
        <d v="2024-03-31T00:00:00"/>
        <d v="2024-06-22T00:00:00"/>
        <d v="2024-03-06T00:00:00"/>
        <d v="2024-04-13T00:00:00"/>
        <d v="2024-04-23T00:00:00"/>
        <d v="2024-06-05T00:00:00"/>
        <d v="2024-02-01T00:00:00"/>
        <d v="2024-05-13T00:00:00"/>
        <d v="2024-01-17T00:00:00"/>
        <d v="2024-05-04T00:00:00"/>
        <d v="2024-01-22T00:00:00"/>
        <d v="2024-04-29T00:00:00"/>
        <d v="2024-05-24T00:00:00"/>
        <d v="2024-06-06T00:00:00"/>
        <d v="2024-06-14T00:00:00"/>
        <d v="2024-03-10T00:00:00"/>
        <d v="2024-03-16T00:00:00"/>
        <d v="2024-05-02T00:00:00"/>
        <d v="2024-03-08T00:00:00"/>
        <d v="2024-06-09T00:00:00"/>
        <d v="2024-06-28T00:00:00"/>
        <d v="2024-02-14T00:00:00"/>
        <d v="2024-03-14T00:00:00"/>
        <d v="2024-05-12T00:00:00"/>
        <d v="2024-05-21T00:00:00"/>
        <d v="2024-04-08T00:00:00"/>
        <d v="2024-04-24T00:00:00"/>
        <d v="2024-06-18T00:00:00"/>
        <d v="2024-06-08T00:00:00"/>
        <d v="2024-01-26T00:00:00"/>
        <d v="2024-03-29T00:00:00"/>
        <d v="2024-03-11T00:00:00"/>
        <d v="2024-03-20T00:00:00"/>
        <d v="2024-05-29T00:00:00"/>
        <d v="2024-02-05T00:00:00"/>
        <d v="2024-06-16T00:00:00"/>
        <d v="2024-04-11T00:00:00"/>
        <d v="2024-03-01T00:00:00"/>
        <d v="2024-06-17T00:00:00"/>
        <d v="2024-04-19T00:00:00"/>
        <d v="2024-06-20T00:00:00"/>
        <d v="2024-05-26T00:00:00"/>
        <d v="2024-01-18T00:00:00"/>
        <d v="2024-06-07T00:00:00"/>
        <d v="2024-05-14T00:00:00"/>
        <d v="2024-02-03T00:00:00"/>
        <d v="2024-03-15T00:00:00"/>
        <d v="2024-02-26T00:00:00"/>
        <d v="2024-02-15T00:00:00"/>
        <d v="2024-03-23T00:00:00"/>
        <d v="2024-04-03T00:00:00"/>
        <d v="2024-01-21T00:00:00"/>
        <d v="2024-05-10T00:00:00"/>
        <d v="2024-01-07T00:00:00"/>
        <d v="2024-01-10T00:00:00"/>
        <d v="2024-02-04T00:00:00"/>
        <d v="2024-06-25T00:00:00"/>
        <d v="2024-01-09T00:00:00"/>
        <d v="2024-05-27T00:00:00"/>
        <d v="2024-05-08T00:00:00"/>
        <d v="2024-06-04T00:00:00"/>
        <d v="2024-03-02T00:00:00"/>
        <d v="2024-01-12T00:00:00"/>
        <d v="2024-04-10T00:00:00"/>
        <d v="2024-03-25T00:00:00"/>
        <d v="2024-06-15T00:00:00"/>
        <d v="2024-03-26T00:00:00"/>
        <d v="2024-03-27T00:00:00"/>
        <d v="2024-03-07T00:00:00"/>
        <d v="2024-03-04T00:00:00"/>
        <d v="2024-05-28T00:00:00"/>
        <d v="2024-04-06T00:00:00"/>
        <d v="2024-04-28T00:00:00"/>
        <d v="2024-06-01T00:00:00"/>
        <d v="2024-02-08T00:00:00"/>
        <d v="2024-02-22T00:00:00"/>
        <d v="2024-03-19T00:00:00"/>
        <d v="2024-02-17T00:00:00"/>
        <d v="2024-01-25T00:00:00"/>
        <d v="2024-05-25T00:00:00"/>
        <d v="2024-03-24T00:00:00"/>
        <d v="2024-05-22T00:00:00"/>
        <d v="2024-06-23T00:00:00"/>
        <d v="2024-05-03T00:00:00"/>
        <d v="2024-03-22T00:00:00"/>
        <d v="2024-05-20T00:00:00"/>
        <d v="2024-01-16T00:00:00"/>
        <d v="2024-05-06T00:00:00"/>
        <d v="2024-04-26T00:00:00"/>
        <d v="2024-06-26T00:00:00"/>
        <d v="2024-01-19T00:00:00"/>
        <d v="2024-02-06T00:00:00"/>
        <d v="2024-04-21T00:00:00"/>
        <d v="2024-02-12T00:00:00"/>
        <d v="2024-02-25T00:00:00"/>
        <d v="2024-01-06T00:00:00"/>
        <d v="2024-03-17T00:00:00"/>
        <d v="2024-04-04T00:00:00"/>
        <d v="2024-04-09T00:00:00"/>
        <d v="2024-05-09T00:00:00"/>
        <d v="2024-01-13T00:00:00"/>
        <d v="2024-06-02T00:00:00"/>
        <d v="2024-01-15T00:00:00"/>
        <d v="2024-02-19T00:00:00"/>
        <d v="2024-02-18T00:00:00"/>
        <d v="2024-03-18T00:00:00"/>
        <d v="2024-01-30T00:00:00"/>
        <d v="2024-02-16T00:00:00"/>
        <d v="2024-01-23T00:00:00"/>
        <d v="2024-04-18T00:00:00"/>
        <d v="2024-04-01T00:00:00"/>
        <d v="2024-01-04T00:00:00"/>
        <d v="2024-05-05T00:00:00"/>
        <d v="2024-06-21T00:00:00"/>
        <d v="2024-02-11T00:00:00"/>
        <d v="2024-03-21T00:00:00"/>
        <d v="2024-05-31T00:00:00"/>
        <d v="2024-02-23T00:00:00"/>
        <d v="2024-05-01T00:00:00"/>
        <d v="2024-03-30T00:00:00"/>
        <d v="2024-06-11T00:00:00"/>
        <d v="2024-05-07T00:00:00"/>
        <d v="2024-03-05T00:00:00"/>
        <d v="2024-05-16T00:00:00"/>
        <d v="2024-04-02T00:00:00"/>
        <d v="2024-01-14T00:00:00"/>
        <d v="2024-02-20T00:00:00"/>
        <d v="2024-04-16T00:00:00"/>
        <d v="2024-04-20T00:00:00"/>
        <d v="2024-04-25T00:00:00"/>
        <d v="2024-01-01T00:00:00"/>
        <d v="2024-04-15T00:00:00"/>
        <d v="2024-02-07T00:00:00"/>
        <d v="2024-01-03T00:00:00"/>
        <d v="2024-06-10T00:00:00"/>
        <d v="2024-05-18T00:00:00"/>
        <d v="2024-04-17T00:00:00"/>
        <d v="2024-01-11T00:00:00"/>
        <d v="2024-06-29T00:00:00"/>
        <d v="2024-01-29T00:00:00"/>
        <d v="2024-05-19T00:00:00"/>
        <d v="2024-02-21T00:00:00"/>
        <d v="2024-05-11T00:00:00"/>
        <d v="2024-02-02T00:00:00"/>
        <d v="2024-04-30T00:00:00"/>
        <d v="2024-02-13T00:00:00"/>
        <d v="2024-03-13T00:00:00"/>
        <d v="2024-03-09T00:00:00"/>
        <d v="2024-01-27T00:00:00"/>
        <d v="2024-01-08T00:00:00"/>
        <d v="2024-02-24T00:00:00"/>
        <d v="2024-06-30T00:00:00"/>
        <d v="2024-03-12T00:00:00"/>
        <d v="2024-06-12T00:00:00"/>
        <d v="2024-02-28T00:00:00"/>
        <d v="2024-06-27T00:00:00"/>
        <d v="2024-04-14T00:00:00"/>
        <d v="2024-01-02T00:00:00"/>
        <d v="2024-06-19T00:00:00"/>
        <d v="2024-04-05T00:00:00"/>
        <d v="2024-01-20T00:00:00"/>
        <d v="2024-06-03T00:00:00"/>
        <d v="2024-04-12T00:00:00"/>
        <d v="2024-02-29T00:00:00"/>
      </sharedItems>
    </cacheField>
    <cacheField name="Discharge date" numFmtId="164">
      <sharedItems containsDate="1" containsMixedTypes="1" minDate="2024-01-03T00:00:00" maxDate="2024-07-15T00:00:00"/>
    </cacheField>
    <cacheField name="Diagnosis" numFmtId="0">
      <sharedItems count="11">
        <s v="Allergies"/>
        <s v="Hypertension"/>
        <s v="Fracture"/>
        <s v="Diabetes"/>
        <s v="Asthma"/>
        <s v="Typhoid"/>
        <s v="Sinusitis"/>
        <s v="Pneumonia"/>
        <s v="Flu"/>
        <s v="Malaria"/>
        <s v="Cancer"/>
      </sharedItems>
    </cacheField>
    <cacheField name="Department" numFmtId="0">
      <sharedItems count="7">
        <s v="ENT"/>
        <s v="Cardiology"/>
        <s v="Orthopedics"/>
        <s v="Endocrinology"/>
        <s v="Pulmnology"/>
        <s v="General Medicine"/>
        <s v="Oncology"/>
      </sharedItems>
    </cacheField>
    <cacheField name="Doctor" numFmtId="0">
      <sharedItems count="5">
        <s v="Dr Smith"/>
        <s v="Dr Adams"/>
        <s v="Dr Strange"/>
        <s v="Dr Patel"/>
        <s v="Dr Lee"/>
      </sharedItems>
    </cacheField>
    <cacheField name="billing_amount" numFmtId="41">
      <sharedItems containsSemiMixedTypes="0" containsString="0" containsNumber="1" containsInteger="1" minValue="367500" maxValue="5654228"/>
    </cacheField>
    <cacheField name="payment_status" numFmtId="0">
      <sharedItems count="3">
        <s v="Paid"/>
        <s v="Partial"/>
        <s v="Unpaid"/>
      </sharedItems>
    </cacheField>
    <cacheField name="insurance" numFmtId="0">
      <sharedItems count="3">
        <s v="No"/>
        <s v="Yes"/>
        <s v="Not Stated"/>
      </sharedItems>
    </cacheField>
    <cacheField name="hospital_branch" numFmtId="0">
      <sharedItems/>
    </cacheField>
    <cacheField name="Length of Stay" numFmtId="0">
      <sharedItems containsMixedTypes="1" containsNumber="1" containsInteger="1" minValue="1" maxValue="15"/>
    </cacheField>
    <cacheField name="Outcome" numFmtId="0">
      <sharedItems/>
    </cacheField>
    <cacheField name="Age at Admission" numFmtId="0">
      <sharedItems containsSemiMixedTypes="0" containsString="0" containsNumber="1" containsInteger="1" minValue="15" maxValue="74"/>
    </cacheField>
  </cacheFields>
  <extLst>
    <ext xmlns:x14="http://schemas.microsoft.com/office/spreadsheetml/2009/9/main" uri="{725AE2AE-9491-48be-B2B4-4EB974FC3084}">
      <x14:pivotCacheDefinition pivotCacheId="845077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P000"/>
    <s v="Sarah Connor"/>
    <x v="0"/>
    <d v="1974-09-04T00:00:00"/>
    <x v="0"/>
    <d v="2024-03-09T00:00:00"/>
    <x v="0"/>
    <x v="0"/>
    <x v="0"/>
    <n v="607292"/>
    <x v="0"/>
    <x v="0"/>
    <s v="Jinja"/>
    <n v="11"/>
    <s v="Recovered"/>
    <n v="50"/>
  </r>
  <r>
    <s v="P001"/>
    <s v="Stephen Strange"/>
    <x v="1"/>
    <d v="1969-10-11T00:00:00"/>
    <x v="1"/>
    <d v="2024-05-31T00:00:00"/>
    <x v="1"/>
    <x v="1"/>
    <x v="1"/>
    <n v="1576696"/>
    <x v="0"/>
    <x v="1"/>
    <s v="Kampala"/>
    <n v="1"/>
    <s v="Referred"/>
    <n v="55"/>
  </r>
  <r>
    <s v="P002"/>
    <s v="Chris Evans"/>
    <x v="2"/>
    <d v="1953-11-24T00:00:00"/>
    <x v="2"/>
    <d v="2024-05-24T00:00:00"/>
    <x v="2"/>
    <x v="2"/>
    <x v="2"/>
    <n v="4854500"/>
    <x v="1"/>
    <x v="0"/>
    <s v="Jinja"/>
    <n v="7"/>
    <s v="not stated"/>
    <n v="71"/>
  </r>
  <r>
    <s v="P003"/>
    <s v="Peter Parker"/>
    <x v="0"/>
    <d v="1970-11-20T00:00:00"/>
    <x v="3"/>
    <d v="2024-04-21T00:00:00"/>
    <x v="3"/>
    <x v="3"/>
    <x v="1"/>
    <n v="1851500"/>
    <x v="0"/>
    <x v="0"/>
    <s v="Jinja"/>
    <n v="14"/>
    <s v="Referred"/>
    <n v="54"/>
  </r>
  <r>
    <s v="P004"/>
    <s v="Chris Evans"/>
    <x v="1"/>
    <d v="1999-12-20T00:00:00"/>
    <x v="4"/>
    <d v="2024-07-07T00:00:00"/>
    <x v="4"/>
    <x v="4"/>
    <x v="0"/>
    <n v="2813912"/>
    <x v="0"/>
    <x v="1"/>
    <s v="Kampala"/>
    <n v="13"/>
    <s v="not stated"/>
    <n v="25"/>
  </r>
  <r>
    <s v="P005"/>
    <s v="James Bond"/>
    <x v="1"/>
    <d v="1994-10-15T00:00:00"/>
    <x v="5"/>
    <s v="still admitted"/>
    <x v="3"/>
    <x v="3"/>
    <x v="3"/>
    <n v="4371500"/>
    <x v="1"/>
    <x v="2"/>
    <s v="Jinja"/>
    <s v="Still Admitted"/>
    <s v="Recovered"/>
    <n v="30"/>
  </r>
  <r>
    <s v="P006"/>
    <s v="Natasha Romanoff"/>
    <x v="0"/>
    <d v="1954-03-24T00:00:00"/>
    <x v="6"/>
    <d v="2024-02-16T00:00:00"/>
    <x v="1"/>
    <x v="1"/>
    <x v="4"/>
    <n v="3703000"/>
    <x v="1"/>
    <x v="1"/>
    <s v="Jinja"/>
    <n v="7"/>
    <s v="not stated"/>
    <n v="70"/>
  </r>
  <r>
    <s v="P007"/>
    <s v="Bruce Wayne"/>
    <x v="0"/>
    <d v="1976-05-01T00:00:00"/>
    <x v="7"/>
    <s v="still admitted"/>
    <x v="5"/>
    <x v="5"/>
    <x v="2"/>
    <n v="1753980"/>
    <x v="0"/>
    <x v="0"/>
    <s v="Kampala"/>
    <s v="Still Admitted"/>
    <s v="not stated"/>
    <n v="48"/>
  </r>
  <r>
    <s v="P008"/>
    <s v="John Doe"/>
    <x v="0"/>
    <d v="1979-01-30T00:00:00"/>
    <x v="8"/>
    <d v="2024-01-20T00:00:00"/>
    <x v="4"/>
    <x v="4"/>
    <x v="0"/>
    <n v="4756492"/>
    <x v="0"/>
    <x v="2"/>
    <s v="Kampala"/>
    <n v="15"/>
    <s v="Recovered"/>
    <n v="45"/>
  </r>
  <r>
    <s v="P009"/>
    <s v="Natasha Romanoff"/>
    <x v="0"/>
    <d v="1964-10-24T00:00:00"/>
    <x v="9"/>
    <d v="2024-05-30T00:00:00"/>
    <x v="5"/>
    <x v="5"/>
    <x v="3"/>
    <n v="5005000"/>
    <x v="2"/>
    <x v="2"/>
    <s v="Kampala"/>
    <n v="15"/>
    <s v="Recovered"/>
    <n v="60"/>
  </r>
  <r>
    <s v="P010"/>
    <s v="John Doe"/>
    <x v="0"/>
    <d v="1999-09-11T00:00:00"/>
    <x v="1"/>
    <s v="still admitted"/>
    <x v="6"/>
    <x v="0"/>
    <x v="0"/>
    <n v="897736"/>
    <x v="0"/>
    <x v="1"/>
    <s v="Jinja"/>
    <s v="Still Admitted"/>
    <s v="not stated"/>
    <n v="25"/>
  </r>
  <r>
    <s v="P011"/>
    <s v="James Bond"/>
    <x v="0"/>
    <d v="1961-11-14T00:00:00"/>
    <x v="10"/>
    <d v="2024-03-07T00:00:00"/>
    <x v="7"/>
    <x v="4"/>
    <x v="1"/>
    <n v="3111900"/>
    <x v="2"/>
    <x v="2"/>
    <s v="Jinja"/>
    <n v="4"/>
    <s v="not stated"/>
    <n v="63"/>
  </r>
  <r>
    <s v="P012"/>
    <s v="Sarah Connor"/>
    <x v="0"/>
    <d v="1986-02-14T00:00:00"/>
    <x v="11"/>
    <d v="2024-02-06T00:00:00"/>
    <x v="3"/>
    <x v="3"/>
    <x v="0"/>
    <n v="2527240"/>
    <x v="0"/>
    <x v="1"/>
    <s v="Entebbe"/>
    <n v="9"/>
    <s v="not stated"/>
    <n v="38"/>
  </r>
  <r>
    <s v="P013"/>
    <s v="Jane Smith"/>
    <x v="1"/>
    <d v="1998-07-01T00:00:00"/>
    <x v="12"/>
    <d v="2024-02-01T00:00:00"/>
    <x v="4"/>
    <x v="4"/>
    <x v="1"/>
    <n v="829840"/>
    <x v="2"/>
    <x v="1"/>
    <s v="Entebbe"/>
    <n v="8"/>
    <s v="Referred"/>
    <n v="26"/>
  </r>
  <r>
    <s v="P014"/>
    <s v="Tony Stark"/>
    <x v="1"/>
    <d v="1999-11-11T00:00:00"/>
    <x v="6"/>
    <d v="2024-02-10T00:00:00"/>
    <x v="8"/>
    <x v="5"/>
    <x v="0"/>
    <n v="4888512"/>
    <x v="1"/>
    <x v="0"/>
    <s v="Kampala"/>
    <n v="1"/>
    <s v="Recovered"/>
    <n v="25"/>
  </r>
  <r>
    <s v="P015"/>
    <s v="Scott Lang"/>
    <x v="0"/>
    <d v="1971-02-07T00:00:00"/>
    <x v="13"/>
    <d v="2024-02-01T00:00:00"/>
    <x v="1"/>
    <x v="1"/>
    <x v="4"/>
    <n v="4399500"/>
    <x v="0"/>
    <x v="0"/>
    <s v="Jinja"/>
    <n v="1"/>
    <s v="Referred"/>
    <n v="53"/>
  </r>
  <r>
    <s v="P016"/>
    <s v="David Kim"/>
    <x v="1"/>
    <d v="2007-11-29T00:00:00"/>
    <x v="14"/>
    <d v="2024-05-12T00:00:00"/>
    <x v="9"/>
    <x v="5"/>
    <x v="4"/>
    <n v="4726316"/>
    <x v="0"/>
    <x v="0"/>
    <s v="Jinja"/>
    <n v="15"/>
    <s v="Referred"/>
    <n v="17"/>
  </r>
  <r>
    <s v="P017"/>
    <s v="Nancy Drew"/>
    <x v="0"/>
    <d v="1975-07-27T00:00:00"/>
    <x v="15"/>
    <d v="2024-05-05T00:00:00"/>
    <x v="6"/>
    <x v="0"/>
    <x v="4"/>
    <n v="2689436"/>
    <x v="0"/>
    <x v="2"/>
    <s v="Kampala"/>
    <n v="13"/>
    <s v="not stated"/>
    <n v="49"/>
  </r>
  <r>
    <s v="P018"/>
    <s v="Chris Evans"/>
    <x v="0"/>
    <d v="2004-04-06T00:00:00"/>
    <x v="16"/>
    <d v="2024-04-11T00:00:00"/>
    <x v="2"/>
    <x v="2"/>
    <x v="1"/>
    <n v="769488"/>
    <x v="2"/>
    <x v="2"/>
    <s v="Kampala"/>
    <n v="14"/>
    <s v="Recovered"/>
    <n v="20"/>
  </r>
  <r>
    <s v="P019"/>
    <s v="Chris Evans"/>
    <x v="1"/>
    <d v="1989-08-22T00:00:00"/>
    <x v="17"/>
    <s v="still admitted"/>
    <x v="3"/>
    <x v="3"/>
    <x v="0"/>
    <n v="3228832"/>
    <x v="2"/>
    <x v="0"/>
    <s v="Kampala"/>
    <s v="Still Admitted"/>
    <s v="Recovered"/>
    <n v="35"/>
  </r>
  <r>
    <s v="P020"/>
    <s v="James Bond"/>
    <x v="1"/>
    <d v="1972-05-21T00:00:00"/>
    <x v="18"/>
    <d v="2024-04-12T00:00:00"/>
    <x v="4"/>
    <x v="4"/>
    <x v="0"/>
    <n v="1742664"/>
    <x v="0"/>
    <x v="0"/>
    <s v="Jinja"/>
    <n v="12"/>
    <s v="Referred"/>
    <n v="52"/>
  </r>
  <r>
    <s v="P021"/>
    <s v="Nancy Drew"/>
    <x v="0"/>
    <d v="1964-04-13T00:00:00"/>
    <x v="3"/>
    <d v="2024-04-11T00:00:00"/>
    <x v="10"/>
    <x v="6"/>
    <x v="1"/>
    <n v="2134952"/>
    <x v="0"/>
    <x v="0"/>
    <s v="Entebbe"/>
    <n v="4"/>
    <s v="Recovered"/>
    <n v="60"/>
  </r>
  <r>
    <s v="P022"/>
    <s v="Clark Kent"/>
    <x v="1"/>
    <d v="1995-09-14T00:00:00"/>
    <x v="19"/>
    <d v="2024-06-24T00:00:00"/>
    <x v="3"/>
    <x v="3"/>
    <x v="1"/>
    <n v="671416"/>
    <x v="1"/>
    <x v="2"/>
    <s v="Entebbe"/>
    <n v="2"/>
    <s v="Referred"/>
    <n v="29"/>
  </r>
  <r>
    <s v="P023"/>
    <s v="Wanda Maximoff"/>
    <x v="0"/>
    <d v="1984-07-23T00:00:00"/>
    <x v="20"/>
    <d v="2024-03-07T00:00:00"/>
    <x v="8"/>
    <x v="5"/>
    <x v="0"/>
    <n v="5110000"/>
    <x v="1"/>
    <x v="2"/>
    <s v="Jinja"/>
    <n v="1"/>
    <s v="Referred"/>
    <n v="40"/>
  </r>
  <r>
    <s v="P024"/>
    <s v="Peter Parker"/>
    <x v="1"/>
    <d v="1986-08-22T00:00:00"/>
    <x v="21"/>
    <d v="2024-04-17T00:00:00"/>
    <x v="6"/>
    <x v="0"/>
    <x v="3"/>
    <n v="1596000"/>
    <x v="2"/>
    <x v="1"/>
    <s v="Entebbe"/>
    <n v="4"/>
    <s v="Referred"/>
    <n v="38"/>
  </r>
  <r>
    <s v="P025"/>
    <s v="Scott Lang"/>
    <x v="1"/>
    <d v="1978-11-29T00:00:00"/>
    <x v="22"/>
    <d v="2024-05-02T00:00:00"/>
    <x v="3"/>
    <x v="3"/>
    <x v="0"/>
    <n v="2383500"/>
    <x v="0"/>
    <x v="0"/>
    <s v="Jinja"/>
    <n v="9"/>
    <s v="Recovered"/>
    <n v="46"/>
  </r>
  <r>
    <s v="P026"/>
    <s v="John Doe"/>
    <x v="0"/>
    <d v="1971-12-20T00:00:00"/>
    <x v="23"/>
    <d v="2024-06-20T00:00:00"/>
    <x v="1"/>
    <x v="1"/>
    <x v="1"/>
    <n v="2259428"/>
    <x v="0"/>
    <x v="1"/>
    <s v="Entebbe"/>
    <n v="15"/>
    <s v="not stated"/>
    <n v="53"/>
  </r>
  <r>
    <s v="P027"/>
    <s v="Steve Rogers"/>
    <x v="0"/>
    <d v="2000-01-04T00:00:00"/>
    <x v="24"/>
    <s v="still admitted"/>
    <x v="10"/>
    <x v="6"/>
    <x v="4"/>
    <n v="4354000"/>
    <x v="2"/>
    <x v="2"/>
    <s v="Jinja"/>
    <s v="Still Admitted"/>
    <s v="not stated"/>
    <n v="24"/>
  </r>
  <r>
    <s v="P028"/>
    <s v="Steve Rogers"/>
    <x v="0"/>
    <d v="1972-03-07T00:00:00"/>
    <x v="25"/>
    <d v="2024-05-18T00:00:00"/>
    <x v="7"/>
    <x v="4"/>
    <x v="1"/>
    <n v="2030000"/>
    <x v="0"/>
    <x v="2"/>
    <s v="Jinja"/>
    <n v="5"/>
    <s v="Recovered"/>
    <n v="52"/>
  </r>
  <r>
    <s v="P029"/>
    <s v="Diana Prince"/>
    <x v="1"/>
    <d v="1963-09-17T00:00:00"/>
    <x v="26"/>
    <d v="2024-01-26T00:00:00"/>
    <x v="1"/>
    <x v="1"/>
    <x v="0"/>
    <n v="3621120"/>
    <x v="1"/>
    <x v="1"/>
    <s v="Jinja"/>
    <n v="9"/>
    <s v="Referred"/>
    <n v="61"/>
  </r>
  <r>
    <s v="P030"/>
    <s v="Diana Prince"/>
    <x v="2"/>
    <d v="1987-08-05T00:00:00"/>
    <x v="27"/>
    <d v="2024-05-12T00:00:00"/>
    <x v="1"/>
    <x v="1"/>
    <x v="3"/>
    <n v="5620280"/>
    <x v="0"/>
    <x v="2"/>
    <s v="Kampala"/>
    <n v="8"/>
    <s v="Recovered"/>
    <n v="37"/>
  </r>
  <r>
    <s v="P031"/>
    <s v="TChalla"/>
    <x v="0"/>
    <d v="2009-06-25T00:00:00"/>
    <x v="28"/>
    <s v="still admitted"/>
    <x v="10"/>
    <x v="6"/>
    <x v="0"/>
    <n v="2383904"/>
    <x v="0"/>
    <x v="0"/>
    <s v="Entebbe"/>
    <s v="Still Admitted"/>
    <s v="Referred"/>
    <n v="15"/>
  </r>
  <r>
    <s v="P032"/>
    <s v="Tony Stark"/>
    <x v="0"/>
    <d v="1957-05-07T00:00:00"/>
    <x v="8"/>
    <d v="2024-01-11T00:00:00"/>
    <x v="6"/>
    <x v="0"/>
    <x v="2"/>
    <n v="5409048"/>
    <x v="0"/>
    <x v="0"/>
    <s v="Kampala"/>
    <n v="6"/>
    <s v="Recovered"/>
    <n v="67"/>
  </r>
  <r>
    <s v="P033"/>
    <s v="David Kim"/>
    <x v="1"/>
    <d v="1960-04-06T00:00:00"/>
    <x v="29"/>
    <d v="2024-05-02T00:00:00"/>
    <x v="3"/>
    <x v="3"/>
    <x v="0"/>
    <n v="4847020"/>
    <x v="0"/>
    <x v="2"/>
    <s v="Entebbe"/>
    <n v="3"/>
    <s v="Recovered"/>
    <n v="64"/>
  </r>
  <r>
    <s v="P034"/>
    <s v="Nancy Drew"/>
    <x v="0"/>
    <d v="1977-01-21T00:00:00"/>
    <x v="30"/>
    <d v="2024-05-31T00:00:00"/>
    <x v="7"/>
    <x v="4"/>
    <x v="3"/>
    <n v="3010056"/>
    <x v="2"/>
    <x v="2"/>
    <s v="Kampala"/>
    <n v="7"/>
    <s v="not stated"/>
    <n v="47"/>
  </r>
  <r>
    <s v="P035"/>
    <s v="David Kim"/>
    <x v="1"/>
    <d v="1965-10-20T00:00:00"/>
    <x v="31"/>
    <d v="2024-06-20T00:00:00"/>
    <x v="8"/>
    <x v="5"/>
    <x v="0"/>
    <n v="969500"/>
    <x v="2"/>
    <x v="0"/>
    <s v="Entebbe"/>
    <n v="14"/>
    <s v="Referred"/>
    <n v="59"/>
  </r>
  <r>
    <s v="P036"/>
    <s v="John Doe"/>
    <x v="1"/>
    <d v="1979-02-28T00:00:00"/>
    <x v="27"/>
    <d v="2024-05-09T00:00:00"/>
    <x v="5"/>
    <x v="5"/>
    <x v="3"/>
    <n v="2508380"/>
    <x v="1"/>
    <x v="0"/>
    <s v="Kampala"/>
    <n v="5"/>
    <s v="Referred"/>
    <n v="45"/>
  </r>
  <r>
    <s v="P037"/>
    <s v="Stephen Strange"/>
    <x v="2"/>
    <d v="1971-07-24T00:00:00"/>
    <x v="32"/>
    <d v="2024-06-15T00:00:00"/>
    <x v="5"/>
    <x v="5"/>
    <x v="1"/>
    <n v="2093000"/>
    <x v="1"/>
    <x v="2"/>
    <s v="Entebbe"/>
    <n v="1"/>
    <s v="Referred"/>
    <n v="53"/>
  </r>
  <r>
    <s v="P038"/>
    <s v="Stephen Strange"/>
    <x v="0"/>
    <d v="1981-07-25T00:00:00"/>
    <x v="33"/>
    <d v="2024-03-12T00:00:00"/>
    <x v="8"/>
    <x v="5"/>
    <x v="3"/>
    <n v="4515084"/>
    <x v="0"/>
    <x v="0"/>
    <s v="Jinja"/>
    <n v="2"/>
    <s v="not stated"/>
    <n v="43"/>
  </r>
  <r>
    <s v="P039"/>
    <s v="Scott Lang"/>
    <x v="0"/>
    <d v="1959-01-08T00:00:00"/>
    <x v="34"/>
    <d v="2024-03-21T00:00:00"/>
    <x v="2"/>
    <x v="2"/>
    <x v="1"/>
    <n v="727996"/>
    <x v="1"/>
    <x v="2"/>
    <s v="Jinja"/>
    <n v="5"/>
    <s v="Referred"/>
    <n v="65"/>
  </r>
  <r>
    <s v="P040"/>
    <s v="John Doe"/>
    <x v="0"/>
    <d v="1975-07-06T00:00:00"/>
    <x v="35"/>
    <d v="2024-05-03T00:00:00"/>
    <x v="10"/>
    <x v="6"/>
    <x v="2"/>
    <n v="878876"/>
    <x v="2"/>
    <x v="1"/>
    <s v="Jinja"/>
    <n v="1"/>
    <s v="Recovered"/>
    <n v="49"/>
  </r>
  <r>
    <s v="P041"/>
    <s v="TChalla"/>
    <x v="0"/>
    <d v="1957-08-23T00:00:00"/>
    <x v="13"/>
    <d v="2024-02-13T00:00:00"/>
    <x v="2"/>
    <x v="2"/>
    <x v="1"/>
    <n v="3521000"/>
    <x v="1"/>
    <x v="2"/>
    <s v="Entebbe"/>
    <n v="13"/>
    <s v="not stated"/>
    <n v="67"/>
  </r>
  <r>
    <s v="P042"/>
    <s v="Sarah Connor"/>
    <x v="2"/>
    <d v="1968-08-22T00:00:00"/>
    <x v="36"/>
    <d v="2024-03-11T00:00:00"/>
    <x v="3"/>
    <x v="3"/>
    <x v="1"/>
    <n v="3854984"/>
    <x v="0"/>
    <x v="1"/>
    <s v="Kampala"/>
    <n v="3"/>
    <s v="Referred"/>
    <n v="56"/>
  </r>
  <r>
    <s v="P043"/>
    <s v="Steve Rogers"/>
    <x v="0"/>
    <d v="1970-12-10T00:00:00"/>
    <x v="37"/>
    <d v="2024-06-18T00:00:00"/>
    <x v="6"/>
    <x v="0"/>
    <x v="1"/>
    <n v="1474852"/>
    <x v="0"/>
    <x v="0"/>
    <s v="Entebbe"/>
    <n v="9"/>
    <s v="not stated"/>
    <n v="54"/>
  </r>
  <r>
    <s v="P044"/>
    <s v="Steve Rogers"/>
    <x v="0"/>
    <d v="1992-01-19T00:00:00"/>
    <x v="38"/>
    <d v="2024-07-07T00:00:00"/>
    <x v="10"/>
    <x v="6"/>
    <x v="4"/>
    <n v="682732"/>
    <x v="0"/>
    <x v="2"/>
    <s v="Kampala"/>
    <n v="9"/>
    <s v="not stated"/>
    <n v="32"/>
  </r>
  <r>
    <s v="P045"/>
    <s v="TChalla"/>
    <x v="0"/>
    <d v="1974-03-07T00:00:00"/>
    <x v="39"/>
    <d v="2024-02-22T00:00:00"/>
    <x v="3"/>
    <x v="3"/>
    <x v="1"/>
    <n v="5280800"/>
    <x v="0"/>
    <x v="2"/>
    <s v="Entebbe"/>
    <n v="8"/>
    <s v="not stated"/>
    <n v="50"/>
  </r>
  <r>
    <s v="P046"/>
    <s v="Linda White"/>
    <x v="0"/>
    <d v="1986-12-06T00:00:00"/>
    <x v="40"/>
    <d v="2024-03-23T00:00:00"/>
    <x v="10"/>
    <x v="6"/>
    <x v="1"/>
    <n v="2156000"/>
    <x v="0"/>
    <x v="2"/>
    <s v="Jinja"/>
    <n v="9"/>
    <s v="not stated"/>
    <n v="38"/>
  </r>
  <r>
    <s v="P047"/>
    <s v="Steve Rogers"/>
    <x v="1"/>
    <d v="1954-11-12T00:00:00"/>
    <x v="41"/>
    <d v="2024-05-20T00:00:00"/>
    <x v="9"/>
    <x v="5"/>
    <x v="1"/>
    <n v="4616928"/>
    <x v="0"/>
    <x v="2"/>
    <s v="Jinja"/>
    <n v="8"/>
    <s v="not stated"/>
    <n v="70"/>
  </r>
  <r>
    <s v="P048"/>
    <s v="Nancy Drew"/>
    <x v="1"/>
    <d v="1964-03-17T00:00:00"/>
    <x v="42"/>
    <d v="2024-05-23T00:00:00"/>
    <x v="7"/>
    <x v="4"/>
    <x v="0"/>
    <n v="5378872"/>
    <x v="2"/>
    <x v="2"/>
    <s v="Jinja"/>
    <n v="2"/>
    <s v="Referred"/>
    <n v="60"/>
  </r>
  <r>
    <s v="P049"/>
    <s v="Nancy Drew"/>
    <x v="1"/>
    <d v="1999-06-16T00:00:00"/>
    <x v="43"/>
    <d v="2024-04-17T00:00:00"/>
    <x v="7"/>
    <x v="4"/>
    <x v="2"/>
    <n v="3321500"/>
    <x v="1"/>
    <x v="2"/>
    <s v="Kampala"/>
    <n v="9"/>
    <s v="Referred"/>
    <n v="25"/>
  </r>
  <r>
    <s v="P050"/>
    <s v="TChalla"/>
    <x v="1"/>
    <d v="1993-12-05T00:00:00"/>
    <x v="44"/>
    <d v="2024-05-03T00:00:00"/>
    <x v="10"/>
    <x v="6"/>
    <x v="2"/>
    <n v="1833192"/>
    <x v="1"/>
    <x v="2"/>
    <s v="Kampala"/>
    <n v="9"/>
    <s v="Recovered"/>
    <n v="31"/>
  </r>
  <r>
    <s v="P051"/>
    <s v="Natasha Romanoff"/>
    <x v="1"/>
    <d v="1984-03-15T00:00:00"/>
    <x v="45"/>
    <d v="2024-06-19T00:00:00"/>
    <x v="2"/>
    <x v="2"/>
    <x v="1"/>
    <n v="1150460"/>
    <x v="0"/>
    <x v="2"/>
    <s v="Kampala"/>
    <n v="1"/>
    <s v="not stated"/>
    <n v="40"/>
  </r>
  <r>
    <s v="P052"/>
    <s v="Michael Brown"/>
    <x v="1"/>
    <d v="1973-10-11T00:00:00"/>
    <x v="46"/>
    <d v="2024-06-22T00:00:00"/>
    <x v="6"/>
    <x v="0"/>
    <x v="4"/>
    <n v="3073000"/>
    <x v="2"/>
    <x v="1"/>
    <s v="Jinja"/>
    <n v="14"/>
    <s v="not stated"/>
    <n v="51"/>
  </r>
  <r>
    <s v="P053"/>
    <s v="Peter Parker"/>
    <x v="1"/>
    <d v="1958-02-09T00:00:00"/>
    <x v="47"/>
    <d v="2024-02-07T00:00:00"/>
    <x v="9"/>
    <x v="5"/>
    <x v="1"/>
    <n v="749000"/>
    <x v="0"/>
    <x v="2"/>
    <s v="Entebbe"/>
    <n v="12"/>
    <s v="not stated"/>
    <n v="66"/>
  </r>
  <r>
    <s v="P054"/>
    <s v="TChalla"/>
    <x v="1"/>
    <d v="1966-02-26T00:00:00"/>
    <x v="39"/>
    <d v="2024-02-21T00:00:00"/>
    <x v="10"/>
    <x v="6"/>
    <x v="0"/>
    <n v="2168900"/>
    <x v="0"/>
    <x v="2"/>
    <s v="Entebbe"/>
    <n v="7"/>
    <s v="Referred"/>
    <n v="58"/>
  </r>
  <r>
    <s v="P055"/>
    <s v="Stephen Strange"/>
    <x v="1"/>
    <d v="1956-08-17T00:00:00"/>
    <x v="48"/>
    <d v="2024-04-05T00:00:00"/>
    <x v="10"/>
    <x v="6"/>
    <x v="1"/>
    <n v="1912404"/>
    <x v="2"/>
    <x v="1"/>
    <s v="Kampala"/>
    <n v="7"/>
    <s v="not stated"/>
    <n v="68"/>
  </r>
  <r>
    <s v="P056"/>
    <s v="Peter Parker"/>
    <x v="0"/>
    <d v="2009-01-19T00:00:00"/>
    <x v="49"/>
    <d v="2024-03-22T00:00:00"/>
    <x v="0"/>
    <x v="0"/>
    <x v="1"/>
    <n v="2587592"/>
    <x v="1"/>
    <x v="2"/>
    <s v="Kampala"/>
    <n v="11"/>
    <s v="Referred"/>
    <n v="15"/>
  </r>
  <r>
    <s v="P057"/>
    <s v="David Kim"/>
    <x v="1"/>
    <d v="1958-09-19T00:00:00"/>
    <x v="50"/>
    <s v="still admitted"/>
    <x v="8"/>
    <x v="5"/>
    <x v="0"/>
    <n v="994000"/>
    <x v="0"/>
    <x v="2"/>
    <s v="Kampala"/>
    <s v="Still Admitted"/>
    <s v="not stated"/>
    <n v="66"/>
  </r>
  <r>
    <s v="P058"/>
    <s v="Wanda Maximoff"/>
    <x v="0"/>
    <d v="1974-06-14T00:00:00"/>
    <x v="20"/>
    <d v="2024-03-11T00:00:00"/>
    <x v="7"/>
    <x v="4"/>
    <x v="0"/>
    <n v="1463536"/>
    <x v="2"/>
    <x v="2"/>
    <s v="Kampala"/>
    <n v="5"/>
    <s v="Referred"/>
    <n v="50"/>
  </r>
  <r>
    <s v="P059"/>
    <s v="Sarah Connor"/>
    <x v="1"/>
    <d v="1983-01-25T00:00:00"/>
    <x v="51"/>
    <d v="2024-06-04T00:00:00"/>
    <x v="6"/>
    <x v="0"/>
    <x v="1"/>
    <n v="528500"/>
    <x v="1"/>
    <x v="0"/>
    <s v="Jinja"/>
    <n v="6"/>
    <s v="Referred"/>
    <n v="41"/>
  </r>
  <r>
    <s v="P060"/>
    <s v="Peter Parker"/>
    <x v="1"/>
    <d v="1986-08-19T00:00:00"/>
    <x v="52"/>
    <d v="2024-02-10T00:00:00"/>
    <x v="7"/>
    <x v="4"/>
    <x v="0"/>
    <n v="4526400"/>
    <x v="2"/>
    <x v="2"/>
    <s v="Entebbe"/>
    <n v="5"/>
    <s v="not stated"/>
    <n v="38"/>
  </r>
  <r>
    <s v="P061"/>
    <s v="Tony Stark"/>
    <x v="0"/>
    <d v="1963-11-12T00:00:00"/>
    <x v="53"/>
    <d v="2024-06-26T00:00:00"/>
    <x v="5"/>
    <x v="5"/>
    <x v="3"/>
    <n v="3236376"/>
    <x v="2"/>
    <x v="2"/>
    <s v="Kampala"/>
    <n v="10"/>
    <s v="not stated"/>
    <n v="61"/>
  </r>
  <r>
    <s v="P062"/>
    <s v="Stephen Strange"/>
    <x v="1"/>
    <d v="1982-03-07T00:00:00"/>
    <x v="54"/>
    <d v="2024-04-13T00:00:00"/>
    <x v="7"/>
    <x v="4"/>
    <x v="0"/>
    <n v="5333608"/>
    <x v="0"/>
    <x v="2"/>
    <s v="Kampala"/>
    <n v="2"/>
    <s v="not stated"/>
    <n v="42"/>
  </r>
  <r>
    <s v="P063"/>
    <s v="Michael Brown"/>
    <x v="2"/>
    <d v="1999-09-21T00:00:00"/>
    <x v="1"/>
    <d v="2024-06-03T00:00:00"/>
    <x v="3"/>
    <x v="3"/>
    <x v="4"/>
    <n v="367500"/>
    <x v="0"/>
    <x v="0"/>
    <s v="Jinja"/>
    <n v="4"/>
    <s v="Recovered"/>
    <n v="25"/>
  </r>
  <r>
    <s v="P064"/>
    <s v="John Doe"/>
    <x v="1"/>
    <d v="1951-05-02T00:00:00"/>
    <x v="55"/>
    <s v="still admitted"/>
    <x v="5"/>
    <x v="5"/>
    <x v="0"/>
    <n v="3628664"/>
    <x v="0"/>
    <x v="2"/>
    <s v="Entebbe"/>
    <s v="Still Admitted"/>
    <s v="not stated"/>
    <n v="73"/>
  </r>
  <r>
    <s v="P065"/>
    <s v="Steve Rogers"/>
    <x v="0"/>
    <d v="1969-11-16T00:00:00"/>
    <x v="56"/>
    <d v="2024-06-18T00:00:00"/>
    <x v="10"/>
    <x v="6"/>
    <x v="1"/>
    <n v="3670156"/>
    <x v="2"/>
    <x v="2"/>
    <s v="Kampala"/>
    <n v="1"/>
    <s v="not stated"/>
    <n v="55"/>
  </r>
  <r>
    <s v="P066"/>
    <s v="Michael Brown"/>
    <x v="1"/>
    <d v="1974-09-03T00:00:00"/>
    <x v="3"/>
    <d v="2024-04-17T00:00:00"/>
    <x v="7"/>
    <x v="4"/>
    <x v="3"/>
    <n v="1259848"/>
    <x v="2"/>
    <x v="2"/>
    <s v="Kampala"/>
    <n v="10"/>
    <s v="Referred"/>
    <n v="50"/>
  </r>
  <r>
    <s v="P067"/>
    <s v="Tony Stark"/>
    <x v="1"/>
    <d v="1958-07-13T00:00:00"/>
    <x v="57"/>
    <d v="2024-04-25T00:00:00"/>
    <x v="6"/>
    <x v="0"/>
    <x v="0"/>
    <n v="1078792"/>
    <x v="0"/>
    <x v="2"/>
    <s v="Kampala"/>
    <n v="6"/>
    <s v="Recovered"/>
    <n v="66"/>
  </r>
  <r>
    <s v="P068"/>
    <s v="Jane Smith"/>
    <x v="0"/>
    <d v="2000-05-20T00:00:00"/>
    <x v="58"/>
    <d v="2024-07-04T00:00:00"/>
    <x v="9"/>
    <x v="5"/>
    <x v="4"/>
    <n v="2586500"/>
    <x v="0"/>
    <x v="0"/>
    <s v="Kampala"/>
    <n v="14"/>
    <s v="Recovered"/>
    <n v="24"/>
  </r>
  <r>
    <s v="P069"/>
    <s v="Stephen Strange"/>
    <x v="0"/>
    <d v="1960-04-22T00:00:00"/>
    <x v="59"/>
    <d v="2024-06-09T00:00:00"/>
    <x v="0"/>
    <x v="0"/>
    <x v="2"/>
    <n v="2440484"/>
    <x v="0"/>
    <x v="2"/>
    <s v="Jinja"/>
    <n v="14"/>
    <s v="Referred"/>
    <n v="64"/>
  </r>
  <r>
    <s v="P070"/>
    <s v="John Doe"/>
    <x v="1"/>
    <d v="1962-11-08T00:00:00"/>
    <x v="60"/>
    <d v="2024-01-19T00:00:00"/>
    <x v="2"/>
    <x v="2"/>
    <x v="1"/>
    <n v="3617348"/>
    <x v="0"/>
    <x v="0"/>
    <s v="Entebbe"/>
    <n v="1"/>
    <s v="not stated"/>
    <n v="62"/>
  </r>
  <r>
    <s v="P071"/>
    <s v="Michael Brown"/>
    <x v="0"/>
    <d v="1963-12-17T00:00:00"/>
    <x v="61"/>
    <d v="2024-06-12T00:00:00"/>
    <x v="6"/>
    <x v="0"/>
    <x v="1"/>
    <n v="5065796"/>
    <x v="2"/>
    <x v="2"/>
    <s v="Kampala"/>
    <n v="5"/>
    <s v="Referred"/>
    <n v="61"/>
  </r>
  <r>
    <s v="P072"/>
    <s v="Sarah Connor"/>
    <x v="0"/>
    <d v="2003-03-19T00:00:00"/>
    <x v="62"/>
    <s v="still admitted"/>
    <x v="1"/>
    <x v="1"/>
    <x v="0"/>
    <n v="433780"/>
    <x v="0"/>
    <x v="0"/>
    <s v="Kampala"/>
    <s v="Still Admitted"/>
    <s v="Referred"/>
    <n v="21"/>
  </r>
  <r>
    <s v="P073"/>
    <s v="John Doe"/>
    <x v="1"/>
    <d v="1988-08-20T00:00:00"/>
    <x v="63"/>
    <d v="2024-02-07T00:00:00"/>
    <x v="7"/>
    <x v="4"/>
    <x v="2"/>
    <n v="701592"/>
    <x v="0"/>
    <x v="2"/>
    <s v="Kampala"/>
    <n v="4"/>
    <s v="Referred"/>
    <n v="36"/>
  </r>
  <r>
    <s v="P074"/>
    <s v="Diana Prince"/>
    <x v="1"/>
    <d v="2007-06-07T00:00:00"/>
    <x v="64"/>
    <d v="2024-03-21T00:00:00"/>
    <x v="0"/>
    <x v="0"/>
    <x v="2"/>
    <n v="3172252"/>
    <x v="2"/>
    <x v="1"/>
    <s v="Kampala"/>
    <n v="6"/>
    <s v="not stated"/>
    <n v="17"/>
  </r>
  <r>
    <s v="P075"/>
    <s v="Diana Prince"/>
    <x v="2"/>
    <d v="1977-11-02T00:00:00"/>
    <x v="65"/>
    <d v="2024-02-28T00:00:00"/>
    <x v="2"/>
    <x v="2"/>
    <x v="0"/>
    <n v="2852500"/>
    <x v="0"/>
    <x v="0"/>
    <s v="Kampala"/>
    <n v="2"/>
    <s v="Recovered"/>
    <n v="47"/>
  </r>
  <r>
    <s v="P076"/>
    <s v="Scott Lang"/>
    <x v="1"/>
    <d v="2008-10-22T00:00:00"/>
    <x v="66"/>
    <d v="2024-02-25T00:00:00"/>
    <x v="6"/>
    <x v="0"/>
    <x v="3"/>
    <n v="4903500"/>
    <x v="0"/>
    <x v="0"/>
    <s v="Entebbe"/>
    <n v="10"/>
    <s v="Referred"/>
    <n v="16"/>
  </r>
  <r>
    <s v="P077"/>
    <s v="Peter Parker"/>
    <x v="2"/>
    <d v="1974-08-23T00:00:00"/>
    <x v="18"/>
    <d v="2024-04-08T00:00:00"/>
    <x v="9"/>
    <x v="5"/>
    <x v="2"/>
    <n v="2591364"/>
    <x v="0"/>
    <x v="2"/>
    <s v="Entebbe"/>
    <n v="8"/>
    <s v="not stated"/>
    <n v="50"/>
  </r>
  <r>
    <s v="P078"/>
    <s v="Steve Rogers"/>
    <x v="2"/>
    <d v="2001-04-15T00:00:00"/>
    <x v="67"/>
    <d v="2024-03-24T00:00:00"/>
    <x v="7"/>
    <x v="4"/>
    <x v="2"/>
    <n v="3028916"/>
    <x v="1"/>
    <x v="0"/>
    <s v="Kampala"/>
    <n v="1"/>
    <s v="Referred"/>
    <n v="23"/>
  </r>
  <r>
    <s v="P079"/>
    <s v="Wanda Maximoff"/>
    <x v="0"/>
    <d v="2004-09-16T00:00:00"/>
    <x v="68"/>
    <d v="2024-04-10T00:00:00"/>
    <x v="8"/>
    <x v="5"/>
    <x v="4"/>
    <n v="724500"/>
    <x v="0"/>
    <x v="2"/>
    <s v="Kampala"/>
    <n v="7"/>
    <s v="Referred"/>
    <n v="20"/>
  </r>
  <r>
    <s v="P080"/>
    <s v="Scott Lang"/>
    <x v="2"/>
    <d v="1963-06-29T00:00:00"/>
    <x v="69"/>
    <d v="2024-01-26T00:00:00"/>
    <x v="3"/>
    <x v="3"/>
    <x v="3"/>
    <n v="955500"/>
    <x v="1"/>
    <x v="2"/>
    <s v="Jinja"/>
    <n v="5"/>
    <s v="Recovered"/>
    <n v="61"/>
  </r>
  <r>
    <s v="P081"/>
    <s v="Wanda Maximoff"/>
    <x v="0"/>
    <d v="2007-12-16T00:00:00"/>
    <x v="70"/>
    <s v="still admitted"/>
    <x v="5"/>
    <x v="5"/>
    <x v="0"/>
    <n v="3013828"/>
    <x v="0"/>
    <x v="0"/>
    <s v="Kampala"/>
    <s v="Still Admitted"/>
    <s v="Referred"/>
    <n v="17"/>
  </r>
  <r>
    <s v="P082"/>
    <s v="Wanda Maximoff"/>
    <x v="2"/>
    <d v="1998-06-05T00:00:00"/>
    <x v="45"/>
    <d v="2024-06-28T00:00:00"/>
    <x v="0"/>
    <x v="0"/>
    <x v="0"/>
    <n v="1629504"/>
    <x v="1"/>
    <x v="0"/>
    <s v="Jinja"/>
    <n v="10"/>
    <s v="Referred"/>
    <n v="26"/>
  </r>
  <r>
    <s v="P083"/>
    <s v="Nancy Drew"/>
    <x v="1"/>
    <d v="2004-10-11T00:00:00"/>
    <x v="44"/>
    <d v="2024-04-29T00:00:00"/>
    <x v="4"/>
    <x v="4"/>
    <x v="3"/>
    <n v="4782896"/>
    <x v="2"/>
    <x v="2"/>
    <s v="Entebbe"/>
    <n v="5"/>
    <s v="Recovered"/>
    <n v="20"/>
  </r>
  <r>
    <s v="P084"/>
    <s v="Scott Lang"/>
    <x v="1"/>
    <d v="1972-06-06T00:00:00"/>
    <x v="5"/>
    <d v="2024-06-22T00:00:00"/>
    <x v="2"/>
    <x v="2"/>
    <x v="0"/>
    <n v="2576276"/>
    <x v="0"/>
    <x v="2"/>
    <s v="Entebbe"/>
    <n v="9"/>
    <s v="Referred"/>
    <n v="52"/>
  </r>
  <r>
    <s v="P085"/>
    <s v="Nancy Drew"/>
    <x v="2"/>
    <d v="1990-06-22T00:00:00"/>
    <x v="71"/>
    <s v="still admitted"/>
    <x v="2"/>
    <x v="2"/>
    <x v="0"/>
    <n v="3357080"/>
    <x v="0"/>
    <x v="0"/>
    <s v="Kampala"/>
    <s v="Still Admitted"/>
    <s v="not stated"/>
    <n v="34"/>
  </r>
  <r>
    <s v="P086"/>
    <s v="Bruce Wayne"/>
    <x v="2"/>
    <d v="1963-02-07T00:00:00"/>
    <x v="72"/>
    <d v="2024-01-18T00:00:00"/>
    <x v="10"/>
    <x v="6"/>
    <x v="4"/>
    <n v="414920"/>
    <x v="0"/>
    <x v="2"/>
    <s v="Kampala"/>
    <n v="8"/>
    <s v="not stated"/>
    <n v="61"/>
  </r>
  <r>
    <s v="P087"/>
    <s v="Wanda Maximoff"/>
    <x v="1"/>
    <d v="1959-12-23T00:00:00"/>
    <x v="55"/>
    <s v="still admitted"/>
    <x v="4"/>
    <x v="4"/>
    <x v="3"/>
    <n v="5186500"/>
    <x v="0"/>
    <x v="1"/>
    <s v="Entebbe"/>
    <s v="Still Admitted"/>
    <s v="not stated"/>
    <n v="65"/>
  </r>
  <r>
    <s v="P088"/>
    <s v="TChalla"/>
    <x v="1"/>
    <d v="1962-11-18T00:00:00"/>
    <x v="57"/>
    <d v="2024-04-23T00:00:00"/>
    <x v="3"/>
    <x v="3"/>
    <x v="3"/>
    <n v="962500"/>
    <x v="0"/>
    <x v="1"/>
    <s v="Entebbe"/>
    <n v="4"/>
    <s v="not stated"/>
    <n v="62"/>
  </r>
  <r>
    <s v="P089"/>
    <s v="Clark Kent"/>
    <x v="0"/>
    <d v="1951-06-17T00:00:00"/>
    <x v="60"/>
    <d v="2024-01-29T00:00:00"/>
    <x v="0"/>
    <x v="0"/>
    <x v="2"/>
    <n v="2942160"/>
    <x v="0"/>
    <x v="2"/>
    <s v="Jinja"/>
    <n v="11"/>
    <s v="Recovered"/>
    <n v="73"/>
  </r>
  <r>
    <s v="P090"/>
    <s v="Steve Rogers"/>
    <x v="1"/>
    <d v="1992-12-06T00:00:00"/>
    <x v="73"/>
    <d v="2024-02-12T00:00:00"/>
    <x v="5"/>
    <x v="5"/>
    <x v="0"/>
    <n v="1916176"/>
    <x v="0"/>
    <x v="2"/>
    <s v="Jinja"/>
    <n v="8"/>
    <s v="not stated"/>
    <n v="32"/>
  </r>
  <r>
    <s v="P091"/>
    <s v="Chris Evans"/>
    <x v="0"/>
    <d v="2008-01-14T00:00:00"/>
    <x v="40"/>
    <d v="2024-03-15T00:00:00"/>
    <x v="5"/>
    <x v="5"/>
    <x v="2"/>
    <n v="3217516"/>
    <x v="2"/>
    <x v="2"/>
    <s v="Entebbe"/>
    <n v="1"/>
    <s v="Referred"/>
    <n v="16"/>
  </r>
  <r>
    <s v="P092"/>
    <s v="Natasha Romanoff"/>
    <x v="0"/>
    <d v="1996-08-02T00:00:00"/>
    <x v="28"/>
    <s v="still admitted"/>
    <x v="0"/>
    <x v="0"/>
    <x v="0"/>
    <n v="4259500"/>
    <x v="0"/>
    <x v="1"/>
    <s v="Kampala"/>
    <s v="Still Admitted"/>
    <s v="Referred"/>
    <n v="28"/>
  </r>
  <r>
    <s v="P093"/>
    <s v="Scott Lang"/>
    <x v="1"/>
    <d v="1988-03-24T00:00:00"/>
    <x v="74"/>
    <d v="2024-06-26T00:00:00"/>
    <x v="0"/>
    <x v="0"/>
    <x v="1"/>
    <n v="5314748"/>
    <x v="0"/>
    <x v="2"/>
    <s v="Entebbe"/>
    <n v="1"/>
    <s v="not stated"/>
    <n v="36"/>
  </r>
  <r>
    <s v="P094"/>
    <s v="John Doe"/>
    <x v="1"/>
    <d v="2004-07-04T00:00:00"/>
    <x v="75"/>
    <s v="still admitted"/>
    <x v="6"/>
    <x v="0"/>
    <x v="1"/>
    <n v="3334448"/>
    <x v="1"/>
    <x v="0"/>
    <s v="Jinja"/>
    <s v="Still Admitted"/>
    <s v="Referred"/>
    <n v="20"/>
  </r>
  <r>
    <s v="P095"/>
    <s v="Michael Brown"/>
    <x v="0"/>
    <d v="1962-05-09T00:00:00"/>
    <x v="54"/>
    <d v="2024-04-15T00:00:00"/>
    <x v="9"/>
    <x v="5"/>
    <x v="0"/>
    <n v="4232184"/>
    <x v="1"/>
    <x v="1"/>
    <s v="Entebbe"/>
    <n v="4"/>
    <s v="Referred"/>
    <n v="62"/>
  </r>
  <r>
    <s v="P096"/>
    <s v="Scott Lang"/>
    <x v="0"/>
    <d v="1994-01-25T00:00:00"/>
    <x v="24"/>
    <d v="2024-02-09T00:00:00"/>
    <x v="10"/>
    <x v="6"/>
    <x v="2"/>
    <n v="5236000"/>
    <x v="0"/>
    <x v="1"/>
    <s v="Jinja"/>
    <n v="8"/>
    <s v="Referred"/>
    <n v="30"/>
  </r>
  <r>
    <s v="P097"/>
    <s v="Linda White"/>
    <x v="2"/>
    <d v="1982-06-07T00:00:00"/>
    <x v="24"/>
    <d v="2024-02-05T00:00:00"/>
    <x v="9"/>
    <x v="5"/>
    <x v="4"/>
    <n v="4452000"/>
    <x v="2"/>
    <x v="0"/>
    <s v="Jinja"/>
    <n v="4"/>
    <s v="Referred"/>
    <n v="42"/>
  </r>
  <r>
    <s v="P098"/>
    <s v="Natasha Romanoff"/>
    <x v="0"/>
    <d v="1986-11-08T00:00:00"/>
    <x v="76"/>
    <s v="still admitted"/>
    <x v="8"/>
    <x v="5"/>
    <x v="0"/>
    <n v="3851212"/>
    <x v="1"/>
    <x v="2"/>
    <s v="Kampala"/>
    <s v="Still Admitted"/>
    <s v="not stated"/>
    <n v="38"/>
  </r>
  <r>
    <s v="P099"/>
    <s v="TChalla"/>
    <x v="1"/>
    <d v="1961-07-30T00:00:00"/>
    <x v="77"/>
    <d v="2024-05-17T00:00:00"/>
    <x v="5"/>
    <x v="5"/>
    <x v="0"/>
    <n v="2866720"/>
    <x v="0"/>
    <x v="2"/>
    <s v="Kampala"/>
    <n v="9"/>
    <s v="not stated"/>
    <n v="63"/>
  </r>
  <r>
    <s v="P100"/>
    <s v="Chris Evans"/>
    <x v="1"/>
    <d v="2006-01-27T00:00:00"/>
    <x v="31"/>
    <d v="2024-06-09T00:00:00"/>
    <x v="3"/>
    <x v="3"/>
    <x v="4"/>
    <n v="4686500"/>
    <x v="1"/>
    <x v="1"/>
    <s v="Kampala"/>
    <n v="3"/>
    <s v="not stated"/>
    <n v="18"/>
  </r>
  <r>
    <s v="P101"/>
    <s v="Chris Evans"/>
    <x v="1"/>
    <d v="1968-11-29T00:00:00"/>
    <x v="61"/>
    <d v="2024-06-18T00:00:00"/>
    <x v="6"/>
    <x v="0"/>
    <x v="1"/>
    <n v="2266972"/>
    <x v="0"/>
    <x v="2"/>
    <s v="Kampala"/>
    <n v="11"/>
    <s v="Referred"/>
    <n v="56"/>
  </r>
  <r>
    <s v="P102"/>
    <s v="Natasha Romanoff"/>
    <x v="1"/>
    <d v="1968-04-21T00:00:00"/>
    <x v="78"/>
    <d v="2024-06-16T00:00:00"/>
    <x v="8"/>
    <x v="5"/>
    <x v="0"/>
    <n v="3236376"/>
    <x v="0"/>
    <x v="0"/>
    <s v="Entebbe"/>
    <n v="12"/>
    <s v="Referred"/>
    <n v="56"/>
  </r>
  <r>
    <s v="P103"/>
    <s v="David Kim"/>
    <x v="0"/>
    <d v="1954-07-17T00:00:00"/>
    <x v="43"/>
    <d v="2024-04-22T00:00:00"/>
    <x v="8"/>
    <x v="5"/>
    <x v="3"/>
    <n v="2791280"/>
    <x v="0"/>
    <x v="2"/>
    <s v="Jinja"/>
    <n v="14"/>
    <s v="Referred"/>
    <n v="70"/>
  </r>
  <r>
    <s v="P104"/>
    <s v="John Doe"/>
    <x v="0"/>
    <d v="1985-04-12T00:00:00"/>
    <x v="79"/>
    <d v="2024-03-03T00:00:00"/>
    <x v="5"/>
    <x v="5"/>
    <x v="4"/>
    <n v="5427908"/>
    <x v="0"/>
    <x v="1"/>
    <s v="Kampala"/>
    <n v="1"/>
    <s v="Referred"/>
    <n v="39"/>
  </r>
  <r>
    <s v="P105"/>
    <s v="Clark Kent"/>
    <x v="2"/>
    <d v="1986-03-06T00:00:00"/>
    <x v="80"/>
    <s v="still admitted"/>
    <x v="2"/>
    <x v="2"/>
    <x v="1"/>
    <n v="4315500"/>
    <x v="0"/>
    <x v="2"/>
    <s v="Jinja"/>
    <s v="Still Admitted"/>
    <s v="Referred"/>
    <n v="38"/>
  </r>
  <r>
    <s v="P106"/>
    <s v="Scott Lang"/>
    <x v="0"/>
    <d v="1961-07-18T00:00:00"/>
    <x v="81"/>
    <d v="2024-04-16T00:00:00"/>
    <x v="3"/>
    <x v="3"/>
    <x v="4"/>
    <n v="4307624"/>
    <x v="1"/>
    <x v="1"/>
    <s v="Kampala"/>
    <n v="6"/>
    <s v="not stated"/>
    <n v="63"/>
  </r>
  <r>
    <s v="P107"/>
    <s v="Natasha Romanoff"/>
    <x v="0"/>
    <d v="1990-12-31T00:00:00"/>
    <x v="78"/>
    <d v="2024-06-14T00:00:00"/>
    <x v="3"/>
    <x v="3"/>
    <x v="4"/>
    <n v="2492000"/>
    <x v="1"/>
    <x v="2"/>
    <s v="Jinja"/>
    <n v="10"/>
    <s v="Recovered"/>
    <n v="34"/>
  </r>
  <r>
    <s v="P108"/>
    <s v="Bruce Wayne"/>
    <x v="1"/>
    <d v="1959-11-01T00:00:00"/>
    <x v="51"/>
    <d v="2024-06-10T00:00:00"/>
    <x v="0"/>
    <x v="0"/>
    <x v="1"/>
    <n v="5439224"/>
    <x v="0"/>
    <x v="2"/>
    <s v="Kampala"/>
    <n v="12"/>
    <s v="not stated"/>
    <n v="65"/>
  </r>
  <r>
    <s v="P109"/>
    <s v="David Kim"/>
    <x v="2"/>
    <d v="1971-09-24T00:00:00"/>
    <x v="59"/>
    <d v="2024-06-03T00:00:00"/>
    <x v="1"/>
    <x v="1"/>
    <x v="1"/>
    <n v="1950124"/>
    <x v="1"/>
    <x v="2"/>
    <s v="Jinja"/>
    <n v="8"/>
    <s v="Recovered"/>
    <n v="53"/>
  </r>
  <r>
    <s v="P110"/>
    <s v="James Bond"/>
    <x v="0"/>
    <d v="1979-03-01T00:00:00"/>
    <x v="62"/>
    <d v="2024-05-17T00:00:00"/>
    <x v="2"/>
    <x v="2"/>
    <x v="4"/>
    <n v="2887500"/>
    <x v="1"/>
    <x v="2"/>
    <s v="Kampala"/>
    <n v="3"/>
    <s v="not stated"/>
    <n v="45"/>
  </r>
  <r>
    <s v="P111"/>
    <s v="Nancy Drew"/>
    <x v="0"/>
    <d v="1975-12-06T00:00:00"/>
    <x v="74"/>
    <d v="2024-07-01T00:00:00"/>
    <x v="5"/>
    <x v="5"/>
    <x v="4"/>
    <n v="5601420"/>
    <x v="2"/>
    <x v="2"/>
    <s v="Kampala"/>
    <n v="6"/>
    <s v="Referred"/>
    <n v="49"/>
  </r>
  <r>
    <s v="P112"/>
    <s v="Michael Brown"/>
    <x v="0"/>
    <d v="1989-09-08T00:00:00"/>
    <x v="35"/>
    <d v="2024-05-11T00:00:00"/>
    <x v="2"/>
    <x v="2"/>
    <x v="1"/>
    <n v="1437132"/>
    <x v="1"/>
    <x v="0"/>
    <s v="Kampala"/>
    <n v="9"/>
    <s v="not stated"/>
    <n v="35"/>
  </r>
  <r>
    <s v="P113"/>
    <s v="Nancy Drew"/>
    <x v="0"/>
    <d v="1958-12-28T00:00:00"/>
    <x v="82"/>
    <s v="still admitted"/>
    <x v="3"/>
    <x v="3"/>
    <x v="4"/>
    <n v="1595556"/>
    <x v="2"/>
    <x v="2"/>
    <s v="Jinja"/>
    <s v="Still Admitted"/>
    <s v="Referred"/>
    <n v="66"/>
  </r>
  <r>
    <s v="P114"/>
    <s v="Peter Parker"/>
    <x v="1"/>
    <d v="1955-04-23T00:00:00"/>
    <x v="83"/>
    <d v="2024-06-27T00:00:00"/>
    <x v="3"/>
    <x v="3"/>
    <x v="2"/>
    <n v="1735120"/>
    <x v="2"/>
    <x v="2"/>
    <s v="Kampala"/>
    <n v="12"/>
    <s v="Referred"/>
    <n v="69"/>
  </r>
  <r>
    <s v="P115"/>
    <s v="John Doe"/>
    <x v="0"/>
    <d v="2000-12-14T00:00:00"/>
    <x v="84"/>
    <d v="2024-04-06T00:00:00"/>
    <x v="3"/>
    <x v="3"/>
    <x v="4"/>
    <n v="3703000"/>
    <x v="0"/>
    <x v="1"/>
    <s v="Entebbe"/>
    <n v="11"/>
    <s v="Referred"/>
    <n v="24"/>
  </r>
  <r>
    <s v="P116"/>
    <s v="Chris Evans"/>
    <x v="1"/>
    <d v="1966-09-15T00:00:00"/>
    <x v="85"/>
    <d v="2024-04-09T00:00:00"/>
    <x v="3"/>
    <x v="3"/>
    <x v="2"/>
    <n v="5310976"/>
    <x v="2"/>
    <x v="2"/>
    <s v="Kampala"/>
    <n v="13"/>
    <s v="Recovered"/>
    <n v="58"/>
  </r>
  <r>
    <s v="P117"/>
    <s v="Natasha Romanoff"/>
    <x v="0"/>
    <d v="1972-04-03T00:00:00"/>
    <x v="86"/>
    <d v="2024-03-20T00:00:00"/>
    <x v="8"/>
    <x v="5"/>
    <x v="4"/>
    <n v="4801756"/>
    <x v="0"/>
    <x v="2"/>
    <s v="Jinja"/>
    <n v="13"/>
    <s v="not stated"/>
    <n v="52"/>
  </r>
  <r>
    <s v="P118"/>
    <s v="Steve Rogers"/>
    <x v="0"/>
    <d v="1964-04-30T00:00:00"/>
    <x v="4"/>
    <d v="2024-07-05T00:00:00"/>
    <x v="8"/>
    <x v="5"/>
    <x v="0"/>
    <n v="2067056"/>
    <x v="2"/>
    <x v="0"/>
    <s v="Entebbe"/>
    <n v="11"/>
    <s v="Referred"/>
    <n v="60"/>
  </r>
  <r>
    <s v="P119"/>
    <s v="Stephen Strange"/>
    <x v="1"/>
    <d v="1998-03-23T00:00:00"/>
    <x v="87"/>
    <d v="2024-03-13T00:00:00"/>
    <x v="7"/>
    <x v="4"/>
    <x v="0"/>
    <n v="852472"/>
    <x v="1"/>
    <x v="0"/>
    <s v="Kampala"/>
    <n v="9"/>
    <s v="Referred"/>
    <n v="26"/>
  </r>
  <r>
    <s v="P120"/>
    <s v="James Bond"/>
    <x v="1"/>
    <d v="2002-04-26T00:00:00"/>
    <x v="12"/>
    <d v="2024-02-01T00:00:00"/>
    <x v="2"/>
    <x v="2"/>
    <x v="1"/>
    <n v="4730088"/>
    <x v="1"/>
    <x v="2"/>
    <s v="Jinja"/>
    <n v="8"/>
    <s v="Recovered"/>
    <n v="22"/>
  </r>
  <r>
    <s v="P121"/>
    <s v="Chris Evans"/>
    <x v="2"/>
    <d v="1950-04-09T00:00:00"/>
    <x v="88"/>
    <s v="still admitted"/>
    <x v="8"/>
    <x v="5"/>
    <x v="0"/>
    <n v="4556576"/>
    <x v="0"/>
    <x v="2"/>
    <s v="Kampala"/>
    <s v="Still Admitted"/>
    <s v="Recovered"/>
    <n v="74"/>
  </r>
  <r>
    <s v="P122"/>
    <s v="Tony Stark"/>
    <x v="0"/>
    <d v="1984-04-25T00:00:00"/>
    <x v="89"/>
    <s v="still admitted"/>
    <x v="6"/>
    <x v="0"/>
    <x v="4"/>
    <n v="1302000"/>
    <x v="0"/>
    <x v="0"/>
    <s v="Jinja"/>
    <s v="Still Admitted"/>
    <s v="not stated"/>
    <n v="40"/>
  </r>
  <r>
    <s v="P123"/>
    <s v="John Doe"/>
    <x v="2"/>
    <d v="1952-01-15T00:00:00"/>
    <x v="90"/>
    <d v="2024-05-12T00:00:00"/>
    <x v="4"/>
    <x v="4"/>
    <x v="1"/>
    <n v="1459500"/>
    <x v="0"/>
    <x v="1"/>
    <s v="Kampala"/>
    <n v="14"/>
    <s v="not stated"/>
    <n v="72"/>
  </r>
  <r>
    <s v="P124"/>
    <s v="Nancy Drew"/>
    <x v="1"/>
    <d v="1956-01-14T00:00:00"/>
    <x v="91"/>
    <d v="2024-06-12T00:00:00"/>
    <x v="4"/>
    <x v="4"/>
    <x v="0"/>
    <n v="3481556"/>
    <x v="0"/>
    <x v="0"/>
    <s v="Kampala"/>
    <n v="11"/>
    <s v="Referred"/>
    <n v="68"/>
  </r>
  <r>
    <s v="P125"/>
    <s v="TChalla"/>
    <x v="0"/>
    <d v="2001-10-22T00:00:00"/>
    <x v="55"/>
    <d v="2024-03-12T00:00:00"/>
    <x v="1"/>
    <x v="1"/>
    <x v="1"/>
    <n v="844928"/>
    <x v="2"/>
    <x v="2"/>
    <s v="Kampala"/>
    <n v="11"/>
    <s v="not stated"/>
    <n v="23"/>
  </r>
  <r>
    <s v="P126"/>
    <s v="Wanda Maximoff"/>
    <x v="0"/>
    <d v="1987-05-09T00:00:00"/>
    <x v="92"/>
    <d v="2024-02-21T00:00:00"/>
    <x v="4"/>
    <x v="4"/>
    <x v="0"/>
    <n v="2696980"/>
    <x v="2"/>
    <x v="1"/>
    <s v="Jinja"/>
    <n v="13"/>
    <s v="not stated"/>
    <n v="37"/>
  </r>
  <r>
    <s v="P127"/>
    <s v="David Kim"/>
    <x v="1"/>
    <d v="1971-10-15T00:00:00"/>
    <x v="93"/>
    <d v="2024-03-08T00:00:00"/>
    <x v="8"/>
    <x v="5"/>
    <x v="4"/>
    <n v="1848280"/>
    <x v="0"/>
    <x v="2"/>
    <s v="Jinja"/>
    <n v="15"/>
    <s v="Recovered"/>
    <n v="53"/>
  </r>
  <r>
    <s v="P128"/>
    <s v="TChalla"/>
    <x v="1"/>
    <d v="2000-02-20T00:00:00"/>
    <x v="35"/>
    <d v="2024-05-08T00:00:00"/>
    <x v="9"/>
    <x v="5"/>
    <x v="0"/>
    <n v="1282480"/>
    <x v="0"/>
    <x v="0"/>
    <s v="Entebbe"/>
    <n v="6"/>
    <s v="Referred"/>
    <n v="24"/>
  </r>
  <r>
    <s v="P129"/>
    <s v="Diana Prince"/>
    <x v="1"/>
    <d v="1997-11-16T00:00:00"/>
    <x v="94"/>
    <d v="2024-04-03T00:00:00"/>
    <x v="10"/>
    <x v="6"/>
    <x v="2"/>
    <n v="3713500"/>
    <x v="0"/>
    <x v="2"/>
    <s v="Entebbe"/>
    <n v="15"/>
    <s v="Recovered"/>
    <n v="27"/>
  </r>
  <r>
    <s v="P130"/>
    <s v="David Kim"/>
    <x v="0"/>
    <d v="1973-05-25T00:00:00"/>
    <x v="34"/>
    <d v="2024-03-20T00:00:00"/>
    <x v="0"/>
    <x v="0"/>
    <x v="0"/>
    <n v="3927000"/>
    <x v="0"/>
    <x v="2"/>
    <s v="Jinja"/>
    <n v="4"/>
    <s v="Referred"/>
    <n v="51"/>
  </r>
  <r>
    <s v="P131"/>
    <s v="Clark Kent"/>
    <x v="1"/>
    <d v="1962-07-23T00:00:00"/>
    <x v="95"/>
    <d v="2024-03-02T00:00:00"/>
    <x v="6"/>
    <x v="0"/>
    <x v="2"/>
    <n v="426236"/>
    <x v="0"/>
    <x v="0"/>
    <s v="Kampala"/>
    <n v="14"/>
    <s v="Recovered"/>
    <n v="62"/>
  </r>
  <r>
    <s v="P132"/>
    <s v="Steve Rogers"/>
    <x v="0"/>
    <d v="1955-06-04T00:00:00"/>
    <x v="56"/>
    <s v="still admitted"/>
    <x v="2"/>
    <x v="2"/>
    <x v="1"/>
    <n v="467728"/>
    <x v="1"/>
    <x v="2"/>
    <s v="Jinja"/>
    <s v="Still Admitted"/>
    <s v="not stated"/>
    <n v="69"/>
  </r>
  <r>
    <s v="P133"/>
    <s v="Tony Stark"/>
    <x v="2"/>
    <d v="1966-01-31T00:00:00"/>
    <x v="96"/>
    <d v="2024-02-04T00:00:00"/>
    <x v="8"/>
    <x v="5"/>
    <x v="2"/>
    <n v="3440064"/>
    <x v="0"/>
    <x v="2"/>
    <s v="Entebbe"/>
    <n v="10"/>
    <s v="Recovered"/>
    <n v="58"/>
  </r>
  <r>
    <s v="P134"/>
    <s v="Michael Brown"/>
    <x v="1"/>
    <d v="2008-04-21T00:00:00"/>
    <x v="12"/>
    <d v="2024-02-02T00:00:00"/>
    <x v="9"/>
    <x v="5"/>
    <x v="0"/>
    <n v="1697400"/>
    <x v="2"/>
    <x v="2"/>
    <s v="Jinja"/>
    <n v="9"/>
    <s v="Recovered"/>
    <n v="16"/>
  </r>
  <r>
    <s v="P135"/>
    <s v="Jane Smith"/>
    <x v="1"/>
    <d v="1968-12-19T00:00:00"/>
    <x v="33"/>
    <d v="2024-03-21T00:00:00"/>
    <x v="2"/>
    <x v="2"/>
    <x v="3"/>
    <n v="629924"/>
    <x v="0"/>
    <x v="1"/>
    <s v="Kampala"/>
    <n v="11"/>
    <s v="not stated"/>
    <n v="56"/>
  </r>
  <r>
    <s v="P136"/>
    <s v="Michael Brown"/>
    <x v="0"/>
    <d v="1964-07-29T00:00:00"/>
    <x v="97"/>
    <d v="2024-06-03T00:00:00"/>
    <x v="1"/>
    <x v="1"/>
    <x v="3"/>
    <n v="1455992"/>
    <x v="1"/>
    <x v="2"/>
    <s v="Kampala"/>
    <n v="9"/>
    <s v="Recovered"/>
    <n v="60"/>
  </r>
  <r>
    <s v="P137"/>
    <s v="Bruce Wayne"/>
    <x v="0"/>
    <d v="2005-01-27T00:00:00"/>
    <x v="98"/>
    <d v="2024-04-06T00:00:00"/>
    <x v="10"/>
    <x v="6"/>
    <x v="1"/>
    <n v="4647104"/>
    <x v="2"/>
    <x v="0"/>
    <s v="Jinja"/>
    <n v="13"/>
    <s v="Recovered"/>
    <n v="19"/>
  </r>
  <r>
    <s v="P138"/>
    <s v="Peter Parker"/>
    <x v="2"/>
    <d v="1972-02-10T00:00:00"/>
    <x v="28"/>
    <d v="2024-02-03T00:00:00"/>
    <x v="1"/>
    <x v="1"/>
    <x v="1"/>
    <n v="1199496"/>
    <x v="0"/>
    <x v="2"/>
    <s v="Entebbe"/>
    <n v="12"/>
    <s v="Recovered"/>
    <n v="52"/>
  </r>
  <r>
    <s v="P139"/>
    <s v="Michael Brown"/>
    <x v="1"/>
    <d v="1988-08-31T00:00:00"/>
    <x v="99"/>
    <s v="still admitted"/>
    <x v="7"/>
    <x v="4"/>
    <x v="4"/>
    <n v="1015000"/>
    <x v="2"/>
    <x v="1"/>
    <s v="Entebbe"/>
    <s v="Still Admitted"/>
    <s v="Recovered"/>
    <n v="36"/>
  </r>
  <r>
    <s v="P140"/>
    <s v="Stephen Strange"/>
    <x v="1"/>
    <d v="2001-04-24T00:00:00"/>
    <x v="4"/>
    <d v="2024-06-29T00:00:00"/>
    <x v="5"/>
    <x v="5"/>
    <x v="0"/>
    <n v="863788"/>
    <x v="2"/>
    <x v="2"/>
    <s v="Entebbe"/>
    <n v="5"/>
    <s v="Recovered"/>
    <n v="23"/>
  </r>
  <r>
    <s v="P141"/>
    <s v="Chris Evans"/>
    <x v="1"/>
    <d v="2006-01-28T00:00:00"/>
    <x v="91"/>
    <d v="2024-06-04T00:00:00"/>
    <x v="9"/>
    <x v="5"/>
    <x v="1"/>
    <n v="5167640"/>
    <x v="0"/>
    <x v="2"/>
    <s v="Entebbe"/>
    <n v="3"/>
    <s v="not stated"/>
    <n v="18"/>
  </r>
  <r>
    <s v="P142"/>
    <s v="David Kim"/>
    <x v="0"/>
    <d v="1978-10-08T00:00:00"/>
    <x v="35"/>
    <d v="2024-05-09T00:00:00"/>
    <x v="5"/>
    <x v="5"/>
    <x v="3"/>
    <n v="5265712"/>
    <x v="1"/>
    <x v="0"/>
    <s v="Entebbe"/>
    <n v="7"/>
    <s v="Referred"/>
    <n v="46"/>
  </r>
  <r>
    <s v="P143"/>
    <s v="Sarah Connor"/>
    <x v="0"/>
    <d v="1967-12-05T00:00:00"/>
    <x v="100"/>
    <d v="2024-07-01T00:00:00"/>
    <x v="10"/>
    <x v="6"/>
    <x v="1"/>
    <n v="909052"/>
    <x v="2"/>
    <x v="0"/>
    <s v="Jinja"/>
    <n v="8"/>
    <s v="not stated"/>
    <n v="57"/>
  </r>
  <r>
    <s v="P144"/>
    <s v="Tony Stark"/>
    <x v="2"/>
    <d v="1983-10-28T00:00:00"/>
    <x v="44"/>
    <d v="2024-05-03T00:00:00"/>
    <x v="2"/>
    <x v="2"/>
    <x v="2"/>
    <n v="3153392"/>
    <x v="0"/>
    <x v="0"/>
    <s v="Jinja"/>
    <n v="9"/>
    <s v="not stated"/>
    <n v="41"/>
  </r>
  <r>
    <s v="P145"/>
    <s v="Jane Smith"/>
    <x v="0"/>
    <d v="2007-11-14T00:00:00"/>
    <x v="82"/>
    <s v="still admitted"/>
    <x v="7"/>
    <x v="4"/>
    <x v="0"/>
    <n v="4318940"/>
    <x v="2"/>
    <x v="2"/>
    <s v="Entebbe"/>
    <s v="Still Admitted"/>
    <s v="not stated"/>
    <n v="17"/>
  </r>
  <r>
    <s v="P146"/>
    <s v="Wanda Maximoff"/>
    <x v="1"/>
    <d v="1980-12-12T00:00:00"/>
    <x v="101"/>
    <d v="2024-05-18T00:00:00"/>
    <x v="7"/>
    <x v="4"/>
    <x v="3"/>
    <n v="1365000"/>
    <x v="0"/>
    <x v="2"/>
    <s v="Entebbe"/>
    <n v="15"/>
    <s v="Referred"/>
    <n v="44"/>
  </r>
  <r>
    <s v="P147"/>
    <s v="Natasha Romanoff"/>
    <x v="0"/>
    <d v="1989-04-23T00:00:00"/>
    <x v="102"/>
    <d v="2024-04-04T00:00:00"/>
    <x v="9"/>
    <x v="5"/>
    <x v="1"/>
    <n v="5382644"/>
    <x v="0"/>
    <x v="0"/>
    <s v="Jinja"/>
    <n v="13"/>
    <s v="Recovered"/>
    <n v="35"/>
  </r>
  <r>
    <s v="P148"/>
    <s v="Stephen Strange"/>
    <x v="1"/>
    <d v="1991-06-15T00:00:00"/>
    <x v="21"/>
    <d v="2024-04-24T00:00:00"/>
    <x v="1"/>
    <x v="1"/>
    <x v="3"/>
    <n v="5118604"/>
    <x v="2"/>
    <x v="2"/>
    <s v="Entebbe"/>
    <n v="11"/>
    <s v="Recovered"/>
    <n v="33"/>
  </r>
  <r>
    <s v="P149"/>
    <s v="Chris Evans"/>
    <x v="2"/>
    <d v="1955-08-13T00:00:00"/>
    <x v="2"/>
    <d v="2024-05-21T00:00:00"/>
    <x v="7"/>
    <x v="4"/>
    <x v="3"/>
    <n v="3857000"/>
    <x v="1"/>
    <x v="2"/>
    <s v="Jinja"/>
    <n v="4"/>
    <s v="Referred"/>
    <n v="69"/>
  </r>
  <r>
    <s v="P150"/>
    <s v="Steve Rogers"/>
    <x v="0"/>
    <d v="1965-06-24T00:00:00"/>
    <x v="31"/>
    <d v="2024-06-12T00:00:00"/>
    <x v="4"/>
    <x v="4"/>
    <x v="0"/>
    <n v="1659000"/>
    <x v="0"/>
    <x v="2"/>
    <s v="Entebbe"/>
    <n v="6"/>
    <s v="Referred"/>
    <n v="59"/>
  </r>
  <r>
    <s v="P151"/>
    <s v="Linda White"/>
    <x v="1"/>
    <d v="2007-01-06T00:00:00"/>
    <x v="99"/>
    <d v="2024-05-25T00:00:00"/>
    <x v="8"/>
    <x v="5"/>
    <x v="1"/>
    <n v="5160096"/>
    <x v="0"/>
    <x v="1"/>
    <s v="Entebbe"/>
    <n v="3"/>
    <s v="Referred"/>
    <n v="17"/>
  </r>
  <r>
    <s v="P152"/>
    <s v="Wanda Maximoff"/>
    <x v="1"/>
    <d v="1994-05-29T00:00:00"/>
    <x v="4"/>
    <d v="2024-07-08T00:00:00"/>
    <x v="10"/>
    <x v="6"/>
    <x v="0"/>
    <n v="4741404"/>
    <x v="0"/>
    <x v="2"/>
    <s v="Kampala"/>
    <n v="14"/>
    <s v="not stated"/>
    <n v="30"/>
  </r>
  <r>
    <s v="P153"/>
    <s v="Linda White"/>
    <x v="2"/>
    <d v="1991-01-11T00:00:00"/>
    <x v="103"/>
    <d v="2024-05-25T00:00:00"/>
    <x v="2"/>
    <x v="2"/>
    <x v="2"/>
    <n v="697820"/>
    <x v="1"/>
    <x v="0"/>
    <s v="Entebbe"/>
    <n v="5"/>
    <s v="not stated"/>
    <n v="33"/>
  </r>
  <r>
    <s v="P154"/>
    <s v="Peter Parker"/>
    <x v="2"/>
    <d v="1952-11-22T00:00:00"/>
    <x v="36"/>
    <d v="2024-03-10T00:00:00"/>
    <x v="7"/>
    <x v="4"/>
    <x v="2"/>
    <n v="2206620"/>
    <x v="1"/>
    <x v="2"/>
    <s v="Jinja"/>
    <n v="2"/>
    <s v="Recovered"/>
    <n v="72"/>
  </r>
  <r>
    <s v="P155"/>
    <s v="David Kim"/>
    <x v="2"/>
    <d v="1968-07-15T00:00:00"/>
    <x v="104"/>
    <d v="2024-01-26T00:00:00"/>
    <x v="8"/>
    <x v="5"/>
    <x v="1"/>
    <n v="2422000"/>
    <x v="1"/>
    <x v="1"/>
    <s v="Kampala"/>
    <n v="10"/>
    <s v="Referred"/>
    <n v="56"/>
  </r>
  <r>
    <s v="P156"/>
    <s v="Chris Evans"/>
    <x v="2"/>
    <d v="2008-11-04T00:00:00"/>
    <x v="38"/>
    <d v="2024-07-10T00:00:00"/>
    <x v="4"/>
    <x v="4"/>
    <x v="2"/>
    <n v="5597648"/>
    <x v="2"/>
    <x v="0"/>
    <s v="Jinja"/>
    <n v="12"/>
    <s v="Referred"/>
    <n v="16"/>
  </r>
  <r>
    <s v="P157"/>
    <s v="Steve Rogers"/>
    <x v="0"/>
    <d v="2006-11-05T00:00:00"/>
    <x v="21"/>
    <d v="2024-04-28T00:00:00"/>
    <x v="10"/>
    <x v="6"/>
    <x v="1"/>
    <n v="4869652"/>
    <x v="0"/>
    <x v="2"/>
    <s v="Jinja"/>
    <n v="15"/>
    <s v="Recovered"/>
    <n v="18"/>
  </r>
  <r>
    <s v="P158"/>
    <s v="Diana Prince"/>
    <x v="1"/>
    <d v="1988-07-18T00:00:00"/>
    <x v="105"/>
    <d v="2024-05-11T00:00:00"/>
    <x v="2"/>
    <x v="2"/>
    <x v="0"/>
    <n v="4748948"/>
    <x v="0"/>
    <x v="1"/>
    <s v="Kampala"/>
    <n v="5"/>
    <s v="Referred"/>
    <n v="36"/>
  </r>
  <r>
    <s v="P159"/>
    <s v="Sarah Connor"/>
    <x v="2"/>
    <d v="1964-03-04T00:00:00"/>
    <x v="106"/>
    <d v="2024-05-03T00:00:00"/>
    <x v="3"/>
    <x v="3"/>
    <x v="1"/>
    <n v="1487500"/>
    <x v="0"/>
    <x v="2"/>
    <s v="Entebbe"/>
    <n v="7"/>
    <s v="not stated"/>
    <n v="60"/>
  </r>
  <r>
    <s v="P160"/>
    <s v="Linda White"/>
    <x v="0"/>
    <d v="1985-07-23T00:00:00"/>
    <x v="38"/>
    <d v="2024-06-30T00:00:00"/>
    <x v="9"/>
    <x v="5"/>
    <x v="1"/>
    <n v="976948"/>
    <x v="1"/>
    <x v="0"/>
    <s v="Jinja"/>
    <n v="2"/>
    <s v="Recovered"/>
    <n v="39"/>
  </r>
  <r>
    <s v="P161"/>
    <s v="Bruce Wayne"/>
    <x v="2"/>
    <d v="1960-10-26T00:00:00"/>
    <x v="107"/>
    <d v="2024-06-30T00:00:00"/>
    <x v="7"/>
    <x v="4"/>
    <x v="2"/>
    <n v="1165548"/>
    <x v="0"/>
    <x v="2"/>
    <s v="Entebbe"/>
    <n v="4"/>
    <s v="Recovered"/>
    <n v="64"/>
  </r>
  <r>
    <s v="P162"/>
    <s v="David Kim"/>
    <x v="0"/>
    <d v="1997-08-05T00:00:00"/>
    <x v="23"/>
    <d v="2024-06-17T00:00:00"/>
    <x v="6"/>
    <x v="0"/>
    <x v="0"/>
    <n v="3556996"/>
    <x v="0"/>
    <x v="1"/>
    <s v="Kampala"/>
    <n v="12"/>
    <s v="Recovered"/>
    <n v="27"/>
  </r>
  <r>
    <s v="P163"/>
    <s v="Diana Prince"/>
    <x v="0"/>
    <d v="1988-07-10T00:00:00"/>
    <x v="52"/>
    <d v="2024-02-07T00:00:00"/>
    <x v="2"/>
    <x v="2"/>
    <x v="4"/>
    <n v="4704000"/>
    <x v="0"/>
    <x v="2"/>
    <s v="Kampala"/>
    <n v="2"/>
    <s v="Recovered"/>
    <n v="36"/>
  </r>
  <r>
    <s v="P164"/>
    <s v="Diana Prince"/>
    <x v="0"/>
    <d v="2007-12-21T00:00:00"/>
    <x v="79"/>
    <d v="2024-03-06T00:00:00"/>
    <x v="6"/>
    <x v="0"/>
    <x v="0"/>
    <n v="4454732"/>
    <x v="0"/>
    <x v="2"/>
    <s v="Kampala"/>
    <n v="4"/>
    <s v="not stated"/>
    <n v="17"/>
  </r>
  <r>
    <s v="P165"/>
    <s v="Clark Kent"/>
    <x v="0"/>
    <d v="1965-07-02T00:00:00"/>
    <x v="108"/>
    <d v="2024-01-20T00:00:00"/>
    <x v="4"/>
    <x v="4"/>
    <x v="0"/>
    <n v="3202500"/>
    <x v="1"/>
    <x v="2"/>
    <s v="Entebbe"/>
    <n v="1"/>
    <s v="not stated"/>
    <n v="59"/>
  </r>
  <r>
    <s v="P166"/>
    <s v="Stephen Strange"/>
    <x v="0"/>
    <d v="1963-09-13T00:00:00"/>
    <x v="28"/>
    <s v="still admitted"/>
    <x v="4"/>
    <x v="4"/>
    <x v="0"/>
    <n v="4193000"/>
    <x v="2"/>
    <x v="1"/>
    <s v="Entebbe"/>
    <s v="Still Admitted"/>
    <s v="Recovered"/>
    <n v="61"/>
  </r>
  <r>
    <s v="P167"/>
    <s v="Nancy Drew"/>
    <x v="0"/>
    <d v="1988-12-24T00:00:00"/>
    <x v="106"/>
    <d v="2024-05-08T00:00:00"/>
    <x v="7"/>
    <x v="4"/>
    <x v="3"/>
    <n v="1437132"/>
    <x v="0"/>
    <x v="2"/>
    <s v="Entebbe"/>
    <n v="12"/>
    <s v="not stated"/>
    <n v="36"/>
  </r>
  <r>
    <s v="P168"/>
    <s v="Linda White"/>
    <x v="0"/>
    <d v="1961-05-22T00:00:00"/>
    <x v="13"/>
    <d v="2024-02-07T00:00:00"/>
    <x v="2"/>
    <x v="2"/>
    <x v="1"/>
    <n v="4828160"/>
    <x v="2"/>
    <x v="2"/>
    <s v="Jinja"/>
    <n v="7"/>
    <s v="not stated"/>
    <n v="63"/>
  </r>
  <r>
    <s v="P169"/>
    <s v="Clark Kent"/>
    <x v="1"/>
    <d v="1972-11-20T00:00:00"/>
    <x v="59"/>
    <d v="2024-06-04T00:00:00"/>
    <x v="9"/>
    <x v="5"/>
    <x v="2"/>
    <n v="471500"/>
    <x v="0"/>
    <x v="2"/>
    <s v="Entebbe"/>
    <n v="9"/>
    <s v="Recovered"/>
    <n v="52"/>
  </r>
  <r>
    <s v="P170"/>
    <s v="Stephen Strange"/>
    <x v="2"/>
    <d v="2008-10-29T00:00:00"/>
    <x v="0"/>
    <d v="2024-03-13T00:00:00"/>
    <x v="5"/>
    <x v="5"/>
    <x v="0"/>
    <n v="4445000"/>
    <x v="0"/>
    <x v="1"/>
    <s v="Kampala"/>
    <n v="15"/>
    <s v="not stated"/>
    <n v="16"/>
  </r>
  <r>
    <s v="P171"/>
    <s v="Diana Prince"/>
    <x v="0"/>
    <d v="1991-09-23T00:00:00"/>
    <x v="50"/>
    <s v="still admitted"/>
    <x v="10"/>
    <x v="6"/>
    <x v="1"/>
    <n v="1785000"/>
    <x v="1"/>
    <x v="2"/>
    <s v="Jinja"/>
    <s v="Still Admitted"/>
    <s v="Referred"/>
    <n v="33"/>
  </r>
  <r>
    <s v="P172"/>
    <s v="Natasha Romanoff"/>
    <x v="2"/>
    <d v="1967-07-14T00:00:00"/>
    <x v="92"/>
    <d v="2024-02-09T00:00:00"/>
    <x v="2"/>
    <x v="2"/>
    <x v="3"/>
    <n v="416500"/>
    <x v="0"/>
    <x v="2"/>
    <s v="Jinja"/>
    <n v="1"/>
    <s v="Recovered"/>
    <n v="57"/>
  </r>
  <r>
    <s v="P173"/>
    <s v="Nancy Drew"/>
    <x v="1"/>
    <d v="1994-02-21T00:00:00"/>
    <x v="109"/>
    <s v="still admitted"/>
    <x v="4"/>
    <x v="4"/>
    <x v="4"/>
    <n v="3307500"/>
    <x v="2"/>
    <x v="1"/>
    <s v="Jinja"/>
    <s v="Still Admitted"/>
    <s v="Recovered"/>
    <n v="30"/>
  </r>
  <r>
    <s v="P174"/>
    <s v="Diana Prince"/>
    <x v="0"/>
    <d v="2003-02-07T00:00:00"/>
    <x v="110"/>
    <d v="2024-04-26T00:00:00"/>
    <x v="1"/>
    <x v="1"/>
    <x v="2"/>
    <n v="2688000"/>
    <x v="2"/>
    <x v="2"/>
    <s v="Kampala"/>
    <n v="5"/>
    <s v="Recovered"/>
    <n v="21"/>
  </r>
  <r>
    <s v="P175"/>
    <s v="TChalla"/>
    <x v="0"/>
    <d v="1963-12-11T00:00:00"/>
    <x v="111"/>
    <d v="2024-02-19T00:00:00"/>
    <x v="2"/>
    <x v="2"/>
    <x v="2"/>
    <n v="1980300"/>
    <x v="0"/>
    <x v="2"/>
    <s v="Entebbe"/>
    <n v="7"/>
    <s v="Recovered"/>
    <n v="61"/>
  </r>
  <r>
    <s v="P176"/>
    <s v="Peter Parker"/>
    <x v="2"/>
    <d v="2004-02-16T00:00:00"/>
    <x v="112"/>
    <s v="still admitted"/>
    <x v="4"/>
    <x v="4"/>
    <x v="1"/>
    <n v="4341572"/>
    <x v="0"/>
    <x v="2"/>
    <s v="Kampala"/>
    <s v="Still Admitted"/>
    <s v="Referred"/>
    <n v="20"/>
  </r>
  <r>
    <s v="P177"/>
    <s v="Stephen Strange"/>
    <x v="1"/>
    <d v="1999-05-10T00:00:00"/>
    <x v="96"/>
    <s v="still admitted"/>
    <x v="3"/>
    <x v="3"/>
    <x v="0"/>
    <n v="852472"/>
    <x v="0"/>
    <x v="0"/>
    <s v="Entebbe"/>
    <s v="Still Admitted"/>
    <s v="not stated"/>
    <n v="25"/>
  </r>
  <r>
    <s v="P178"/>
    <s v="TChalla"/>
    <x v="0"/>
    <d v="1973-03-22T00:00:00"/>
    <x v="113"/>
    <d v="2024-01-17T00:00:00"/>
    <x v="3"/>
    <x v="3"/>
    <x v="2"/>
    <n v="2938388"/>
    <x v="0"/>
    <x v="2"/>
    <s v="Kampala"/>
    <n v="11"/>
    <s v="not stated"/>
    <n v="51"/>
  </r>
  <r>
    <s v="P179"/>
    <s v="Diana Prince"/>
    <x v="1"/>
    <d v="1952-08-24T00:00:00"/>
    <x v="100"/>
    <d v="2024-06-27T00:00:00"/>
    <x v="5"/>
    <x v="5"/>
    <x v="1"/>
    <n v="1523888"/>
    <x v="1"/>
    <x v="0"/>
    <s v="Jinja"/>
    <n v="4"/>
    <s v="Referred"/>
    <n v="72"/>
  </r>
  <r>
    <s v="P180"/>
    <s v="Natasha Romanoff"/>
    <x v="0"/>
    <d v="1957-11-14T00:00:00"/>
    <x v="43"/>
    <d v="2024-04-19T00:00:00"/>
    <x v="6"/>
    <x v="0"/>
    <x v="4"/>
    <n v="524308"/>
    <x v="0"/>
    <x v="2"/>
    <s v="Jinja"/>
    <n v="11"/>
    <s v="not stated"/>
    <n v="67"/>
  </r>
  <r>
    <s v="P181"/>
    <s v="Bruce Wayne"/>
    <x v="1"/>
    <d v="1974-04-06T00:00:00"/>
    <x v="71"/>
    <d v="2024-01-08T00:00:00"/>
    <x v="9"/>
    <x v="5"/>
    <x v="1"/>
    <n v="4144000"/>
    <x v="1"/>
    <x v="0"/>
    <s v="Kampala"/>
    <n v="1"/>
    <s v="not stated"/>
    <n v="50"/>
  </r>
  <r>
    <s v="P182"/>
    <s v="Chris Evans"/>
    <x v="0"/>
    <d v="1955-01-07T00:00:00"/>
    <x v="76"/>
    <d v="2024-06-10T00:00:00"/>
    <x v="3"/>
    <x v="3"/>
    <x v="4"/>
    <n v="2628500"/>
    <x v="1"/>
    <x v="1"/>
    <s v="Jinja"/>
    <n v="14"/>
    <s v="not stated"/>
    <n v="69"/>
  </r>
  <r>
    <s v="P183"/>
    <s v="TChalla"/>
    <x v="1"/>
    <d v="1994-02-28T00:00:00"/>
    <x v="39"/>
    <s v="still admitted"/>
    <x v="9"/>
    <x v="5"/>
    <x v="4"/>
    <n v="2067056"/>
    <x v="1"/>
    <x v="2"/>
    <s v="Kampala"/>
    <s v="Still Admitted"/>
    <s v="Recovered"/>
    <n v="30"/>
  </r>
  <r>
    <s v="P184"/>
    <s v="Bruce Wayne"/>
    <x v="1"/>
    <d v="1965-12-03T00:00:00"/>
    <x v="104"/>
    <s v="still admitted"/>
    <x v="3"/>
    <x v="3"/>
    <x v="0"/>
    <n v="4119500"/>
    <x v="0"/>
    <x v="2"/>
    <s v="Jinja"/>
    <s v="Still Admitted"/>
    <s v="not stated"/>
    <n v="59"/>
  </r>
  <r>
    <s v="P185"/>
    <s v="Bruce Wayne"/>
    <x v="0"/>
    <d v="1978-12-11T00:00:00"/>
    <x v="7"/>
    <d v="2024-02-18T00:00:00"/>
    <x v="3"/>
    <x v="3"/>
    <x v="4"/>
    <n v="4746000"/>
    <x v="0"/>
    <x v="0"/>
    <s v="Entebbe"/>
    <n v="8"/>
    <s v="Referred"/>
    <n v="46"/>
  </r>
  <r>
    <s v="P186"/>
    <s v="Linda White"/>
    <x v="1"/>
    <d v="1950-02-28T00:00:00"/>
    <x v="97"/>
    <d v="2024-05-31T00:00:00"/>
    <x v="6"/>
    <x v="0"/>
    <x v="0"/>
    <n v="4209552"/>
    <x v="0"/>
    <x v="1"/>
    <s v="Kampala"/>
    <n v="6"/>
    <s v="Recovered"/>
    <n v="74"/>
  </r>
  <r>
    <s v="P187"/>
    <s v="Michael Brown"/>
    <x v="2"/>
    <d v="2007-05-04T00:00:00"/>
    <x v="44"/>
    <d v="2024-04-28T00:00:00"/>
    <x v="8"/>
    <x v="5"/>
    <x v="2"/>
    <n v="1210812"/>
    <x v="0"/>
    <x v="2"/>
    <s v="Entebbe"/>
    <n v="4"/>
    <s v="Referred"/>
    <n v="17"/>
  </r>
  <r>
    <s v="P188"/>
    <s v="Diana Prince"/>
    <x v="0"/>
    <d v="1998-12-27T00:00:00"/>
    <x v="47"/>
    <d v="2024-02-05T00:00:00"/>
    <x v="3"/>
    <x v="3"/>
    <x v="0"/>
    <n v="588000"/>
    <x v="0"/>
    <x v="2"/>
    <s v="Entebbe"/>
    <n v="10"/>
    <s v="Referred"/>
    <n v="26"/>
  </r>
  <r>
    <s v="P189"/>
    <s v="Diana Prince"/>
    <x v="1"/>
    <d v="1956-09-23T00:00:00"/>
    <x v="85"/>
    <d v="2024-04-03T00:00:00"/>
    <x v="0"/>
    <x v="0"/>
    <x v="0"/>
    <n v="788348"/>
    <x v="0"/>
    <x v="0"/>
    <s v="Kampala"/>
    <n v="7"/>
    <s v="not stated"/>
    <n v="68"/>
  </r>
  <r>
    <s v="P190"/>
    <s v="Stephen Strange"/>
    <x v="0"/>
    <d v="2009-04-07T00:00:00"/>
    <x v="114"/>
    <s v="still admitted"/>
    <x v="1"/>
    <x v="1"/>
    <x v="4"/>
    <n v="4168060"/>
    <x v="0"/>
    <x v="2"/>
    <s v="Kampala"/>
    <s v="Still Admitted"/>
    <s v="not stated"/>
    <n v="15"/>
  </r>
  <r>
    <s v="P191"/>
    <s v="Scott Lang"/>
    <x v="1"/>
    <d v="1967-11-30T00:00:00"/>
    <x v="71"/>
    <d v="2024-01-12T00:00:00"/>
    <x v="10"/>
    <x v="6"/>
    <x v="0"/>
    <n v="2757332"/>
    <x v="2"/>
    <x v="2"/>
    <s v="Jinja"/>
    <n v="5"/>
    <s v="not stated"/>
    <n v="57"/>
  </r>
  <r>
    <s v="P192"/>
    <s v="Diana Prince"/>
    <x v="1"/>
    <d v="1983-04-15T00:00:00"/>
    <x v="115"/>
    <d v="2024-04-09T00:00:00"/>
    <x v="10"/>
    <x v="6"/>
    <x v="0"/>
    <n v="2451800"/>
    <x v="0"/>
    <x v="1"/>
    <s v="Kampala"/>
    <n v="5"/>
    <s v="not stated"/>
    <n v="41"/>
  </r>
  <r>
    <s v="P193"/>
    <s v="TChalla"/>
    <x v="1"/>
    <d v="1999-09-01T00:00:00"/>
    <x v="116"/>
    <d v="2024-04-20T00:00:00"/>
    <x v="0"/>
    <x v="0"/>
    <x v="1"/>
    <n v="2685664"/>
    <x v="2"/>
    <x v="1"/>
    <s v="Jinja"/>
    <n v="11"/>
    <s v="not stated"/>
    <n v="25"/>
  </r>
  <r>
    <s v="P194"/>
    <s v="Scott Lang"/>
    <x v="1"/>
    <d v="1960-10-16T00:00:00"/>
    <x v="39"/>
    <d v="2024-02-27T00:00:00"/>
    <x v="3"/>
    <x v="3"/>
    <x v="1"/>
    <n v="980720"/>
    <x v="0"/>
    <x v="0"/>
    <s v="Jinja"/>
    <n v="13"/>
    <s v="not stated"/>
    <n v="64"/>
  </r>
  <r>
    <s v="P195"/>
    <s v="Michael Brown"/>
    <x v="1"/>
    <d v="1999-11-30T00:00:00"/>
    <x v="42"/>
    <d v="2024-05-30T00:00:00"/>
    <x v="9"/>
    <x v="5"/>
    <x v="3"/>
    <n v="5190272"/>
    <x v="0"/>
    <x v="2"/>
    <s v="Kampala"/>
    <n v="9"/>
    <s v="not stated"/>
    <n v="25"/>
  </r>
  <r>
    <s v="P196"/>
    <s v="Sarah Connor"/>
    <x v="0"/>
    <d v="2000-06-25T00:00:00"/>
    <x v="40"/>
    <d v="2024-03-19T00:00:00"/>
    <x v="6"/>
    <x v="0"/>
    <x v="4"/>
    <n v="5080884"/>
    <x v="0"/>
    <x v="0"/>
    <s v="Entebbe"/>
    <n v="5"/>
    <s v="not stated"/>
    <n v="24"/>
  </r>
  <r>
    <s v="P197"/>
    <s v="Diana Prince"/>
    <x v="0"/>
    <d v="1985-07-05T00:00:00"/>
    <x v="74"/>
    <s v="still admitted"/>
    <x v="10"/>
    <x v="6"/>
    <x v="1"/>
    <n v="493500"/>
    <x v="0"/>
    <x v="2"/>
    <s v="Entebbe"/>
    <s v="Still Admitted"/>
    <s v="not stated"/>
    <n v="39"/>
  </r>
  <r>
    <s v="P198"/>
    <s v="Sarah Connor"/>
    <x v="2"/>
    <d v="1970-06-14T00:00:00"/>
    <x v="114"/>
    <d v="2024-03-23T00:00:00"/>
    <x v="1"/>
    <x v="1"/>
    <x v="3"/>
    <n v="1063704"/>
    <x v="2"/>
    <x v="0"/>
    <s v="Entebbe"/>
    <n v="6"/>
    <s v="not stated"/>
    <n v="54"/>
  </r>
  <r>
    <s v="P199"/>
    <s v="Jane Smith"/>
    <x v="0"/>
    <d v="1964-04-06T00:00:00"/>
    <x v="50"/>
    <s v="still admitted"/>
    <x v="2"/>
    <x v="2"/>
    <x v="0"/>
    <n v="1716260"/>
    <x v="0"/>
    <x v="1"/>
    <s v="Kampala"/>
    <s v="Still Admitted"/>
    <s v="Recovered"/>
    <n v="60"/>
  </r>
  <r>
    <s v="P200"/>
    <s v="James Bond"/>
    <x v="0"/>
    <d v="1983-01-18T00:00:00"/>
    <x v="117"/>
    <d v="2024-05-11T00:00:00"/>
    <x v="4"/>
    <x v="4"/>
    <x v="1"/>
    <n v="4963952"/>
    <x v="0"/>
    <x v="2"/>
    <s v="Jinja"/>
    <n v="2"/>
    <s v="Recovered"/>
    <n v="41"/>
  </r>
  <r>
    <s v="P201"/>
    <s v="Michael Brown"/>
    <x v="0"/>
    <d v="1952-06-18T00:00:00"/>
    <x v="118"/>
    <d v="2024-01-26T00:00:00"/>
    <x v="4"/>
    <x v="4"/>
    <x v="0"/>
    <n v="5608964"/>
    <x v="0"/>
    <x v="2"/>
    <s v="Jinja"/>
    <n v="13"/>
    <s v="not stated"/>
    <n v="72"/>
  </r>
  <r>
    <s v="P202"/>
    <s v="Natasha Romanoff"/>
    <x v="1"/>
    <d v="2008-01-30T00:00:00"/>
    <x v="119"/>
    <d v="2024-06-12T00:00:00"/>
    <x v="6"/>
    <x v="0"/>
    <x v="1"/>
    <n v="3048500"/>
    <x v="2"/>
    <x v="2"/>
    <s v="Kampala"/>
    <n v="10"/>
    <s v="not stated"/>
    <n v="16"/>
  </r>
  <r>
    <s v="P203"/>
    <s v="Diana Prince"/>
    <x v="0"/>
    <d v="1959-03-07T00:00:00"/>
    <x v="70"/>
    <d v="2024-05-20T00:00:00"/>
    <x v="5"/>
    <x v="5"/>
    <x v="0"/>
    <n v="4096392"/>
    <x v="0"/>
    <x v="2"/>
    <s v="Jinja"/>
    <n v="10"/>
    <s v="Referred"/>
    <n v="65"/>
  </r>
  <r>
    <s v="P204"/>
    <s v="Peter Parker"/>
    <x v="1"/>
    <d v="1963-06-14T00:00:00"/>
    <x v="120"/>
    <d v="2024-01-26T00:00:00"/>
    <x v="9"/>
    <x v="5"/>
    <x v="1"/>
    <n v="2467500"/>
    <x v="2"/>
    <x v="2"/>
    <s v="Entebbe"/>
    <n v="11"/>
    <s v="not stated"/>
    <n v="61"/>
  </r>
  <r>
    <s v="P205"/>
    <s v="James Bond"/>
    <x v="0"/>
    <d v="1969-12-13T00:00:00"/>
    <x v="58"/>
    <d v="2024-07-04T00:00:00"/>
    <x v="6"/>
    <x v="0"/>
    <x v="0"/>
    <n v="2644172"/>
    <x v="2"/>
    <x v="0"/>
    <s v="Jinja"/>
    <n v="14"/>
    <s v="not stated"/>
    <n v="55"/>
  </r>
  <r>
    <s v="P206"/>
    <s v="Bruce Wayne"/>
    <x v="1"/>
    <d v="1958-01-05T00:00:00"/>
    <x v="18"/>
    <d v="2024-04-05T00:00:00"/>
    <x v="8"/>
    <x v="5"/>
    <x v="1"/>
    <n v="4546500"/>
    <x v="2"/>
    <x v="1"/>
    <s v="Entebbe"/>
    <n v="5"/>
    <s v="not stated"/>
    <n v="66"/>
  </r>
  <r>
    <s v="P207"/>
    <s v="TChalla"/>
    <x v="0"/>
    <d v="1956-05-22T00:00:00"/>
    <x v="121"/>
    <d v="2024-02-26T00:00:00"/>
    <x v="1"/>
    <x v="1"/>
    <x v="2"/>
    <n v="1538976"/>
    <x v="0"/>
    <x v="2"/>
    <s v="Entebbe"/>
    <n v="7"/>
    <s v="Referred"/>
    <n v="68"/>
  </r>
  <r>
    <s v="P208"/>
    <s v="Bruce Wayne"/>
    <x v="2"/>
    <d v="1966-03-07T00:00:00"/>
    <x v="27"/>
    <d v="2024-05-07T00:00:00"/>
    <x v="6"/>
    <x v="0"/>
    <x v="0"/>
    <n v="3587500"/>
    <x v="0"/>
    <x v="0"/>
    <s v="Jinja"/>
    <n v="3"/>
    <s v="Recovered"/>
    <n v="58"/>
  </r>
  <r>
    <s v="P209"/>
    <s v="Scott Lang"/>
    <x v="1"/>
    <d v="2006-11-01T00:00:00"/>
    <x v="21"/>
    <d v="2024-04-20T00:00:00"/>
    <x v="9"/>
    <x v="5"/>
    <x v="0"/>
    <n v="3259008"/>
    <x v="0"/>
    <x v="0"/>
    <s v="Kampala"/>
    <n v="7"/>
    <s v="not stated"/>
    <n v="18"/>
  </r>
  <r>
    <s v="P210"/>
    <s v="Nancy Drew"/>
    <x v="1"/>
    <d v="1980-11-22T00:00:00"/>
    <x v="63"/>
    <d v="2024-02-13T00:00:00"/>
    <x v="3"/>
    <x v="3"/>
    <x v="2"/>
    <n v="675500"/>
    <x v="0"/>
    <x v="2"/>
    <s v="Jinja"/>
    <n v="10"/>
    <s v="Referred"/>
    <n v="44"/>
  </r>
  <r>
    <s v="P211"/>
    <s v="David Kim"/>
    <x v="0"/>
    <d v="1993-12-23T00:00:00"/>
    <x v="122"/>
    <d v="2024-03-04T00:00:00"/>
    <x v="9"/>
    <x v="5"/>
    <x v="0"/>
    <n v="1388096"/>
    <x v="0"/>
    <x v="0"/>
    <s v="Kampala"/>
    <n v="15"/>
    <s v="Recovered"/>
    <n v="31"/>
  </r>
  <r>
    <s v="P212"/>
    <s v="Chris Evans"/>
    <x v="2"/>
    <d v="1997-12-22T00:00:00"/>
    <x v="91"/>
    <d v="2024-06-12T00:00:00"/>
    <x v="9"/>
    <x v="5"/>
    <x v="0"/>
    <n v="3594716"/>
    <x v="2"/>
    <x v="1"/>
    <s v="Jinja"/>
    <n v="11"/>
    <s v="not stated"/>
    <n v="27"/>
  </r>
  <r>
    <s v="P213"/>
    <s v="James Bond"/>
    <x v="1"/>
    <d v="2006-07-20T00:00:00"/>
    <x v="123"/>
    <d v="2024-03-29T00:00:00"/>
    <x v="0"/>
    <x v="0"/>
    <x v="3"/>
    <n v="1433360"/>
    <x v="0"/>
    <x v="1"/>
    <s v="Entebbe"/>
    <n v="11"/>
    <s v="Recovered"/>
    <n v="18"/>
  </r>
  <r>
    <s v="P214"/>
    <s v="James Bond"/>
    <x v="0"/>
    <d v="1967-12-03T00:00:00"/>
    <x v="25"/>
    <d v="2024-05-20T00:00:00"/>
    <x v="3"/>
    <x v="3"/>
    <x v="4"/>
    <n v="4209552"/>
    <x v="2"/>
    <x v="2"/>
    <s v="Kampala"/>
    <n v="7"/>
    <s v="not stated"/>
    <n v="57"/>
  </r>
  <r>
    <s v="P215"/>
    <s v="Sarah Connor"/>
    <x v="2"/>
    <d v="2001-07-05T00:00:00"/>
    <x v="92"/>
    <d v="2024-02-10T00:00:00"/>
    <x v="5"/>
    <x v="5"/>
    <x v="0"/>
    <n v="3622500"/>
    <x v="0"/>
    <x v="2"/>
    <s v="Kampala"/>
    <n v="2"/>
    <s v="Recovered"/>
    <n v="23"/>
  </r>
  <r>
    <s v="P216"/>
    <s v="Peter Parker"/>
    <x v="0"/>
    <d v="1978-01-20T00:00:00"/>
    <x v="124"/>
    <d v="2024-02-14T00:00:00"/>
    <x v="9"/>
    <x v="5"/>
    <x v="0"/>
    <n v="5499576"/>
    <x v="0"/>
    <x v="2"/>
    <s v="Entebbe"/>
    <n v="15"/>
    <s v="not stated"/>
    <n v="46"/>
  </r>
  <r>
    <s v="P217"/>
    <s v="Clark Kent"/>
    <x v="2"/>
    <d v="1980-09-30T00:00:00"/>
    <x v="124"/>
    <d v="2024-02-07T00:00:00"/>
    <x v="1"/>
    <x v="1"/>
    <x v="2"/>
    <n v="4069988"/>
    <x v="0"/>
    <x v="1"/>
    <s v="Kampala"/>
    <n v="8"/>
    <s v="Recovered"/>
    <n v="44"/>
  </r>
  <r>
    <s v="P218"/>
    <s v="Tony Stark"/>
    <x v="0"/>
    <d v="1993-04-21T00:00:00"/>
    <x v="125"/>
    <d v="2024-02-26T00:00:00"/>
    <x v="6"/>
    <x v="0"/>
    <x v="3"/>
    <n v="1384324"/>
    <x v="2"/>
    <x v="1"/>
    <s v="Entebbe"/>
    <n v="10"/>
    <s v="Referred"/>
    <n v="31"/>
  </r>
  <r>
    <s v="P219"/>
    <s v="Bruce Wayne"/>
    <x v="0"/>
    <d v="1997-01-31T00:00:00"/>
    <x v="58"/>
    <d v="2024-07-02T00:00:00"/>
    <x v="1"/>
    <x v="1"/>
    <x v="3"/>
    <n v="2297148"/>
    <x v="0"/>
    <x v="2"/>
    <s v="Kampala"/>
    <n v="12"/>
    <s v="not stated"/>
    <n v="27"/>
  </r>
  <r>
    <s v="P220"/>
    <s v="John Doe"/>
    <x v="1"/>
    <d v="1964-01-30T00:00:00"/>
    <x v="105"/>
    <s v="still admitted"/>
    <x v="10"/>
    <x v="6"/>
    <x v="0"/>
    <n v="2719500"/>
    <x v="0"/>
    <x v="0"/>
    <s v="Jinja"/>
    <s v="Still Admitted"/>
    <s v="Recovered"/>
    <n v="60"/>
  </r>
  <r>
    <s v="P221"/>
    <s v="Steve Rogers"/>
    <x v="1"/>
    <d v="2001-05-30T00:00:00"/>
    <x v="126"/>
    <d v="2024-01-25T00:00:00"/>
    <x v="6"/>
    <x v="0"/>
    <x v="0"/>
    <n v="3492872"/>
    <x v="0"/>
    <x v="1"/>
    <s v="Kampala"/>
    <n v="2"/>
    <s v="not stated"/>
    <n v="23"/>
  </r>
  <r>
    <s v="P222"/>
    <s v="Wanda Maximoff"/>
    <x v="0"/>
    <d v="1968-07-23T00:00:00"/>
    <x v="16"/>
    <d v="2024-04-11T00:00:00"/>
    <x v="10"/>
    <x v="6"/>
    <x v="4"/>
    <n v="5163868"/>
    <x v="0"/>
    <x v="2"/>
    <s v="Kampala"/>
    <n v="14"/>
    <s v="not stated"/>
    <n v="56"/>
  </r>
  <r>
    <s v="P223"/>
    <s v="John Doe"/>
    <x v="0"/>
    <d v="1981-11-11T00:00:00"/>
    <x v="103"/>
    <d v="2024-05-21T00:00:00"/>
    <x v="10"/>
    <x v="6"/>
    <x v="2"/>
    <n v="3538136"/>
    <x v="0"/>
    <x v="0"/>
    <s v="Kampala"/>
    <n v="1"/>
    <s v="Referred"/>
    <n v="43"/>
  </r>
  <r>
    <s v="P224"/>
    <s v="Steve Rogers"/>
    <x v="2"/>
    <d v="1967-02-05T00:00:00"/>
    <x v="11"/>
    <s v="still admitted"/>
    <x v="6"/>
    <x v="0"/>
    <x v="3"/>
    <n v="4922460"/>
    <x v="2"/>
    <x v="2"/>
    <s v="Jinja"/>
    <s v="Still Admitted"/>
    <s v="Recovered"/>
    <n v="57"/>
  </r>
  <r>
    <s v="P225"/>
    <s v="John Doe"/>
    <x v="0"/>
    <d v="1954-05-11T00:00:00"/>
    <x v="51"/>
    <d v="2024-06-11T00:00:00"/>
    <x v="0"/>
    <x v="0"/>
    <x v="3"/>
    <n v="1365464"/>
    <x v="2"/>
    <x v="2"/>
    <s v="Jinja"/>
    <n v="13"/>
    <s v="not stated"/>
    <n v="70"/>
  </r>
  <r>
    <s v="P226"/>
    <s v="Nancy Drew"/>
    <x v="0"/>
    <d v="1985-09-11T00:00:00"/>
    <x v="34"/>
    <d v="2024-03-19T00:00:00"/>
    <x v="0"/>
    <x v="0"/>
    <x v="3"/>
    <n v="4021500"/>
    <x v="1"/>
    <x v="2"/>
    <s v="Jinja"/>
    <n v="3"/>
    <s v="not stated"/>
    <n v="39"/>
  </r>
  <r>
    <s v="P227"/>
    <s v="James Bond"/>
    <x v="1"/>
    <d v="2005-12-30T00:00:00"/>
    <x v="4"/>
    <d v="2024-06-27T00:00:00"/>
    <x v="2"/>
    <x v="2"/>
    <x v="3"/>
    <n v="4914000"/>
    <x v="0"/>
    <x v="2"/>
    <s v="Jinja"/>
    <n v="3"/>
    <s v="not stated"/>
    <n v="19"/>
  </r>
  <r>
    <s v="P228"/>
    <s v="Tony Stark"/>
    <x v="1"/>
    <d v="1997-11-24T00:00:00"/>
    <x v="127"/>
    <d v="2024-04-19T00:00:00"/>
    <x v="3"/>
    <x v="3"/>
    <x v="3"/>
    <n v="810980"/>
    <x v="0"/>
    <x v="0"/>
    <s v="Entebbe"/>
    <n v="1"/>
    <s v="Recovered"/>
    <n v="27"/>
  </r>
  <r>
    <s v="P229"/>
    <s v="Peter Parker"/>
    <x v="1"/>
    <d v="1998-07-21T00:00:00"/>
    <x v="128"/>
    <s v="still admitted"/>
    <x v="6"/>
    <x v="0"/>
    <x v="4"/>
    <n v="2108548"/>
    <x v="0"/>
    <x v="2"/>
    <s v="Jinja"/>
    <s v="Still Admitted"/>
    <s v="Referred"/>
    <n v="26"/>
  </r>
  <r>
    <s v="P230"/>
    <s v="Tony Stark"/>
    <x v="2"/>
    <d v="1978-01-19T00:00:00"/>
    <x v="129"/>
    <d v="2024-01-18T00:00:00"/>
    <x v="4"/>
    <x v="4"/>
    <x v="3"/>
    <n v="4991000"/>
    <x v="1"/>
    <x v="0"/>
    <s v="Jinja"/>
    <n v="14"/>
    <s v="Referred"/>
    <n v="46"/>
  </r>
  <r>
    <s v="P231"/>
    <s v="Michael Brown"/>
    <x v="1"/>
    <d v="1965-08-04T00:00:00"/>
    <x v="89"/>
    <d v="2024-04-15T00:00:00"/>
    <x v="3"/>
    <x v="3"/>
    <x v="4"/>
    <n v="2346184"/>
    <x v="0"/>
    <x v="2"/>
    <s v="Jinja"/>
    <n v="9"/>
    <s v="Recovered"/>
    <n v="59"/>
  </r>
  <r>
    <s v="P232"/>
    <s v="Scott Lang"/>
    <x v="0"/>
    <d v="2006-02-08T00:00:00"/>
    <x v="130"/>
    <s v="still admitted"/>
    <x v="8"/>
    <x v="5"/>
    <x v="0"/>
    <n v="1795472"/>
    <x v="1"/>
    <x v="0"/>
    <s v="Entebbe"/>
    <s v="Still Admitted"/>
    <s v="Recovered"/>
    <n v="18"/>
  </r>
  <r>
    <s v="P233"/>
    <s v="Nancy Drew"/>
    <x v="1"/>
    <d v="2009-07-06T00:00:00"/>
    <x v="82"/>
    <d v="2024-04-07T00:00:00"/>
    <x v="2"/>
    <x v="2"/>
    <x v="2"/>
    <n v="5390188"/>
    <x v="0"/>
    <x v="2"/>
    <s v="Entebbe"/>
    <n v="13"/>
    <s v="not stated"/>
    <n v="15"/>
  </r>
  <r>
    <s v="P234"/>
    <s v="Scott Lang"/>
    <x v="1"/>
    <d v="1953-07-30T00:00:00"/>
    <x v="3"/>
    <d v="2024-04-16T00:00:00"/>
    <x v="9"/>
    <x v="5"/>
    <x v="2"/>
    <n v="3270324"/>
    <x v="2"/>
    <x v="1"/>
    <s v="Entebbe"/>
    <n v="9"/>
    <s v="Referred"/>
    <n v="71"/>
  </r>
  <r>
    <s v="P235"/>
    <s v="Michael Brown"/>
    <x v="0"/>
    <d v="1965-01-07T00:00:00"/>
    <x v="37"/>
    <d v="2024-06-20T00:00:00"/>
    <x v="6"/>
    <x v="0"/>
    <x v="2"/>
    <n v="1176864"/>
    <x v="1"/>
    <x v="2"/>
    <s v="Jinja"/>
    <n v="11"/>
    <s v="not stated"/>
    <n v="59"/>
  </r>
  <r>
    <s v="P236"/>
    <s v="David Kim"/>
    <x v="0"/>
    <d v="1991-03-14T00:00:00"/>
    <x v="72"/>
    <s v="still admitted"/>
    <x v="3"/>
    <x v="3"/>
    <x v="1"/>
    <n v="4684824"/>
    <x v="1"/>
    <x v="0"/>
    <s v="Entebbe"/>
    <s v="Still Admitted"/>
    <s v="not stated"/>
    <n v="33"/>
  </r>
  <r>
    <s v="P237"/>
    <s v="Tony Stark"/>
    <x v="0"/>
    <d v="1951-07-08T00:00:00"/>
    <x v="131"/>
    <d v="2024-07-02T00:00:00"/>
    <x v="0"/>
    <x v="0"/>
    <x v="3"/>
    <n v="868000"/>
    <x v="1"/>
    <x v="1"/>
    <s v="Entebbe"/>
    <n v="11"/>
    <s v="not stated"/>
    <n v="73"/>
  </r>
  <r>
    <s v="P238"/>
    <s v="Peter Parker"/>
    <x v="2"/>
    <d v="1989-04-07T00:00:00"/>
    <x v="54"/>
    <d v="2024-04-20T00:00:00"/>
    <x v="3"/>
    <x v="3"/>
    <x v="1"/>
    <n v="4259500"/>
    <x v="0"/>
    <x v="2"/>
    <s v="Jinja"/>
    <n v="9"/>
    <s v="not stated"/>
    <n v="35"/>
  </r>
  <r>
    <s v="P239"/>
    <s v="Clark Kent"/>
    <x v="0"/>
    <d v="1999-08-29T00:00:00"/>
    <x v="24"/>
    <s v="still admitted"/>
    <x v="0"/>
    <x v="0"/>
    <x v="4"/>
    <n v="4605612"/>
    <x v="0"/>
    <x v="0"/>
    <s v="Jinja"/>
    <s v="Still Admitted"/>
    <s v="Referred"/>
    <n v="25"/>
  </r>
  <r>
    <s v="P240"/>
    <s v="Tony Stark"/>
    <x v="1"/>
    <d v="1995-12-26T00:00:00"/>
    <x v="132"/>
    <d v="2024-02-25T00:00:00"/>
    <x v="4"/>
    <x v="4"/>
    <x v="0"/>
    <n v="5559928"/>
    <x v="1"/>
    <x v="2"/>
    <s v="Jinja"/>
    <n v="14"/>
    <s v="not stated"/>
    <n v="29"/>
  </r>
  <r>
    <s v="P241"/>
    <s v="Chris Evans"/>
    <x v="0"/>
    <d v="1967-09-17T00:00:00"/>
    <x v="82"/>
    <s v="still admitted"/>
    <x v="6"/>
    <x v="0"/>
    <x v="0"/>
    <n v="2576276"/>
    <x v="0"/>
    <x v="2"/>
    <s v="Entebbe"/>
    <s v="Still Admitted"/>
    <s v="not stated"/>
    <n v="57"/>
  </r>
  <r>
    <s v="P242"/>
    <s v="TChalla"/>
    <x v="1"/>
    <d v="2000-09-27T00:00:00"/>
    <x v="133"/>
    <d v="2024-03-27T00:00:00"/>
    <x v="4"/>
    <x v="4"/>
    <x v="3"/>
    <n v="5326064"/>
    <x v="0"/>
    <x v="2"/>
    <s v="Kampala"/>
    <n v="6"/>
    <s v="Referred"/>
    <n v="24"/>
  </r>
  <r>
    <s v="P243"/>
    <s v="Steve Rogers"/>
    <x v="0"/>
    <d v="1977-05-28T00:00:00"/>
    <x v="42"/>
    <d v="2024-05-31T00:00:00"/>
    <x v="5"/>
    <x v="5"/>
    <x v="2"/>
    <n v="1455992"/>
    <x v="0"/>
    <x v="1"/>
    <s v="Jinja"/>
    <n v="10"/>
    <s v="Recovered"/>
    <n v="47"/>
  </r>
  <r>
    <s v="P244"/>
    <s v="John Doe"/>
    <x v="2"/>
    <d v="2002-03-16T00:00:00"/>
    <x v="134"/>
    <d v="2024-06-09T00:00:00"/>
    <x v="2"/>
    <x v="2"/>
    <x v="1"/>
    <n v="5427908"/>
    <x v="0"/>
    <x v="2"/>
    <s v="Kampala"/>
    <n v="9"/>
    <s v="not stated"/>
    <n v="22"/>
  </r>
  <r>
    <s v="P245"/>
    <s v="David Kim"/>
    <x v="1"/>
    <d v="1994-12-16T00:00:00"/>
    <x v="54"/>
    <d v="2024-04-22T00:00:00"/>
    <x v="0"/>
    <x v="0"/>
    <x v="0"/>
    <n v="4345344"/>
    <x v="2"/>
    <x v="0"/>
    <s v="Kampala"/>
    <n v="11"/>
    <s v="not stated"/>
    <n v="30"/>
  </r>
  <r>
    <s v="P246"/>
    <s v="Natasha Romanoff"/>
    <x v="0"/>
    <d v="1953-08-17T00:00:00"/>
    <x v="27"/>
    <s v="still admitted"/>
    <x v="8"/>
    <x v="5"/>
    <x v="0"/>
    <n v="5541068"/>
    <x v="1"/>
    <x v="2"/>
    <s v="Entebbe"/>
    <s v="Still Admitted"/>
    <s v="Recovered"/>
    <n v="71"/>
  </r>
  <r>
    <s v="P247"/>
    <s v="Bruce Wayne"/>
    <x v="0"/>
    <d v="1996-10-10T00:00:00"/>
    <x v="36"/>
    <d v="2024-03-15T00:00:00"/>
    <x v="0"/>
    <x v="0"/>
    <x v="2"/>
    <n v="906500"/>
    <x v="2"/>
    <x v="0"/>
    <s v="Jinja"/>
    <n v="7"/>
    <s v="Referred"/>
    <n v="28"/>
  </r>
  <r>
    <s v="P248"/>
    <s v="Natasha Romanoff"/>
    <x v="0"/>
    <d v="1950-08-05T00:00:00"/>
    <x v="15"/>
    <d v="2024-05-01T00:00:00"/>
    <x v="4"/>
    <x v="4"/>
    <x v="0"/>
    <n v="1477000"/>
    <x v="1"/>
    <x v="1"/>
    <s v="Jinja"/>
    <n v="9"/>
    <s v="Referred"/>
    <n v="74"/>
  </r>
  <r>
    <s v="P249"/>
    <s v="Sarah Connor"/>
    <x v="1"/>
    <d v="1992-12-15T00:00:00"/>
    <x v="135"/>
    <d v="2024-03-01T00:00:00"/>
    <x v="4"/>
    <x v="4"/>
    <x v="0"/>
    <n v="4805528"/>
    <x v="0"/>
    <x v="1"/>
    <s v="Jinja"/>
    <n v="7"/>
    <s v="Recovered"/>
    <n v="32"/>
  </r>
  <r>
    <s v="P250"/>
    <s v="Linda White"/>
    <x v="0"/>
    <d v="1986-05-17T00:00:00"/>
    <x v="45"/>
    <d v="2024-06-22T00:00:00"/>
    <x v="0"/>
    <x v="0"/>
    <x v="2"/>
    <n v="4096392"/>
    <x v="0"/>
    <x v="2"/>
    <s v="Jinja"/>
    <n v="4"/>
    <s v="not stated"/>
    <n v="38"/>
  </r>
  <r>
    <s v="P251"/>
    <s v="Scott Lang"/>
    <x v="1"/>
    <d v="1995-10-30T00:00:00"/>
    <x v="111"/>
    <d v="2024-02-22T00:00:00"/>
    <x v="4"/>
    <x v="4"/>
    <x v="1"/>
    <n v="1395640"/>
    <x v="0"/>
    <x v="0"/>
    <s v="Jinja"/>
    <n v="10"/>
    <s v="not stated"/>
    <n v="29"/>
  </r>
  <r>
    <s v="P252"/>
    <s v="David Kim"/>
    <x v="0"/>
    <d v="1958-08-22T00:00:00"/>
    <x v="136"/>
    <d v="2024-05-10T00:00:00"/>
    <x v="7"/>
    <x v="4"/>
    <x v="3"/>
    <n v="1380552"/>
    <x v="2"/>
    <x v="2"/>
    <s v="Entebbe"/>
    <n v="9"/>
    <s v="not stated"/>
    <n v="66"/>
  </r>
  <r>
    <s v="P253"/>
    <s v="Nancy Drew"/>
    <x v="2"/>
    <d v="1993-04-03T00:00:00"/>
    <x v="137"/>
    <d v="2024-04-04T00:00:00"/>
    <x v="4"/>
    <x v="4"/>
    <x v="0"/>
    <n v="2564960"/>
    <x v="0"/>
    <x v="0"/>
    <s v="Kampala"/>
    <n v="5"/>
    <s v="Recovered"/>
    <n v="31"/>
  </r>
  <r>
    <s v="P254"/>
    <s v="Wanda Maximoff"/>
    <x v="0"/>
    <d v="1996-08-18T00:00:00"/>
    <x v="89"/>
    <d v="2024-04-12T00:00:00"/>
    <x v="8"/>
    <x v="5"/>
    <x v="0"/>
    <n v="3402000"/>
    <x v="0"/>
    <x v="2"/>
    <s v="Jinja"/>
    <n v="6"/>
    <s v="not stated"/>
    <n v="28"/>
  </r>
  <r>
    <s v="P255"/>
    <s v="James Bond"/>
    <x v="1"/>
    <d v="1999-07-14T00:00:00"/>
    <x v="66"/>
    <d v="2024-02-23T00:00:00"/>
    <x v="5"/>
    <x v="5"/>
    <x v="1"/>
    <n v="3451380"/>
    <x v="0"/>
    <x v="0"/>
    <s v="Entebbe"/>
    <n v="8"/>
    <s v="Recovered"/>
    <n v="25"/>
  </r>
  <r>
    <s v="P256"/>
    <s v="Wanda Maximoff"/>
    <x v="1"/>
    <d v="1980-05-12T00:00:00"/>
    <x v="132"/>
    <d v="2024-02-12T00:00:00"/>
    <x v="3"/>
    <x v="3"/>
    <x v="4"/>
    <n v="3738052"/>
    <x v="0"/>
    <x v="2"/>
    <s v="Kampala"/>
    <n v="1"/>
    <s v="Recovered"/>
    <n v="44"/>
  </r>
  <r>
    <s v="P257"/>
    <s v="Diana Prince"/>
    <x v="1"/>
    <d v="2005-01-30T00:00:00"/>
    <x v="91"/>
    <d v="2024-06-15T00:00:00"/>
    <x v="6"/>
    <x v="0"/>
    <x v="1"/>
    <n v="456412"/>
    <x v="1"/>
    <x v="2"/>
    <s v="Kampala"/>
    <n v="14"/>
    <s v="not stated"/>
    <n v="19"/>
  </r>
  <r>
    <s v="P258"/>
    <s v="Wanda Maximoff"/>
    <x v="1"/>
    <d v="1970-10-14T00:00:00"/>
    <x v="131"/>
    <d v="2024-07-02T00:00:00"/>
    <x v="3"/>
    <x v="3"/>
    <x v="1"/>
    <n v="3213000"/>
    <x v="2"/>
    <x v="2"/>
    <s v="Jinja"/>
    <n v="11"/>
    <s v="Recovered"/>
    <n v="54"/>
  </r>
  <r>
    <s v="P259"/>
    <s v="Michael Brown"/>
    <x v="0"/>
    <d v="1999-04-23T00:00:00"/>
    <x v="17"/>
    <d v="2024-06-06T00:00:00"/>
    <x v="4"/>
    <x v="4"/>
    <x v="0"/>
    <n v="3888932"/>
    <x v="1"/>
    <x v="1"/>
    <s v="Entebbe"/>
    <n v="14"/>
    <s v="not stated"/>
    <n v="25"/>
  </r>
  <r>
    <s v="P260"/>
    <s v="Stephen Strange"/>
    <x v="0"/>
    <d v="1995-02-21T00:00:00"/>
    <x v="16"/>
    <d v="2024-04-02T00:00:00"/>
    <x v="10"/>
    <x v="6"/>
    <x v="4"/>
    <n v="4111480"/>
    <x v="0"/>
    <x v="2"/>
    <s v="Jinja"/>
    <n v="5"/>
    <s v="Recovered"/>
    <n v="29"/>
  </r>
  <r>
    <s v="P261"/>
    <s v="Sarah Connor"/>
    <x v="0"/>
    <d v="1956-01-23T00:00:00"/>
    <x v="138"/>
    <d v="2024-06-15T00:00:00"/>
    <x v="1"/>
    <x v="1"/>
    <x v="4"/>
    <n v="4515084"/>
    <x v="0"/>
    <x v="0"/>
    <s v="Entebbe"/>
    <n v="4"/>
    <s v="not stated"/>
    <n v="68"/>
  </r>
  <r>
    <s v="P262"/>
    <s v="Bruce Wayne"/>
    <x v="0"/>
    <d v="1999-10-02T00:00:00"/>
    <x v="136"/>
    <d v="2024-05-16T00:00:00"/>
    <x v="3"/>
    <x v="3"/>
    <x v="3"/>
    <n v="1844508"/>
    <x v="0"/>
    <x v="0"/>
    <s v="Jinja"/>
    <n v="15"/>
    <s v="Referred"/>
    <n v="25"/>
  </r>
  <r>
    <s v="P263"/>
    <s v="Nancy Drew"/>
    <x v="1"/>
    <d v="1972-05-27T00:00:00"/>
    <x v="6"/>
    <s v="still admitted"/>
    <x v="7"/>
    <x v="4"/>
    <x v="3"/>
    <n v="4179376"/>
    <x v="1"/>
    <x v="1"/>
    <s v="Entebbe"/>
    <s v="Still Admitted"/>
    <s v="Referred"/>
    <n v="52"/>
  </r>
  <r>
    <s v="P264"/>
    <s v="Chris Evans"/>
    <x v="1"/>
    <d v="1966-05-29T00:00:00"/>
    <x v="54"/>
    <d v="2024-04-14T00:00:00"/>
    <x v="2"/>
    <x v="2"/>
    <x v="1"/>
    <n v="4069988"/>
    <x v="1"/>
    <x v="2"/>
    <s v="Entebbe"/>
    <n v="3"/>
    <s v="Recovered"/>
    <n v="58"/>
  </r>
  <r>
    <s v="P265"/>
    <s v="Sarah Connor"/>
    <x v="1"/>
    <d v="1996-06-28T00:00:00"/>
    <x v="133"/>
    <s v="still admitted"/>
    <x v="4"/>
    <x v="4"/>
    <x v="4"/>
    <n v="1071000"/>
    <x v="0"/>
    <x v="2"/>
    <s v="Kampala"/>
    <s v="Still Admitted"/>
    <s v="Referred"/>
    <n v="28"/>
  </r>
  <r>
    <s v="P266"/>
    <s v="Scott Lang"/>
    <x v="0"/>
    <d v="1982-10-30T00:00:00"/>
    <x v="139"/>
    <d v="2024-05-19T00:00:00"/>
    <x v="8"/>
    <x v="5"/>
    <x v="1"/>
    <n v="2534784"/>
    <x v="0"/>
    <x v="0"/>
    <s v="Jinja"/>
    <n v="12"/>
    <s v="Recovered"/>
    <n v="42"/>
  </r>
  <r>
    <s v="P267"/>
    <s v="Chris Evans"/>
    <x v="2"/>
    <d v="1971-02-26T00:00:00"/>
    <x v="3"/>
    <s v="still admitted"/>
    <x v="3"/>
    <x v="3"/>
    <x v="2"/>
    <n v="448868"/>
    <x v="2"/>
    <x v="2"/>
    <s v="Kampala"/>
    <s v="Still Admitted"/>
    <s v="not stated"/>
    <n v="53"/>
  </r>
  <r>
    <s v="P268"/>
    <s v="Stephen Strange"/>
    <x v="1"/>
    <d v="1978-04-29T00:00:00"/>
    <x v="114"/>
    <d v="2024-03-27T00:00:00"/>
    <x v="1"/>
    <x v="1"/>
    <x v="3"/>
    <n v="1637048"/>
    <x v="0"/>
    <x v="2"/>
    <s v="Entebbe"/>
    <n v="10"/>
    <s v="Referred"/>
    <n v="46"/>
  </r>
  <r>
    <s v="P269"/>
    <s v="Bruce Wayne"/>
    <x v="0"/>
    <d v="1982-05-21T00:00:00"/>
    <x v="17"/>
    <d v="2024-05-30T00:00:00"/>
    <x v="8"/>
    <x v="5"/>
    <x v="3"/>
    <n v="5054480"/>
    <x v="1"/>
    <x v="0"/>
    <s v="Entebbe"/>
    <n v="7"/>
    <s v="not stated"/>
    <n v="42"/>
  </r>
  <r>
    <s v="P270"/>
    <s v="Steve Rogers"/>
    <x v="0"/>
    <d v="1984-03-09T00:00:00"/>
    <x v="90"/>
    <d v="2024-05-09T00:00:00"/>
    <x v="1"/>
    <x v="1"/>
    <x v="4"/>
    <n v="4790440"/>
    <x v="0"/>
    <x v="1"/>
    <s v="Kampala"/>
    <n v="11"/>
    <s v="Referred"/>
    <n v="40"/>
  </r>
  <r>
    <s v="P271"/>
    <s v="Peter Parker"/>
    <x v="1"/>
    <d v="1973-12-30T00:00:00"/>
    <x v="33"/>
    <d v="2024-03-16T00:00:00"/>
    <x v="1"/>
    <x v="1"/>
    <x v="0"/>
    <n v="554484"/>
    <x v="0"/>
    <x v="2"/>
    <s v="Jinja"/>
    <n v="6"/>
    <s v="Recovered"/>
    <n v="51"/>
  </r>
  <r>
    <s v="P272"/>
    <s v="Diana Prince"/>
    <x v="0"/>
    <d v="1958-07-29T00:00:00"/>
    <x v="136"/>
    <s v="still admitted"/>
    <x v="1"/>
    <x v="1"/>
    <x v="2"/>
    <n v="1018440"/>
    <x v="0"/>
    <x v="0"/>
    <s v="Kampala"/>
    <s v="Still Admitted"/>
    <s v="Referred"/>
    <n v="66"/>
  </r>
  <r>
    <s v="P273"/>
    <s v="Nancy Drew"/>
    <x v="1"/>
    <d v="1975-06-30T00:00:00"/>
    <x v="37"/>
    <s v="still admitted"/>
    <x v="3"/>
    <x v="3"/>
    <x v="0"/>
    <n v="5103000"/>
    <x v="0"/>
    <x v="2"/>
    <s v="Entebbe"/>
    <s v="Still Admitted"/>
    <s v="Referred"/>
    <n v="49"/>
  </r>
  <r>
    <s v="P274"/>
    <s v="Steve Rogers"/>
    <x v="1"/>
    <d v="1998-05-20T00:00:00"/>
    <x v="134"/>
    <d v="2024-06-11T00:00:00"/>
    <x v="2"/>
    <x v="2"/>
    <x v="3"/>
    <n v="4175500"/>
    <x v="0"/>
    <x v="2"/>
    <s v="Jinja"/>
    <n v="11"/>
    <s v="Recovered"/>
    <n v="26"/>
  </r>
  <r>
    <s v="P275"/>
    <s v="Peter Parker"/>
    <x v="0"/>
    <d v="1986-12-25T00:00:00"/>
    <x v="6"/>
    <s v="still admitted"/>
    <x v="2"/>
    <x v="2"/>
    <x v="2"/>
    <n v="1326500"/>
    <x v="0"/>
    <x v="2"/>
    <s v="Jinja"/>
    <s v="Still Admitted"/>
    <s v="Referred"/>
    <n v="38"/>
  </r>
  <r>
    <s v="P276"/>
    <s v="Peter Parker"/>
    <x v="0"/>
    <d v="1988-08-13T00:00:00"/>
    <x v="91"/>
    <d v="2024-06-10T00:00:00"/>
    <x v="4"/>
    <x v="4"/>
    <x v="4"/>
    <n v="3753140"/>
    <x v="0"/>
    <x v="0"/>
    <s v="Jinja"/>
    <n v="9"/>
    <s v="Referred"/>
    <n v="36"/>
  </r>
  <r>
    <s v="P277"/>
    <s v="Chris Evans"/>
    <x v="0"/>
    <d v="1987-11-18T00:00:00"/>
    <x v="41"/>
    <d v="2024-05-24T00:00:00"/>
    <x v="1"/>
    <x v="1"/>
    <x v="2"/>
    <n v="905280"/>
    <x v="0"/>
    <x v="2"/>
    <s v="Kampala"/>
    <n v="12"/>
    <s v="Referred"/>
    <n v="37"/>
  </r>
  <r>
    <s v="P278"/>
    <s v="Scott Lang"/>
    <x v="1"/>
    <d v="1966-11-06T00:00:00"/>
    <x v="8"/>
    <s v="still admitted"/>
    <x v="2"/>
    <x v="2"/>
    <x v="0"/>
    <n v="1081500"/>
    <x v="0"/>
    <x v="0"/>
    <s v="Jinja"/>
    <s v="Still Admitted"/>
    <s v="Recovered"/>
    <n v="58"/>
  </r>
  <r>
    <s v="P279"/>
    <s v="David Kim"/>
    <x v="0"/>
    <d v="1994-04-13T00:00:00"/>
    <x v="16"/>
    <d v="2024-04-10T00:00:00"/>
    <x v="8"/>
    <x v="5"/>
    <x v="3"/>
    <n v="574000"/>
    <x v="0"/>
    <x v="0"/>
    <s v="Kampala"/>
    <n v="13"/>
    <s v="Referred"/>
    <n v="30"/>
  </r>
  <r>
    <s v="P280"/>
    <s v="Stephen Strange"/>
    <x v="1"/>
    <d v="1966-04-17T00:00:00"/>
    <x v="140"/>
    <d v="2024-03-07T00:00:00"/>
    <x v="1"/>
    <x v="1"/>
    <x v="1"/>
    <n v="2285832"/>
    <x v="0"/>
    <x v="2"/>
    <s v="Jinja"/>
    <n v="2"/>
    <s v="not stated"/>
    <n v="58"/>
  </r>
  <r>
    <s v="P281"/>
    <s v="Natasha Romanoff"/>
    <x v="1"/>
    <d v="1978-01-01T00:00:00"/>
    <x v="7"/>
    <d v="2024-02-19T00:00:00"/>
    <x v="5"/>
    <x v="5"/>
    <x v="3"/>
    <n v="2681892"/>
    <x v="0"/>
    <x v="1"/>
    <s v="Jinja"/>
    <n v="9"/>
    <s v="Recovered"/>
    <n v="46"/>
  </r>
  <r>
    <s v="P282"/>
    <s v="Tony Stark"/>
    <x v="0"/>
    <d v="1951-05-09T00:00:00"/>
    <x v="49"/>
    <d v="2024-03-15T00:00:00"/>
    <x v="9"/>
    <x v="5"/>
    <x v="2"/>
    <n v="4047356"/>
    <x v="0"/>
    <x v="1"/>
    <s v="Kampala"/>
    <n v="4"/>
    <s v="Recovered"/>
    <n v="73"/>
  </r>
  <r>
    <s v="P283"/>
    <s v="Scott Lang"/>
    <x v="0"/>
    <d v="2006-01-31T00:00:00"/>
    <x v="104"/>
    <d v="2024-01-28T00:00:00"/>
    <x v="3"/>
    <x v="3"/>
    <x v="0"/>
    <n v="2618000"/>
    <x v="2"/>
    <x v="0"/>
    <s v="Kampala"/>
    <n v="12"/>
    <s v="not stated"/>
    <n v="18"/>
  </r>
  <r>
    <s v="P284"/>
    <s v="Chris Evans"/>
    <x v="0"/>
    <d v="1993-07-16T00:00:00"/>
    <x v="17"/>
    <d v="2024-05-31T00:00:00"/>
    <x v="0"/>
    <x v="0"/>
    <x v="4"/>
    <n v="2842000"/>
    <x v="2"/>
    <x v="2"/>
    <s v="Jinja"/>
    <n v="8"/>
    <s v="Recovered"/>
    <n v="31"/>
  </r>
  <r>
    <s v="P285"/>
    <s v="Wanda Maximoff"/>
    <x v="1"/>
    <d v="1990-04-26T00:00:00"/>
    <x v="36"/>
    <d v="2024-03-21T00:00:00"/>
    <x v="3"/>
    <x v="3"/>
    <x v="4"/>
    <n v="3187340"/>
    <x v="0"/>
    <x v="1"/>
    <s v="Jinja"/>
    <n v="13"/>
    <s v="Referred"/>
    <n v="34"/>
  </r>
  <r>
    <s v="P286"/>
    <s v="Wanda Maximoff"/>
    <x v="1"/>
    <d v="1994-08-21T00:00:00"/>
    <x v="23"/>
    <d v="2024-06-16T00:00:00"/>
    <x v="7"/>
    <x v="4"/>
    <x v="4"/>
    <n v="5465628"/>
    <x v="0"/>
    <x v="0"/>
    <s v="Kampala"/>
    <n v="11"/>
    <s v="Recovered"/>
    <n v="30"/>
  </r>
  <r>
    <s v="P287"/>
    <s v="James Bond"/>
    <x v="0"/>
    <d v="1952-11-08T00:00:00"/>
    <x v="56"/>
    <d v="2024-06-29T00:00:00"/>
    <x v="9"/>
    <x v="5"/>
    <x v="0"/>
    <n v="5054480"/>
    <x v="0"/>
    <x v="0"/>
    <s v="Jinja"/>
    <n v="12"/>
    <s v="Recovered"/>
    <n v="72"/>
  </r>
  <r>
    <s v="P288"/>
    <s v="Jane Smith"/>
    <x v="0"/>
    <d v="2000-01-24T00:00:00"/>
    <x v="115"/>
    <d v="2024-04-09T00:00:00"/>
    <x v="7"/>
    <x v="4"/>
    <x v="1"/>
    <n v="976948"/>
    <x v="1"/>
    <x v="1"/>
    <s v="Kampala"/>
    <n v="5"/>
    <s v="Referred"/>
    <n v="24"/>
  </r>
  <r>
    <s v="P289"/>
    <s v="James Bond"/>
    <x v="0"/>
    <d v="2008-12-06T00:00:00"/>
    <x v="97"/>
    <d v="2024-06-03T00:00:00"/>
    <x v="7"/>
    <x v="4"/>
    <x v="3"/>
    <n v="4480000"/>
    <x v="2"/>
    <x v="2"/>
    <s v="Kampala"/>
    <n v="9"/>
    <s v="Recovered"/>
    <n v="16"/>
  </r>
  <r>
    <s v="P290"/>
    <s v="Diana Prince"/>
    <x v="0"/>
    <d v="1980-04-12T00:00:00"/>
    <x v="141"/>
    <d v="2024-05-31T00:00:00"/>
    <x v="2"/>
    <x v="2"/>
    <x v="2"/>
    <n v="3247692"/>
    <x v="2"/>
    <x v="2"/>
    <s v="Jinja"/>
    <n v="15"/>
    <s v="not stated"/>
    <n v="44"/>
  </r>
  <r>
    <s v="P291"/>
    <s v="Diana Prince"/>
    <x v="2"/>
    <d v="1999-05-14T00:00:00"/>
    <x v="142"/>
    <d v="2024-04-09T00:00:00"/>
    <x v="9"/>
    <x v="5"/>
    <x v="4"/>
    <n v="501676"/>
    <x v="0"/>
    <x v="1"/>
    <s v="Entebbe"/>
    <n v="7"/>
    <s v="Referred"/>
    <n v="25"/>
  </r>
  <r>
    <s v="P292"/>
    <s v="Chris Evans"/>
    <x v="0"/>
    <d v="1995-11-14T00:00:00"/>
    <x v="96"/>
    <d v="2024-01-28T00:00:00"/>
    <x v="5"/>
    <x v="5"/>
    <x v="4"/>
    <n v="2304692"/>
    <x v="0"/>
    <x v="2"/>
    <s v="Kampala"/>
    <n v="3"/>
    <s v="Recovered"/>
    <n v="29"/>
  </r>
  <r>
    <s v="P293"/>
    <s v="Michael Brown"/>
    <x v="1"/>
    <d v="1979-02-17T00:00:00"/>
    <x v="39"/>
    <d v="2024-02-26T00:00:00"/>
    <x v="0"/>
    <x v="0"/>
    <x v="1"/>
    <n v="663872"/>
    <x v="0"/>
    <x v="1"/>
    <s v="Entebbe"/>
    <n v="12"/>
    <s v="Referred"/>
    <n v="45"/>
  </r>
  <r>
    <s v="P294"/>
    <s v="Sarah Connor"/>
    <x v="2"/>
    <d v="1970-05-05T00:00:00"/>
    <x v="138"/>
    <s v="still admitted"/>
    <x v="2"/>
    <x v="2"/>
    <x v="1"/>
    <n v="4545260"/>
    <x v="0"/>
    <x v="0"/>
    <s v="Kampala"/>
    <s v="Still Admitted"/>
    <s v="not stated"/>
    <n v="54"/>
  </r>
  <r>
    <s v="P295"/>
    <s v="Steve Rogers"/>
    <x v="2"/>
    <d v="2003-05-24T00:00:00"/>
    <x v="65"/>
    <d v="2024-03-04T00:00:00"/>
    <x v="3"/>
    <x v="3"/>
    <x v="0"/>
    <n v="4051128"/>
    <x v="1"/>
    <x v="2"/>
    <s v="Entebbe"/>
    <n v="7"/>
    <s v="not stated"/>
    <n v="21"/>
  </r>
  <r>
    <s v="P296"/>
    <s v="David Kim"/>
    <x v="2"/>
    <d v="1962-02-06T00:00:00"/>
    <x v="17"/>
    <d v="2024-06-03T00:00:00"/>
    <x v="2"/>
    <x v="2"/>
    <x v="3"/>
    <n v="4424556"/>
    <x v="0"/>
    <x v="1"/>
    <s v="Entebbe"/>
    <n v="11"/>
    <s v="not stated"/>
    <n v="62"/>
  </r>
  <r>
    <s v="P297"/>
    <s v="Michael Brown"/>
    <x v="0"/>
    <d v="1987-02-08T00:00:00"/>
    <x v="68"/>
    <d v="2024-04-09T00:00:00"/>
    <x v="5"/>
    <x v="5"/>
    <x v="1"/>
    <n v="5137464"/>
    <x v="1"/>
    <x v="0"/>
    <s v="Entebbe"/>
    <n v="6"/>
    <s v="Recovered"/>
    <n v="37"/>
  </r>
  <r>
    <s v="P298"/>
    <s v="Clark Kent"/>
    <x v="1"/>
    <d v="1957-09-12T00:00:00"/>
    <x v="143"/>
    <d v="2024-01-29T00:00:00"/>
    <x v="5"/>
    <x v="5"/>
    <x v="1"/>
    <n v="1144500"/>
    <x v="2"/>
    <x v="2"/>
    <s v="Kampala"/>
    <n v="15"/>
    <s v="not stated"/>
    <n v="67"/>
  </r>
  <r>
    <s v="P299"/>
    <s v="James Bond"/>
    <x v="0"/>
    <d v="1996-12-11T00:00:00"/>
    <x v="103"/>
    <d v="2024-05-23T00:00:00"/>
    <x v="1"/>
    <x v="1"/>
    <x v="3"/>
    <n v="4443416"/>
    <x v="0"/>
    <x v="0"/>
    <s v="Kampala"/>
    <n v="3"/>
    <s v="not stated"/>
    <n v="28"/>
  </r>
  <r>
    <s v="P300"/>
    <s v="Chris Evans"/>
    <x v="0"/>
    <d v="1991-09-18T00:00:00"/>
    <x v="60"/>
    <d v="2024-01-29T00:00:00"/>
    <x v="7"/>
    <x v="4"/>
    <x v="1"/>
    <n v="5390188"/>
    <x v="0"/>
    <x v="2"/>
    <s v="Jinja"/>
    <n v="11"/>
    <s v="Referred"/>
    <n v="33"/>
  </r>
  <r>
    <s v="P301"/>
    <s v="Scott Lang"/>
    <x v="0"/>
    <d v="1957-11-24T00:00:00"/>
    <x v="144"/>
    <d v="2024-03-03T00:00:00"/>
    <x v="9"/>
    <x v="5"/>
    <x v="4"/>
    <n v="2534000"/>
    <x v="2"/>
    <x v="2"/>
    <s v="Jinja"/>
    <n v="12"/>
    <s v="Referred"/>
    <n v="67"/>
  </r>
  <r>
    <s v="P302"/>
    <s v="Clark Kent"/>
    <x v="0"/>
    <d v="2006-02-03T00:00:00"/>
    <x v="55"/>
    <d v="2024-03-12T00:00:00"/>
    <x v="1"/>
    <x v="1"/>
    <x v="0"/>
    <n v="4326000"/>
    <x v="0"/>
    <x v="0"/>
    <s v="Entebbe"/>
    <n v="11"/>
    <s v="Recovered"/>
    <n v="18"/>
  </r>
  <r>
    <s v="P303"/>
    <s v="Diana Prince"/>
    <x v="0"/>
    <d v="2004-12-11T00:00:00"/>
    <x v="145"/>
    <d v="2024-04-23T00:00:00"/>
    <x v="0"/>
    <x v="0"/>
    <x v="1"/>
    <n v="4564120"/>
    <x v="0"/>
    <x v="0"/>
    <s v="Jinja"/>
    <n v="7"/>
    <s v="Recovered"/>
    <n v="20"/>
  </r>
  <r>
    <s v="P304"/>
    <s v="Peter Parker"/>
    <x v="1"/>
    <d v="1996-12-29T00:00:00"/>
    <x v="146"/>
    <d v="2024-04-30T00:00:00"/>
    <x v="8"/>
    <x v="5"/>
    <x v="4"/>
    <n v="4492452"/>
    <x v="0"/>
    <x v="2"/>
    <s v="Kampala"/>
    <n v="10"/>
    <s v="Referred"/>
    <n v="28"/>
  </r>
  <r>
    <s v="P305"/>
    <s v="Tony Stark"/>
    <x v="0"/>
    <d v="1989-09-29T00:00:00"/>
    <x v="92"/>
    <s v="still admitted"/>
    <x v="3"/>
    <x v="3"/>
    <x v="2"/>
    <n v="4735500"/>
    <x v="1"/>
    <x v="0"/>
    <s v="Jinja"/>
    <s v="Still Admitted"/>
    <s v="not stated"/>
    <n v="35"/>
  </r>
  <r>
    <s v="P306"/>
    <s v="Clark Kent"/>
    <x v="0"/>
    <d v="1992-10-04T00:00:00"/>
    <x v="77"/>
    <d v="2024-05-14T00:00:00"/>
    <x v="1"/>
    <x v="1"/>
    <x v="1"/>
    <n v="1437132"/>
    <x v="0"/>
    <x v="0"/>
    <s v="Kampala"/>
    <n v="6"/>
    <s v="Referred"/>
    <n v="32"/>
  </r>
  <r>
    <s v="P307"/>
    <s v="Nancy Drew"/>
    <x v="1"/>
    <d v="1968-03-13T00:00:00"/>
    <x v="26"/>
    <d v="2024-01-25T00:00:00"/>
    <x v="8"/>
    <x v="5"/>
    <x v="1"/>
    <n v="2282060"/>
    <x v="2"/>
    <x v="1"/>
    <s v="Jinja"/>
    <n v="8"/>
    <s v="not stated"/>
    <n v="56"/>
  </r>
  <r>
    <s v="P308"/>
    <s v="Diana Prince"/>
    <x v="0"/>
    <d v="2001-04-24T00:00:00"/>
    <x v="25"/>
    <d v="2024-05-27T00:00:00"/>
    <x v="4"/>
    <x v="4"/>
    <x v="4"/>
    <n v="3432520"/>
    <x v="1"/>
    <x v="2"/>
    <s v="Jinja"/>
    <n v="14"/>
    <s v="Recovered"/>
    <n v="23"/>
  </r>
  <r>
    <s v="P309"/>
    <s v="Steve Rogers"/>
    <x v="1"/>
    <d v="1977-04-28T00:00:00"/>
    <x v="90"/>
    <d v="2024-05-08T00:00:00"/>
    <x v="2"/>
    <x v="2"/>
    <x v="1"/>
    <n v="5367556"/>
    <x v="0"/>
    <x v="1"/>
    <s v="Kampala"/>
    <n v="10"/>
    <s v="not stated"/>
    <n v="47"/>
  </r>
  <r>
    <s v="P310"/>
    <s v="David Kim"/>
    <x v="1"/>
    <d v="1987-02-07T00:00:00"/>
    <x v="147"/>
    <d v="2024-05-05T00:00:00"/>
    <x v="10"/>
    <x v="6"/>
    <x v="1"/>
    <n v="2878036"/>
    <x v="0"/>
    <x v="1"/>
    <s v="Kampala"/>
    <n v="10"/>
    <s v="Referred"/>
    <n v="37"/>
  </r>
  <r>
    <s v="P311"/>
    <s v="Wanda Maximoff"/>
    <x v="1"/>
    <d v="1984-06-16T00:00:00"/>
    <x v="89"/>
    <s v="still admitted"/>
    <x v="3"/>
    <x v="3"/>
    <x v="4"/>
    <n v="5469400"/>
    <x v="0"/>
    <x v="0"/>
    <s v="Kampala"/>
    <s v="Still Admitted"/>
    <s v="Referred"/>
    <n v="40"/>
  </r>
  <r>
    <s v="P312"/>
    <s v="Peter Parker"/>
    <x v="1"/>
    <d v="1990-01-13T00:00:00"/>
    <x v="37"/>
    <s v="still admitted"/>
    <x v="3"/>
    <x v="3"/>
    <x v="0"/>
    <n v="4812500"/>
    <x v="0"/>
    <x v="2"/>
    <s v="Entebbe"/>
    <s v="Still Admitted"/>
    <s v="Recovered"/>
    <n v="34"/>
  </r>
  <r>
    <s v="P313"/>
    <s v="Natasha Romanoff"/>
    <x v="1"/>
    <d v="1969-06-16T00:00:00"/>
    <x v="106"/>
    <d v="2024-05-06T00:00:00"/>
    <x v="4"/>
    <x v="4"/>
    <x v="1"/>
    <n v="5163868"/>
    <x v="0"/>
    <x v="0"/>
    <s v="Kampala"/>
    <n v="10"/>
    <s v="Referred"/>
    <n v="55"/>
  </r>
  <r>
    <s v="P314"/>
    <s v="David Kim"/>
    <x v="2"/>
    <d v="1952-11-28T00:00:00"/>
    <x v="82"/>
    <s v="still admitted"/>
    <x v="1"/>
    <x v="1"/>
    <x v="0"/>
    <n v="5166000"/>
    <x v="1"/>
    <x v="0"/>
    <s v="Entebbe"/>
    <s v="Still Admitted"/>
    <s v="Recovered"/>
    <n v="72"/>
  </r>
  <r>
    <s v="P315"/>
    <s v="Peter Parker"/>
    <x v="0"/>
    <d v="1983-01-25T00:00:00"/>
    <x v="60"/>
    <d v="2024-01-20T00:00:00"/>
    <x v="10"/>
    <x v="6"/>
    <x v="0"/>
    <n v="2317000"/>
    <x v="1"/>
    <x v="2"/>
    <s v="Jinja"/>
    <n v="2"/>
    <s v="Recovered"/>
    <n v="41"/>
  </r>
  <r>
    <s v="P316"/>
    <s v="Jane Smith"/>
    <x v="0"/>
    <d v="2001-04-05T00:00:00"/>
    <x v="101"/>
    <d v="2024-05-17T00:00:00"/>
    <x v="5"/>
    <x v="5"/>
    <x v="4"/>
    <n v="4816000"/>
    <x v="0"/>
    <x v="2"/>
    <s v="Jinja"/>
    <n v="14"/>
    <s v="Referred"/>
    <n v="23"/>
  </r>
  <r>
    <s v="P317"/>
    <s v="Scott Lang"/>
    <x v="1"/>
    <d v="1976-01-23T00:00:00"/>
    <x v="148"/>
    <s v="still admitted"/>
    <x v="6"/>
    <x v="0"/>
    <x v="0"/>
    <n v="1976528"/>
    <x v="2"/>
    <x v="1"/>
    <s v="Entebbe"/>
    <s v="Still Admitted"/>
    <s v="not stated"/>
    <n v="48"/>
  </r>
  <r>
    <s v="P318"/>
    <s v="John Doe"/>
    <x v="1"/>
    <d v="1968-01-19T00:00:00"/>
    <x v="20"/>
    <d v="2024-03-15T00:00:00"/>
    <x v="9"/>
    <x v="5"/>
    <x v="3"/>
    <n v="2737000"/>
    <x v="2"/>
    <x v="1"/>
    <s v="Kampala"/>
    <n v="9"/>
    <s v="Referred"/>
    <n v="56"/>
  </r>
  <r>
    <s v="P319"/>
    <s v="Natasha Romanoff"/>
    <x v="1"/>
    <d v="1953-03-11T00:00:00"/>
    <x v="101"/>
    <d v="2024-05-18T00:00:00"/>
    <x v="10"/>
    <x v="6"/>
    <x v="2"/>
    <n v="3572084"/>
    <x v="1"/>
    <x v="2"/>
    <s v="Jinja"/>
    <n v="15"/>
    <s v="not stated"/>
    <n v="71"/>
  </r>
  <r>
    <s v="P320"/>
    <s v="John Doe"/>
    <x v="1"/>
    <d v="2001-10-20T00:00:00"/>
    <x v="18"/>
    <d v="2024-04-05T00:00:00"/>
    <x v="8"/>
    <x v="5"/>
    <x v="3"/>
    <n v="4503768"/>
    <x v="1"/>
    <x v="2"/>
    <s v="Kampala"/>
    <n v="5"/>
    <s v="Referred"/>
    <n v="23"/>
  </r>
  <r>
    <s v="P321"/>
    <s v="Bruce Wayne"/>
    <x v="1"/>
    <d v="1952-11-02T00:00:00"/>
    <x v="149"/>
    <d v="2024-04-19T00:00:00"/>
    <x v="10"/>
    <x v="6"/>
    <x v="1"/>
    <n v="1897000"/>
    <x v="0"/>
    <x v="1"/>
    <s v="Entebbe"/>
    <n v="4"/>
    <s v="Recovered"/>
    <n v="72"/>
  </r>
  <r>
    <s v="P322"/>
    <s v="Steve Rogers"/>
    <x v="0"/>
    <d v="1952-03-28T00:00:00"/>
    <x v="77"/>
    <d v="2024-05-23T00:00:00"/>
    <x v="2"/>
    <x v="2"/>
    <x v="2"/>
    <n v="2904440"/>
    <x v="0"/>
    <x v="0"/>
    <s v="Kampala"/>
    <n v="15"/>
    <s v="Referred"/>
    <n v="72"/>
  </r>
  <r>
    <s v="P323"/>
    <s v="Wanda Maximoff"/>
    <x v="0"/>
    <d v="1950-05-15T00:00:00"/>
    <x v="80"/>
    <d v="2024-01-27T00:00:00"/>
    <x v="7"/>
    <x v="4"/>
    <x v="2"/>
    <n v="5071500"/>
    <x v="0"/>
    <x v="2"/>
    <s v="Jinja"/>
    <n v="15"/>
    <s v="Recovered"/>
    <n v="74"/>
  </r>
  <r>
    <s v="P324"/>
    <s v="Peter Parker"/>
    <x v="0"/>
    <d v="1997-10-02T00:00:00"/>
    <x v="15"/>
    <d v="2024-04-25T00:00:00"/>
    <x v="7"/>
    <x v="4"/>
    <x v="4"/>
    <n v="4699912"/>
    <x v="0"/>
    <x v="2"/>
    <s v="Jinja"/>
    <n v="3"/>
    <s v="not stated"/>
    <n v="27"/>
  </r>
  <r>
    <s v="P325"/>
    <s v="TChalla"/>
    <x v="1"/>
    <d v="1965-05-14T00:00:00"/>
    <x v="50"/>
    <d v="2024-03-21T00:00:00"/>
    <x v="9"/>
    <x v="5"/>
    <x v="3"/>
    <n v="765716"/>
    <x v="2"/>
    <x v="1"/>
    <s v="Kampala"/>
    <n v="1"/>
    <s v="not stated"/>
    <n v="59"/>
  </r>
  <r>
    <s v="P326"/>
    <s v="TChalla"/>
    <x v="1"/>
    <d v="1989-12-31T00:00:00"/>
    <x v="50"/>
    <d v="2024-04-01T00:00:00"/>
    <x v="10"/>
    <x v="6"/>
    <x v="0"/>
    <n v="1093880"/>
    <x v="0"/>
    <x v="2"/>
    <s v="Entebbe"/>
    <n v="12"/>
    <s v="Referred"/>
    <n v="35"/>
  </r>
  <r>
    <s v="P327"/>
    <s v="Nancy Drew"/>
    <x v="1"/>
    <d v="1962-11-23T00:00:00"/>
    <x v="68"/>
    <d v="2024-04-18T00:00:00"/>
    <x v="8"/>
    <x v="5"/>
    <x v="1"/>
    <n v="607292"/>
    <x v="2"/>
    <x v="1"/>
    <s v="Entebbe"/>
    <n v="15"/>
    <s v="Recovered"/>
    <n v="62"/>
  </r>
  <r>
    <s v="P328"/>
    <s v="Clark Kent"/>
    <x v="0"/>
    <d v="2001-07-23T00:00:00"/>
    <x v="70"/>
    <d v="2024-05-22T00:00:00"/>
    <x v="8"/>
    <x v="5"/>
    <x v="3"/>
    <n v="857500"/>
    <x v="1"/>
    <x v="2"/>
    <s v="Entebbe"/>
    <n v="12"/>
    <s v="not stated"/>
    <n v="23"/>
  </r>
  <r>
    <s v="P329"/>
    <s v="Stephen Strange"/>
    <x v="1"/>
    <d v="1993-04-11T00:00:00"/>
    <x v="26"/>
    <d v="2024-01-29T00:00:00"/>
    <x v="1"/>
    <x v="1"/>
    <x v="2"/>
    <n v="3017600"/>
    <x v="0"/>
    <x v="1"/>
    <s v="Jinja"/>
    <n v="12"/>
    <s v="Referred"/>
    <n v="31"/>
  </r>
  <r>
    <s v="P330"/>
    <s v="TChalla"/>
    <x v="0"/>
    <d v="1991-07-13T00:00:00"/>
    <x v="99"/>
    <d v="2024-05-25T00:00:00"/>
    <x v="1"/>
    <x v="1"/>
    <x v="4"/>
    <n v="1214584"/>
    <x v="0"/>
    <x v="2"/>
    <s v="Jinja"/>
    <n v="3"/>
    <s v="Recovered"/>
    <n v="33"/>
  </r>
  <r>
    <s v="P331"/>
    <s v="TChalla"/>
    <x v="2"/>
    <d v="2007-01-26T00:00:00"/>
    <x v="150"/>
    <d v="2024-02-12T00:00:00"/>
    <x v="0"/>
    <x v="0"/>
    <x v="1"/>
    <n v="1886000"/>
    <x v="0"/>
    <x v="2"/>
    <s v="Jinja"/>
    <n v="5"/>
    <s v="Referred"/>
    <n v="17"/>
  </r>
  <r>
    <s v="P332"/>
    <s v="Clark Kent"/>
    <x v="0"/>
    <d v="2002-04-12T00:00:00"/>
    <x v="23"/>
    <d v="2024-06-19T00:00:00"/>
    <x v="9"/>
    <x v="5"/>
    <x v="4"/>
    <n v="784576"/>
    <x v="1"/>
    <x v="2"/>
    <s v="Kampala"/>
    <n v="14"/>
    <s v="Recovered"/>
    <n v="22"/>
  </r>
  <r>
    <s v="P333"/>
    <s v="Tony Stark"/>
    <x v="1"/>
    <d v="2002-12-12T00:00:00"/>
    <x v="37"/>
    <d v="2024-06-16T00:00:00"/>
    <x v="1"/>
    <x v="1"/>
    <x v="0"/>
    <n v="5492032"/>
    <x v="2"/>
    <x v="0"/>
    <s v="Kampala"/>
    <n v="7"/>
    <s v="Referred"/>
    <n v="22"/>
  </r>
  <r>
    <s v="P334"/>
    <s v="David Kim"/>
    <x v="0"/>
    <d v="1961-04-06T00:00:00"/>
    <x v="151"/>
    <d v="2024-01-06T00:00:00"/>
    <x v="6"/>
    <x v="0"/>
    <x v="0"/>
    <n v="1029756"/>
    <x v="2"/>
    <x v="2"/>
    <s v="Jinja"/>
    <n v="3"/>
    <s v="not stated"/>
    <n v="63"/>
  </r>
  <r>
    <s v="P335"/>
    <s v="Steve Rogers"/>
    <x v="0"/>
    <d v="1988-01-19T00:00:00"/>
    <x v="43"/>
    <d v="2024-04-15T00:00:00"/>
    <x v="0"/>
    <x v="0"/>
    <x v="2"/>
    <n v="2044000"/>
    <x v="2"/>
    <x v="2"/>
    <s v="Kampala"/>
    <n v="7"/>
    <s v="Referred"/>
    <n v="36"/>
  </r>
  <r>
    <s v="P336"/>
    <s v="Clark Kent"/>
    <x v="0"/>
    <d v="2002-01-22T00:00:00"/>
    <x v="74"/>
    <s v="still admitted"/>
    <x v="2"/>
    <x v="2"/>
    <x v="2"/>
    <n v="2534784"/>
    <x v="1"/>
    <x v="1"/>
    <s v="Jinja"/>
    <s v="Still Admitted"/>
    <s v="Recovered"/>
    <n v="22"/>
  </r>
  <r>
    <s v="P337"/>
    <s v="Michael Brown"/>
    <x v="1"/>
    <d v="2006-11-07T00:00:00"/>
    <x v="23"/>
    <d v="2024-06-14T00:00:00"/>
    <x v="10"/>
    <x v="6"/>
    <x v="4"/>
    <n v="3710000"/>
    <x v="2"/>
    <x v="2"/>
    <s v="Entebbe"/>
    <n v="9"/>
    <s v="Recovered"/>
    <n v="18"/>
  </r>
  <r>
    <s v="P338"/>
    <s v="Scott Lang"/>
    <x v="1"/>
    <d v="1977-04-12T00:00:00"/>
    <x v="104"/>
    <d v="2024-01-26T00:00:00"/>
    <x v="6"/>
    <x v="0"/>
    <x v="2"/>
    <n v="5197816"/>
    <x v="0"/>
    <x v="2"/>
    <s v="Kampala"/>
    <n v="10"/>
    <s v="Recovered"/>
    <n v="47"/>
  </r>
  <r>
    <s v="P339"/>
    <s v="Chris Evans"/>
    <x v="1"/>
    <d v="2005-03-31T00:00:00"/>
    <x v="49"/>
    <s v="still admitted"/>
    <x v="7"/>
    <x v="4"/>
    <x v="0"/>
    <n v="4945092"/>
    <x v="2"/>
    <x v="2"/>
    <s v="Kampala"/>
    <s v="Still Admitted"/>
    <s v="not stated"/>
    <n v="19"/>
  </r>
  <r>
    <s v="P340"/>
    <s v="Natasha Romanoff"/>
    <x v="1"/>
    <d v="1997-04-25T00:00:00"/>
    <x v="16"/>
    <d v="2024-04-07T00:00:00"/>
    <x v="10"/>
    <x v="6"/>
    <x v="1"/>
    <n v="3334448"/>
    <x v="2"/>
    <x v="0"/>
    <s v="Kampala"/>
    <n v="10"/>
    <s v="Referred"/>
    <n v="27"/>
  </r>
  <r>
    <s v="P341"/>
    <s v="Chris Evans"/>
    <x v="2"/>
    <d v="1960-05-28T00:00:00"/>
    <x v="111"/>
    <d v="2024-02-17T00:00:00"/>
    <x v="2"/>
    <x v="2"/>
    <x v="1"/>
    <n v="5654228"/>
    <x v="2"/>
    <x v="2"/>
    <s v="Kampala"/>
    <n v="5"/>
    <s v="Recovered"/>
    <n v="64"/>
  </r>
  <r>
    <s v="P342"/>
    <s v="Steve Rogers"/>
    <x v="1"/>
    <d v="1978-04-28T00:00:00"/>
    <x v="96"/>
    <d v="2024-02-01T00:00:00"/>
    <x v="8"/>
    <x v="5"/>
    <x v="1"/>
    <n v="1053500"/>
    <x v="1"/>
    <x v="2"/>
    <s v="Entebbe"/>
    <n v="7"/>
    <s v="Recovered"/>
    <n v="46"/>
  </r>
  <r>
    <s v="P343"/>
    <s v="TChalla"/>
    <x v="2"/>
    <d v="1967-06-28T00:00:00"/>
    <x v="19"/>
    <d v="2024-06-23T00:00:00"/>
    <x v="7"/>
    <x v="4"/>
    <x v="1"/>
    <n v="1131600"/>
    <x v="2"/>
    <x v="2"/>
    <s v="Kampala"/>
    <n v="1"/>
    <s v="Recovered"/>
    <n v="57"/>
  </r>
  <r>
    <s v="P344"/>
    <s v="John Doe"/>
    <x v="0"/>
    <d v="1958-04-01T00:00:00"/>
    <x v="91"/>
    <d v="2024-06-12T00:00:00"/>
    <x v="7"/>
    <x v="4"/>
    <x v="2"/>
    <n v="5046936"/>
    <x v="2"/>
    <x v="0"/>
    <s v="Kampala"/>
    <n v="11"/>
    <s v="Referred"/>
    <n v="66"/>
  </r>
  <r>
    <s v="P345"/>
    <s v="Michael Brown"/>
    <x v="1"/>
    <d v="1990-09-06T00:00:00"/>
    <x v="57"/>
    <d v="2024-05-02T00:00:00"/>
    <x v="5"/>
    <x v="5"/>
    <x v="0"/>
    <n v="3330676"/>
    <x v="0"/>
    <x v="1"/>
    <s v="Entebbe"/>
    <n v="13"/>
    <s v="Recovered"/>
    <n v="34"/>
  </r>
  <r>
    <s v="P346"/>
    <s v="Michael Brown"/>
    <x v="1"/>
    <d v="1968-01-02T00:00:00"/>
    <x v="66"/>
    <s v="still admitted"/>
    <x v="2"/>
    <x v="2"/>
    <x v="1"/>
    <n v="2063284"/>
    <x v="2"/>
    <x v="2"/>
    <s v="Kampala"/>
    <s v="Still Admitted"/>
    <s v="Recovered"/>
    <n v="56"/>
  </r>
  <r>
    <s v="P347"/>
    <s v="Chris Evans"/>
    <x v="2"/>
    <d v="1990-01-01T00:00:00"/>
    <x v="139"/>
    <d v="2024-05-08T00:00:00"/>
    <x v="6"/>
    <x v="0"/>
    <x v="1"/>
    <n v="1435000"/>
    <x v="2"/>
    <x v="1"/>
    <s v="Jinja"/>
    <n v="1"/>
    <s v="Referred"/>
    <n v="34"/>
  </r>
  <r>
    <s v="P348"/>
    <s v="Tony Stark"/>
    <x v="1"/>
    <d v="1956-04-16T00:00:00"/>
    <x v="148"/>
    <d v="2024-01-15T00:00:00"/>
    <x v="7"/>
    <x v="4"/>
    <x v="4"/>
    <n v="2922500"/>
    <x v="0"/>
    <x v="2"/>
    <s v="Kampala"/>
    <n v="14"/>
    <s v="Recovered"/>
    <n v="68"/>
  </r>
  <r>
    <s v="P349"/>
    <s v="Stephen Strange"/>
    <x v="2"/>
    <d v="1980-07-05T00:00:00"/>
    <x v="14"/>
    <d v="2024-04-30T00:00:00"/>
    <x v="1"/>
    <x v="1"/>
    <x v="0"/>
    <n v="2685664"/>
    <x v="0"/>
    <x v="2"/>
    <s v="Entebbe"/>
    <n v="3"/>
    <s v="not stated"/>
    <n v="44"/>
  </r>
  <r>
    <s v="P350"/>
    <s v="James Bond"/>
    <x v="1"/>
    <d v="1953-03-15T00:00:00"/>
    <x v="71"/>
    <d v="2024-01-09T00:00:00"/>
    <x v="10"/>
    <x v="6"/>
    <x v="2"/>
    <n v="3847440"/>
    <x v="0"/>
    <x v="2"/>
    <s v="Kampala"/>
    <n v="2"/>
    <s v="Recovered"/>
    <n v="71"/>
  </r>
  <r>
    <s v="P351"/>
    <s v="Sarah Connor"/>
    <x v="1"/>
    <d v="2008-08-29T00:00:00"/>
    <x v="19"/>
    <d v="2024-06-26T00:00:00"/>
    <x v="9"/>
    <x v="5"/>
    <x v="0"/>
    <n v="4152972"/>
    <x v="2"/>
    <x v="1"/>
    <s v="Kampala"/>
    <n v="4"/>
    <s v="Recovered"/>
    <n v="16"/>
  </r>
  <r>
    <s v="P352"/>
    <s v="Jane Smith"/>
    <x v="0"/>
    <d v="1958-09-24T00:00:00"/>
    <x v="23"/>
    <d v="2024-06-07T00:00:00"/>
    <x v="7"/>
    <x v="4"/>
    <x v="4"/>
    <n v="5129920"/>
    <x v="0"/>
    <x v="0"/>
    <s v="Entebbe"/>
    <n v="2"/>
    <s v="not stated"/>
    <n v="66"/>
  </r>
  <r>
    <s v="P353"/>
    <s v="Diana Prince"/>
    <x v="0"/>
    <d v="1960-11-02T00:00:00"/>
    <x v="67"/>
    <d v="2024-04-02T00:00:00"/>
    <x v="8"/>
    <x v="5"/>
    <x v="0"/>
    <n v="2489520"/>
    <x v="2"/>
    <x v="0"/>
    <s v="Jinja"/>
    <n v="10"/>
    <s v="Referred"/>
    <n v="64"/>
  </r>
  <r>
    <s v="P354"/>
    <s v="TChalla"/>
    <x v="0"/>
    <d v="1961-12-19T00:00:00"/>
    <x v="152"/>
    <d v="2024-06-11T00:00:00"/>
    <x v="7"/>
    <x v="4"/>
    <x v="0"/>
    <n v="1761524"/>
    <x v="1"/>
    <x v="2"/>
    <s v="Entebbe"/>
    <n v="1"/>
    <s v="Referred"/>
    <n v="63"/>
  </r>
  <r>
    <s v="P355"/>
    <s v="David Kim"/>
    <x v="1"/>
    <d v="1962-11-02T00:00:00"/>
    <x v="25"/>
    <d v="2024-05-16T00:00:00"/>
    <x v="0"/>
    <x v="0"/>
    <x v="3"/>
    <n v="4235956"/>
    <x v="0"/>
    <x v="2"/>
    <s v="Entebbe"/>
    <n v="3"/>
    <s v="Recovered"/>
    <n v="62"/>
  </r>
  <r>
    <s v="P356"/>
    <s v="Sarah Connor"/>
    <x v="0"/>
    <d v="1958-08-02T00:00:00"/>
    <x v="153"/>
    <d v="2024-05-29T00:00:00"/>
    <x v="5"/>
    <x v="5"/>
    <x v="0"/>
    <n v="1244760"/>
    <x v="2"/>
    <x v="2"/>
    <s v="Kampala"/>
    <n v="11"/>
    <s v="Recovered"/>
    <n v="66"/>
  </r>
  <r>
    <s v="P357"/>
    <s v="Clark Kent"/>
    <x v="0"/>
    <d v="1968-10-20T00:00:00"/>
    <x v="140"/>
    <d v="2024-03-20T00:00:00"/>
    <x v="9"/>
    <x v="5"/>
    <x v="3"/>
    <n v="780804"/>
    <x v="0"/>
    <x v="1"/>
    <s v="Entebbe"/>
    <n v="15"/>
    <s v="Recovered"/>
    <n v="56"/>
  </r>
  <r>
    <s v="P358"/>
    <s v="Steve Rogers"/>
    <x v="0"/>
    <d v="2002-01-05T00:00:00"/>
    <x v="154"/>
    <d v="2024-05-02T00:00:00"/>
    <x v="4"/>
    <x v="4"/>
    <x v="0"/>
    <n v="2893124"/>
    <x v="0"/>
    <x v="0"/>
    <s v="Jinja"/>
    <n v="15"/>
    <s v="Referred"/>
    <n v="22"/>
  </r>
  <r>
    <s v="P359"/>
    <s v="Michael Brown"/>
    <x v="1"/>
    <d v="2002-06-29T00:00:00"/>
    <x v="143"/>
    <s v="still admitted"/>
    <x v="0"/>
    <x v="0"/>
    <x v="0"/>
    <n v="3125500"/>
    <x v="0"/>
    <x v="2"/>
    <s v="Jinja"/>
    <s v="Still Admitted"/>
    <s v="Referred"/>
    <n v="22"/>
  </r>
  <r>
    <s v="P360"/>
    <s v="James Bond"/>
    <x v="0"/>
    <d v="1961-05-31T00:00:00"/>
    <x v="107"/>
    <d v="2024-06-28T00:00:00"/>
    <x v="10"/>
    <x v="6"/>
    <x v="0"/>
    <n v="3028916"/>
    <x v="0"/>
    <x v="0"/>
    <s v="Jinja"/>
    <n v="2"/>
    <s v="Recovered"/>
    <n v="63"/>
  </r>
  <r>
    <s v="P361"/>
    <s v="Stephen Strange"/>
    <x v="2"/>
    <d v="1970-08-10T00:00:00"/>
    <x v="149"/>
    <d v="2024-04-19T00:00:00"/>
    <x v="10"/>
    <x v="6"/>
    <x v="0"/>
    <n v="3681472"/>
    <x v="0"/>
    <x v="2"/>
    <s v="Entebbe"/>
    <n v="4"/>
    <s v="not stated"/>
    <n v="54"/>
  </r>
  <r>
    <s v="P362"/>
    <s v="TChalla"/>
    <x v="0"/>
    <d v="1987-06-25T00:00:00"/>
    <x v="155"/>
    <d v="2024-01-20T00:00:00"/>
    <x v="1"/>
    <x v="1"/>
    <x v="1"/>
    <n v="4077532"/>
    <x v="2"/>
    <x v="2"/>
    <s v="Kampala"/>
    <n v="9"/>
    <s v="Recovered"/>
    <n v="37"/>
  </r>
  <r>
    <s v="P363"/>
    <s v="Tony Stark"/>
    <x v="1"/>
    <d v="1961-11-27T00:00:00"/>
    <x v="34"/>
    <d v="2024-03-18T00:00:00"/>
    <x v="10"/>
    <x v="6"/>
    <x v="1"/>
    <n v="1625732"/>
    <x v="1"/>
    <x v="1"/>
    <s v="Entebbe"/>
    <n v="2"/>
    <s v="not stated"/>
    <n v="63"/>
  </r>
  <r>
    <s v="P364"/>
    <s v="Linda White"/>
    <x v="2"/>
    <d v="1983-03-26T00:00:00"/>
    <x v="156"/>
    <d v="2024-07-01T00:00:00"/>
    <x v="8"/>
    <x v="5"/>
    <x v="0"/>
    <n v="2666804"/>
    <x v="0"/>
    <x v="0"/>
    <s v="Jinja"/>
    <n v="2"/>
    <s v="Referred"/>
    <n v="41"/>
  </r>
  <r>
    <s v="P365"/>
    <s v="Jane Smith"/>
    <x v="0"/>
    <d v="1982-08-28T00:00:00"/>
    <x v="157"/>
    <d v="2024-02-08T00:00:00"/>
    <x v="8"/>
    <x v="5"/>
    <x v="0"/>
    <n v="5382644"/>
    <x v="1"/>
    <x v="0"/>
    <s v="Kampala"/>
    <n v="10"/>
    <s v="not stated"/>
    <n v="42"/>
  </r>
  <r>
    <s v="P366"/>
    <s v="Natasha Romanoff"/>
    <x v="1"/>
    <d v="2002-01-17T00:00:00"/>
    <x v="0"/>
    <d v="2024-03-03T00:00:00"/>
    <x v="5"/>
    <x v="5"/>
    <x v="0"/>
    <n v="3020500"/>
    <x v="2"/>
    <x v="2"/>
    <s v="Jinja"/>
    <n v="5"/>
    <s v="Referred"/>
    <n v="22"/>
  </r>
  <r>
    <s v="P367"/>
    <s v="Stephen Strange"/>
    <x v="1"/>
    <d v="1997-10-21T00:00:00"/>
    <x v="147"/>
    <d v="2024-05-07T00:00:00"/>
    <x v="4"/>
    <x v="4"/>
    <x v="0"/>
    <n v="995808"/>
    <x v="0"/>
    <x v="2"/>
    <s v="Kampala"/>
    <n v="12"/>
    <s v="Referred"/>
    <n v="27"/>
  </r>
  <r>
    <s v="P368"/>
    <s v="David Kim"/>
    <x v="1"/>
    <d v="1963-07-03T00:00:00"/>
    <x v="25"/>
    <d v="2024-05-24T00:00:00"/>
    <x v="10"/>
    <x v="6"/>
    <x v="1"/>
    <n v="3805948"/>
    <x v="0"/>
    <x v="0"/>
    <s v="Kampala"/>
    <n v="11"/>
    <s v="Recovered"/>
    <n v="61"/>
  </r>
  <r>
    <s v="P369"/>
    <s v="Bruce Wayne"/>
    <x v="1"/>
    <d v="2001-12-01T00:00:00"/>
    <x v="53"/>
    <d v="2024-06-27T00:00:00"/>
    <x v="10"/>
    <x v="6"/>
    <x v="4"/>
    <n v="1295000"/>
    <x v="0"/>
    <x v="2"/>
    <s v="Kampala"/>
    <n v="11"/>
    <s v="Recovered"/>
    <n v="23"/>
  </r>
  <r>
    <s v="P370"/>
    <s v="Clark Kent"/>
    <x v="0"/>
    <d v="1990-11-26T00:00:00"/>
    <x v="61"/>
    <d v="2024-06-12T00:00:00"/>
    <x v="3"/>
    <x v="3"/>
    <x v="3"/>
    <n v="5522208"/>
    <x v="0"/>
    <x v="0"/>
    <s v="Kampala"/>
    <n v="5"/>
    <s v="Referred"/>
    <n v="34"/>
  </r>
  <r>
    <s v="P371"/>
    <s v="David Kim"/>
    <x v="1"/>
    <d v="1973-05-13T00:00:00"/>
    <x v="95"/>
    <d v="2024-02-18T00:00:00"/>
    <x v="8"/>
    <x v="5"/>
    <x v="1"/>
    <n v="3839896"/>
    <x v="1"/>
    <x v="2"/>
    <s v="Kampala"/>
    <n v="1"/>
    <s v="Referred"/>
    <n v="51"/>
  </r>
  <r>
    <s v="P372"/>
    <s v="Steve Rogers"/>
    <x v="0"/>
    <d v="1964-01-01T00:00:00"/>
    <x v="158"/>
    <d v="2024-05-24T00:00:00"/>
    <x v="5"/>
    <x v="5"/>
    <x v="4"/>
    <n v="5525980"/>
    <x v="1"/>
    <x v="2"/>
    <s v="Entebbe"/>
    <n v="5"/>
    <s v="Referred"/>
    <n v="60"/>
  </r>
  <r>
    <s v="P373"/>
    <s v="David Kim"/>
    <x v="1"/>
    <d v="1999-06-06T00:00:00"/>
    <x v="94"/>
    <d v="2024-04-02T00:00:00"/>
    <x v="10"/>
    <x v="6"/>
    <x v="0"/>
    <n v="2896896"/>
    <x v="1"/>
    <x v="0"/>
    <s v="Jinja"/>
    <n v="14"/>
    <s v="Referred"/>
    <n v="25"/>
  </r>
  <r>
    <s v="P374"/>
    <s v="John Doe"/>
    <x v="0"/>
    <d v="1998-04-21T00:00:00"/>
    <x v="19"/>
    <d v="2024-06-29T00:00:00"/>
    <x v="10"/>
    <x v="6"/>
    <x v="4"/>
    <n v="5050708"/>
    <x v="0"/>
    <x v="2"/>
    <s v="Kampala"/>
    <n v="7"/>
    <s v="Referred"/>
    <n v="26"/>
  </r>
  <r>
    <s v="P375"/>
    <s v="Clark Kent"/>
    <x v="0"/>
    <d v="1975-07-16T00:00:00"/>
    <x v="137"/>
    <d v="2024-04-13T00:00:00"/>
    <x v="4"/>
    <x v="4"/>
    <x v="1"/>
    <n v="3587172"/>
    <x v="0"/>
    <x v="0"/>
    <s v="Jinja"/>
    <n v="14"/>
    <s v="not stated"/>
    <n v="49"/>
  </r>
  <r>
    <s v="P376"/>
    <s v="David Kim"/>
    <x v="2"/>
    <d v="2002-09-05T00:00:00"/>
    <x v="109"/>
    <d v="2024-02-20T00:00:00"/>
    <x v="7"/>
    <x v="4"/>
    <x v="2"/>
    <n v="3277868"/>
    <x v="0"/>
    <x v="2"/>
    <s v="Jinja"/>
    <n v="14"/>
    <s v="Recovered"/>
    <n v="22"/>
  </r>
  <r>
    <s v="P377"/>
    <s v="Steve Rogers"/>
    <x v="1"/>
    <d v="2000-12-13T00:00:00"/>
    <x v="159"/>
    <d v="2024-02-26T00:00:00"/>
    <x v="9"/>
    <x v="5"/>
    <x v="2"/>
    <n v="2513000"/>
    <x v="2"/>
    <x v="2"/>
    <s v="Kampala"/>
    <n v="5"/>
    <s v="Recovered"/>
    <n v="24"/>
  </r>
  <r>
    <s v="P378"/>
    <s v="Chris Evans"/>
    <x v="0"/>
    <d v="2007-06-20T00:00:00"/>
    <x v="24"/>
    <d v="2024-02-09T00:00:00"/>
    <x v="9"/>
    <x v="5"/>
    <x v="2"/>
    <n v="2515924"/>
    <x v="0"/>
    <x v="2"/>
    <s v="Jinja"/>
    <n v="8"/>
    <s v="Referred"/>
    <n v="17"/>
  </r>
  <r>
    <s v="P379"/>
    <s v="Natasha Romanoff"/>
    <x v="1"/>
    <d v="1960-09-23T00:00:00"/>
    <x v="160"/>
    <d v="2024-05-14T00:00:00"/>
    <x v="3"/>
    <x v="3"/>
    <x v="1"/>
    <n v="1319500"/>
    <x v="0"/>
    <x v="1"/>
    <s v="Entebbe"/>
    <n v="3"/>
    <s v="Referred"/>
    <n v="64"/>
  </r>
  <r>
    <s v="P380"/>
    <s v="Peter Parker"/>
    <x v="0"/>
    <d v="1997-07-07T00:00:00"/>
    <x v="160"/>
    <d v="2024-05-14T00:00:00"/>
    <x v="0"/>
    <x v="0"/>
    <x v="0"/>
    <n v="4245500"/>
    <x v="0"/>
    <x v="2"/>
    <s v="Entebbe"/>
    <n v="3"/>
    <s v="Referred"/>
    <n v="27"/>
  </r>
  <r>
    <s v="P381"/>
    <s v="Stephen Strange"/>
    <x v="0"/>
    <d v="1981-07-19T00:00:00"/>
    <x v="129"/>
    <d v="2024-01-10T00:00:00"/>
    <x v="1"/>
    <x v="1"/>
    <x v="0"/>
    <n v="1165548"/>
    <x v="0"/>
    <x v="0"/>
    <s v="Kampala"/>
    <n v="6"/>
    <s v="not stated"/>
    <n v="43"/>
  </r>
  <r>
    <s v="P382"/>
    <s v="Wanda Maximoff"/>
    <x v="2"/>
    <d v="1997-09-26T00:00:00"/>
    <x v="145"/>
    <d v="2024-04-18T00:00:00"/>
    <x v="9"/>
    <x v="5"/>
    <x v="1"/>
    <n v="2583000"/>
    <x v="0"/>
    <x v="2"/>
    <s v="Jinja"/>
    <n v="2"/>
    <s v="Recovered"/>
    <n v="27"/>
  </r>
  <r>
    <s v="P383"/>
    <s v="Peter Parker"/>
    <x v="0"/>
    <d v="1960-08-22T00:00:00"/>
    <x v="161"/>
    <d v="2024-02-07T00:00:00"/>
    <x v="4"/>
    <x v="4"/>
    <x v="0"/>
    <n v="3658840"/>
    <x v="0"/>
    <x v="1"/>
    <s v="Entebbe"/>
    <n v="5"/>
    <s v="Recovered"/>
    <n v="64"/>
  </r>
  <r>
    <s v="P384"/>
    <s v="Jane Smith"/>
    <x v="2"/>
    <d v="2009-03-11T00:00:00"/>
    <x v="162"/>
    <d v="2024-05-01T00:00:00"/>
    <x v="5"/>
    <x v="5"/>
    <x v="0"/>
    <n v="1120284"/>
    <x v="1"/>
    <x v="0"/>
    <s v="Jinja"/>
    <n v="1"/>
    <s v="not stated"/>
    <n v="15"/>
  </r>
  <r>
    <s v="P385"/>
    <s v="John Doe"/>
    <x v="0"/>
    <d v="1963-01-22T00:00:00"/>
    <x v="88"/>
    <d v="2024-06-11T00:00:00"/>
    <x v="2"/>
    <x v="2"/>
    <x v="0"/>
    <n v="1139144"/>
    <x v="1"/>
    <x v="0"/>
    <s v="Jinja"/>
    <n v="14"/>
    <s v="Referred"/>
    <n v="61"/>
  </r>
  <r>
    <s v="P386"/>
    <s v="Stephen Strange"/>
    <x v="0"/>
    <d v="1958-11-08T00:00:00"/>
    <x v="117"/>
    <d v="2024-05-19T00:00:00"/>
    <x v="10"/>
    <x v="6"/>
    <x v="0"/>
    <n v="1645000"/>
    <x v="2"/>
    <x v="2"/>
    <s v="Kampala"/>
    <n v="10"/>
    <s v="Recovered"/>
    <n v="66"/>
  </r>
  <r>
    <s v="P387"/>
    <s v="Sarah Connor"/>
    <x v="1"/>
    <d v="1959-11-24T00:00:00"/>
    <x v="105"/>
    <d v="2024-05-15T00:00:00"/>
    <x v="7"/>
    <x v="4"/>
    <x v="1"/>
    <n v="1267392"/>
    <x v="0"/>
    <x v="2"/>
    <s v="Jinja"/>
    <n v="9"/>
    <s v="Referred"/>
    <n v="65"/>
  </r>
  <r>
    <s v="P388"/>
    <s v="Stephen Strange"/>
    <x v="1"/>
    <d v="1976-01-27T00:00:00"/>
    <x v="122"/>
    <d v="2024-03-02T00:00:00"/>
    <x v="6"/>
    <x v="0"/>
    <x v="0"/>
    <n v="475272"/>
    <x v="0"/>
    <x v="2"/>
    <s v="Entebbe"/>
    <n v="13"/>
    <s v="Recovered"/>
    <n v="48"/>
  </r>
  <r>
    <s v="P389"/>
    <s v="David Kim"/>
    <x v="1"/>
    <d v="1985-12-10T00:00:00"/>
    <x v="163"/>
    <d v="2024-02-17T00:00:00"/>
    <x v="4"/>
    <x v="4"/>
    <x v="2"/>
    <n v="3496644"/>
    <x v="0"/>
    <x v="2"/>
    <s v="Jinja"/>
    <n v="4"/>
    <s v="not stated"/>
    <n v="39"/>
  </r>
  <r>
    <s v="P390"/>
    <s v="TChalla"/>
    <x v="0"/>
    <d v="2007-10-06T00:00:00"/>
    <x v="128"/>
    <d v="2024-04-08T00:00:00"/>
    <x v="2"/>
    <x v="2"/>
    <x v="0"/>
    <n v="3888932"/>
    <x v="0"/>
    <x v="2"/>
    <s v="Entebbe"/>
    <n v="7"/>
    <s v="Recovered"/>
    <n v="17"/>
  </r>
  <r>
    <s v="P391"/>
    <s v="Sarah Connor"/>
    <x v="1"/>
    <d v="1954-09-28T00:00:00"/>
    <x v="139"/>
    <d v="2024-05-14T00:00:00"/>
    <x v="3"/>
    <x v="3"/>
    <x v="4"/>
    <n v="5190272"/>
    <x v="0"/>
    <x v="2"/>
    <s v="Entebbe"/>
    <n v="7"/>
    <s v="not stated"/>
    <n v="70"/>
  </r>
  <r>
    <s v="P392"/>
    <s v="Natasha Romanoff"/>
    <x v="0"/>
    <d v="1973-06-23T00:00:00"/>
    <x v="153"/>
    <d v="2024-05-19T00:00:00"/>
    <x v="7"/>
    <x v="4"/>
    <x v="1"/>
    <n v="2806368"/>
    <x v="2"/>
    <x v="2"/>
    <s v="Kampala"/>
    <n v="1"/>
    <s v="not stated"/>
    <n v="51"/>
  </r>
  <r>
    <s v="P393"/>
    <s v="Peter Parker"/>
    <x v="1"/>
    <d v="1964-09-22T00:00:00"/>
    <x v="146"/>
    <d v="2024-04-27T00:00:00"/>
    <x v="7"/>
    <x v="4"/>
    <x v="3"/>
    <n v="4164288"/>
    <x v="2"/>
    <x v="0"/>
    <s v="Jinja"/>
    <n v="7"/>
    <s v="Referred"/>
    <n v="60"/>
  </r>
  <r>
    <s v="P394"/>
    <s v="TChalla"/>
    <x v="1"/>
    <d v="2005-05-07T00:00:00"/>
    <x v="164"/>
    <s v="still admitted"/>
    <x v="0"/>
    <x v="0"/>
    <x v="0"/>
    <n v="2975000"/>
    <x v="1"/>
    <x v="1"/>
    <s v="Jinja"/>
    <s v="Still Admitted"/>
    <s v="Referred"/>
    <n v="19"/>
  </r>
  <r>
    <s v="P395"/>
    <s v="Clark Kent"/>
    <x v="1"/>
    <d v="1981-07-07T00:00:00"/>
    <x v="45"/>
    <d v="2024-06-29T00:00:00"/>
    <x v="0"/>
    <x v="0"/>
    <x v="3"/>
    <n v="819000"/>
    <x v="0"/>
    <x v="2"/>
    <s v="Kampala"/>
    <n v="11"/>
    <s v="Referred"/>
    <n v="43"/>
  </r>
  <r>
    <s v="P396"/>
    <s v="Steve Rogers"/>
    <x v="1"/>
    <d v="1987-11-26T00:00:00"/>
    <x v="165"/>
    <d v="2024-03-19T00:00:00"/>
    <x v="8"/>
    <x v="5"/>
    <x v="4"/>
    <n v="3146500"/>
    <x v="1"/>
    <x v="1"/>
    <s v="Entebbe"/>
    <n v="10"/>
    <s v="not stated"/>
    <n v="37"/>
  </r>
  <r>
    <s v="P397"/>
    <s v="Bruce Wayne"/>
    <x v="1"/>
    <d v="1995-02-08T00:00:00"/>
    <x v="111"/>
    <d v="2024-02-19T00:00:00"/>
    <x v="10"/>
    <x v="6"/>
    <x v="2"/>
    <n v="958088"/>
    <x v="0"/>
    <x v="2"/>
    <s v="Kampala"/>
    <n v="7"/>
    <s v="not stated"/>
    <n v="29"/>
  </r>
  <r>
    <s v="P398"/>
    <s v="Nancy Drew"/>
    <x v="0"/>
    <d v="1958-04-02T00:00:00"/>
    <x v="134"/>
    <d v="2024-06-10T00:00:00"/>
    <x v="1"/>
    <x v="1"/>
    <x v="1"/>
    <n v="899500"/>
    <x v="1"/>
    <x v="2"/>
    <s v="Entebbe"/>
    <n v="10"/>
    <s v="Recovered"/>
    <n v="66"/>
  </r>
  <r>
    <s v="P399"/>
    <s v="Diana Prince"/>
    <x v="0"/>
    <d v="2006-01-25T00:00:00"/>
    <x v="58"/>
    <d v="2024-07-01T00:00:00"/>
    <x v="0"/>
    <x v="0"/>
    <x v="0"/>
    <n v="5480716"/>
    <x v="0"/>
    <x v="2"/>
    <s v="Jinja"/>
    <n v="11"/>
    <s v="not stated"/>
    <n v="18"/>
  </r>
  <r>
    <s v="P400"/>
    <s v="Clark Kent"/>
    <x v="1"/>
    <d v="1963-04-04T00:00:00"/>
    <x v="92"/>
    <d v="2024-02-15T00:00:00"/>
    <x v="7"/>
    <x v="4"/>
    <x v="0"/>
    <n v="3304000"/>
    <x v="0"/>
    <x v="0"/>
    <s v="Entebbe"/>
    <n v="7"/>
    <s v="Referred"/>
    <n v="61"/>
  </r>
  <r>
    <s v="P401"/>
    <s v="Sarah Connor"/>
    <x v="1"/>
    <d v="1967-03-21T00:00:00"/>
    <x v="10"/>
    <d v="2024-03-12T00:00:00"/>
    <x v="1"/>
    <x v="1"/>
    <x v="0"/>
    <n v="1935036"/>
    <x v="0"/>
    <x v="0"/>
    <s v="Kampala"/>
    <n v="9"/>
    <s v="Referred"/>
    <n v="57"/>
  </r>
  <r>
    <s v="P402"/>
    <s v="Stephen Strange"/>
    <x v="1"/>
    <d v="2007-10-21T00:00:00"/>
    <x v="27"/>
    <s v="still admitted"/>
    <x v="7"/>
    <x v="4"/>
    <x v="4"/>
    <n v="2678120"/>
    <x v="2"/>
    <x v="2"/>
    <s v="Jinja"/>
    <s v="Still Admitted"/>
    <s v="Referred"/>
    <n v="17"/>
  </r>
  <r>
    <s v="P403"/>
    <s v="David Kim"/>
    <x v="1"/>
    <d v="1960-01-16T00:00:00"/>
    <x v="25"/>
    <d v="2024-05-15T00:00:00"/>
    <x v="0"/>
    <x v="0"/>
    <x v="2"/>
    <n v="2593500"/>
    <x v="1"/>
    <x v="2"/>
    <s v="Jinja"/>
    <n v="2"/>
    <s v="Referred"/>
    <n v="64"/>
  </r>
  <r>
    <s v="P404"/>
    <s v="David Kim"/>
    <x v="0"/>
    <d v="1965-09-18T00:00:00"/>
    <x v="49"/>
    <d v="2024-03-25T00:00:00"/>
    <x v="10"/>
    <x v="6"/>
    <x v="1"/>
    <n v="1158500"/>
    <x v="1"/>
    <x v="2"/>
    <s v="Entebbe"/>
    <n v="14"/>
    <s v="Recovered"/>
    <n v="59"/>
  </r>
  <r>
    <s v="P405"/>
    <s v="Natasha Romanoff"/>
    <x v="1"/>
    <d v="1982-12-29T00:00:00"/>
    <x v="113"/>
    <d v="2024-01-17T00:00:00"/>
    <x v="6"/>
    <x v="0"/>
    <x v="1"/>
    <n v="4643332"/>
    <x v="0"/>
    <x v="2"/>
    <s v="Jinja"/>
    <n v="11"/>
    <s v="Recovered"/>
    <n v="42"/>
  </r>
  <r>
    <s v="P406"/>
    <s v="Diana Prince"/>
    <x v="0"/>
    <d v="1985-04-04T00:00:00"/>
    <x v="123"/>
    <d v="2024-03-31T00:00:00"/>
    <x v="5"/>
    <x v="5"/>
    <x v="2"/>
    <n v="1614416"/>
    <x v="0"/>
    <x v="2"/>
    <s v="Kampala"/>
    <n v="13"/>
    <s v="Recovered"/>
    <n v="39"/>
  </r>
  <r>
    <s v="P407"/>
    <s v="Natasha Romanoff"/>
    <x v="1"/>
    <d v="1987-01-18T00:00:00"/>
    <x v="127"/>
    <d v="2024-04-30T00:00:00"/>
    <x v="2"/>
    <x v="2"/>
    <x v="1"/>
    <n v="3363500"/>
    <x v="2"/>
    <x v="1"/>
    <s v="Kampala"/>
    <n v="12"/>
    <s v="not stated"/>
    <n v="37"/>
  </r>
  <r>
    <s v="P408"/>
    <s v="David Kim"/>
    <x v="0"/>
    <d v="1985-12-11T00:00:00"/>
    <x v="37"/>
    <d v="2024-06-11T00:00:00"/>
    <x v="3"/>
    <x v="3"/>
    <x v="4"/>
    <n v="5390188"/>
    <x v="1"/>
    <x v="2"/>
    <s v="Entebbe"/>
    <n v="2"/>
    <s v="not stated"/>
    <n v="39"/>
  </r>
  <r>
    <s v="P409"/>
    <s v="Chris Evans"/>
    <x v="1"/>
    <d v="2003-03-16T00:00:00"/>
    <x v="164"/>
    <s v="still admitted"/>
    <x v="8"/>
    <x v="5"/>
    <x v="1"/>
    <n v="3289184"/>
    <x v="0"/>
    <x v="1"/>
    <s v="Jinja"/>
    <s v="Still Admitted"/>
    <s v="Recovered"/>
    <n v="21"/>
  </r>
  <r>
    <s v="P410"/>
    <s v="Steve Rogers"/>
    <x v="1"/>
    <d v="1973-06-27T00:00:00"/>
    <x v="118"/>
    <d v="2024-01-23T00:00:00"/>
    <x v="3"/>
    <x v="3"/>
    <x v="1"/>
    <n v="1689856"/>
    <x v="0"/>
    <x v="2"/>
    <s v="Entebbe"/>
    <n v="10"/>
    <s v="Recovered"/>
    <n v="51"/>
  </r>
  <r>
    <s v="P411"/>
    <s v="James Bond"/>
    <x v="1"/>
    <d v="1973-11-18T00:00:00"/>
    <x v="105"/>
    <s v="still admitted"/>
    <x v="4"/>
    <x v="4"/>
    <x v="0"/>
    <n v="2561188"/>
    <x v="2"/>
    <x v="0"/>
    <s v="Entebbe"/>
    <s v="Still Admitted"/>
    <s v="Referred"/>
    <n v="51"/>
  </r>
  <r>
    <s v="P412"/>
    <s v="Nancy Drew"/>
    <x v="0"/>
    <d v="1990-06-17T00:00:00"/>
    <x v="115"/>
    <s v="still admitted"/>
    <x v="10"/>
    <x v="6"/>
    <x v="2"/>
    <n v="2874264"/>
    <x v="0"/>
    <x v="2"/>
    <s v="Jinja"/>
    <s v="Still Admitted"/>
    <s v="Referred"/>
    <n v="34"/>
  </r>
  <r>
    <s v="P413"/>
    <s v="Sarah Connor"/>
    <x v="0"/>
    <d v="1955-04-10T00:00:00"/>
    <x v="84"/>
    <d v="2024-04-01T00:00:00"/>
    <x v="9"/>
    <x v="5"/>
    <x v="4"/>
    <n v="5163868"/>
    <x v="0"/>
    <x v="2"/>
    <s v="Jinja"/>
    <n v="6"/>
    <s v="not stated"/>
    <n v="69"/>
  </r>
  <r>
    <s v="P414"/>
    <s v="TChalla"/>
    <x v="1"/>
    <d v="1973-05-09T00:00:00"/>
    <x v="77"/>
    <d v="2024-05-23T00:00:00"/>
    <x v="3"/>
    <x v="3"/>
    <x v="1"/>
    <n v="4473592"/>
    <x v="0"/>
    <x v="2"/>
    <s v="Kampala"/>
    <n v="15"/>
    <s v="Referred"/>
    <n v="51"/>
  </r>
  <r>
    <s v="P415"/>
    <s v="Clark Kent"/>
    <x v="1"/>
    <d v="1975-05-20T00:00:00"/>
    <x v="23"/>
    <d v="2024-06-12T00:00:00"/>
    <x v="8"/>
    <x v="5"/>
    <x v="1"/>
    <n v="1542748"/>
    <x v="0"/>
    <x v="0"/>
    <s v="Kampala"/>
    <n v="7"/>
    <s v="Recovered"/>
    <n v="49"/>
  </r>
  <r>
    <s v="P416"/>
    <s v="Natasha Romanoff"/>
    <x v="0"/>
    <d v="1964-09-03T00:00:00"/>
    <x v="110"/>
    <d v="2024-05-06T00:00:00"/>
    <x v="9"/>
    <x v="5"/>
    <x v="1"/>
    <n v="4707456"/>
    <x v="2"/>
    <x v="2"/>
    <s v="Kampala"/>
    <n v="15"/>
    <s v="Recovered"/>
    <n v="60"/>
  </r>
  <r>
    <s v="P417"/>
    <s v="Clark Kent"/>
    <x v="0"/>
    <d v="1968-04-11T00:00:00"/>
    <x v="125"/>
    <d v="2024-03-01T00:00:00"/>
    <x v="0"/>
    <x v="0"/>
    <x v="4"/>
    <n v="2014248"/>
    <x v="1"/>
    <x v="0"/>
    <s v="Entebbe"/>
    <n v="14"/>
    <s v="Referred"/>
    <n v="56"/>
  </r>
  <r>
    <s v="P418"/>
    <s v="Sarah Connor"/>
    <x v="0"/>
    <d v="1952-04-30T00:00:00"/>
    <x v="100"/>
    <d v="2024-07-03T00:00:00"/>
    <x v="8"/>
    <x v="5"/>
    <x v="0"/>
    <n v="1003352"/>
    <x v="2"/>
    <x v="2"/>
    <s v="Jinja"/>
    <n v="10"/>
    <s v="not stated"/>
    <n v="72"/>
  </r>
  <r>
    <s v="P419"/>
    <s v="Bruce Wayne"/>
    <x v="0"/>
    <d v="2008-11-13T00:00:00"/>
    <x v="98"/>
    <d v="2024-03-25T00:00:00"/>
    <x v="8"/>
    <x v="5"/>
    <x v="0"/>
    <n v="920368"/>
    <x v="0"/>
    <x v="2"/>
    <s v="Entebbe"/>
    <n v="1"/>
    <s v="Referred"/>
    <n v="16"/>
  </r>
  <r>
    <s v="P420"/>
    <s v="John Doe"/>
    <x v="2"/>
    <d v="1968-09-06T00:00:00"/>
    <x v="116"/>
    <d v="2024-04-22T00:00:00"/>
    <x v="7"/>
    <x v="4"/>
    <x v="1"/>
    <n v="3447500"/>
    <x v="1"/>
    <x v="0"/>
    <s v="Entebbe"/>
    <n v="13"/>
    <s v="Referred"/>
    <n v="56"/>
  </r>
  <r>
    <s v="P421"/>
    <s v="James Bond"/>
    <x v="1"/>
    <d v="1989-12-18T00:00:00"/>
    <x v="136"/>
    <d v="2024-05-08T00:00:00"/>
    <x v="1"/>
    <x v="1"/>
    <x v="1"/>
    <n v="5118604"/>
    <x v="2"/>
    <x v="2"/>
    <s v="Kampala"/>
    <n v="7"/>
    <s v="Referred"/>
    <n v="35"/>
  </r>
  <r>
    <s v="P422"/>
    <s v="Nancy Drew"/>
    <x v="1"/>
    <d v="1963-11-30T00:00:00"/>
    <x v="62"/>
    <d v="2024-05-21T00:00:00"/>
    <x v="10"/>
    <x v="6"/>
    <x v="0"/>
    <n v="1263500"/>
    <x v="0"/>
    <x v="2"/>
    <s v="Entebbe"/>
    <n v="7"/>
    <s v="Recovered"/>
    <n v="61"/>
  </r>
  <r>
    <s v="P423"/>
    <s v="Wanda Maximoff"/>
    <x v="0"/>
    <d v="1995-10-25T00:00:00"/>
    <x v="149"/>
    <d v="2024-04-27T00:00:00"/>
    <x v="8"/>
    <x v="5"/>
    <x v="4"/>
    <n v="1007124"/>
    <x v="0"/>
    <x v="2"/>
    <s v="Kampala"/>
    <n v="12"/>
    <s v="Referred"/>
    <n v="29"/>
  </r>
  <r>
    <s v="P424"/>
    <s v="Michael Brown"/>
    <x v="1"/>
    <d v="1976-09-14T00:00:00"/>
    <x v="1"/>
    <d v="2024-06-07T00:00:00"/>
    <x v="8"/>
    <x v="5"/>
    <x v="2"/>
    <n v="1821876"/>
    <x v="0"/>
    <x v="1"/>
    <s v="Jinja"/>
    <n v="8"/>
    <s v="not stated"/>
    <n v="48"/>
  </r>
  <r>
    <s v="P425"/>
    <s v="Tony Stark"/>
    <x v="0"/>
    <d v="1951-08-11T00:00:00"/>
    <x v="54"/>
    <s v="still admitted"/>
    <x v="6"/>
    <x v="0"/>
    <x v="1"/>
    <n v="3504188"/>
    <x v="0"/>
    <x v="2"/>
    <s v="Jinja"/>
    <s v="Still Admitted"/>
    <s v="not stated"/>
    <n v="73"/>
  </r>
  <r>
    <s v="P426"/>
    <s v="Peter Parker"/>
    <x v="0"/>
    <d v="1961-03-22T00:00:00"/>
    <x v="129"/>
    <s v="still admitted"/>
    <x v="9"/>
    <x v="5"/>
    <x v="0"/>
    <n v="580888"/>
    <x v="2"/>
    <x v="0"/>
    <s v="Jinja"/>
    <s v="Still Admitted"/>
    <s v="not stated"/>
    <n v="63"/>
  </r>
  <r>
    <s v="P427"/>
    <s v="James Bond"/>
    <x v="0"/>
    <d v="1976-12-30T00:00:00"/>
    <x v="150"/>
    <d v="2024-02-09T00:00:00"/>
    <x v="3"/>
    <x v="3"/>
    <x v="3"/>
    <n v="3813492"/>
    <x v="2"/>
    <x v="1"/>
    <s v="Entebbe"/>
    <n v="2"/>
    <s v="Referred"/>
    <n v="48"/>
  </r>
  <r>
    <s v="P428"/>
    <s v="Diana Prince"/>
    <x v="0"/>
    <d v="1979-12-14T00:00:00"/>
    <x v="166"/>
    <d v="2024-02-10T00:00:00"/>
    <x v="0"/>
    <x v="0"/>
    <x v="3"/>
    <n v="4322500"/>
    <x v="0"/>
    <x v="2"/>
    <s v="Entebbe"/>
    <n v="14"/>
    <s v="not stated"/>
    <n v="45"/>
  </r>
  <r>
    <s v="P429"/>
    <s v="Natasha Romanoff"/>
    <x v="1"/>
    <d v="1955-06-13T00:00:00"/>
    <x v="127"/>
    <d v="2024-04-23T00:00:00"/>
    <x v="10"/>
    <x v="6"/>
    <x v="1"/>
    <n v="4812500"/>
    <x v="2"/>
    <x v="2"/>
    <s v="Kampala"/>
    <n v="5"/>
    <s v="not stated"/>
    <n v="69"/>
  </r>
  <r>
    <s v="P430"/>
    <s v="Natasha Romanoff"/>
    <x v="0"/>
    <d v="1989-04-22T00:00:00"/>
    <x v="117"/>
    <d v="2024-05-20T00:00:00"/>
    <x v="0"/>
    <x v="0"/>
    <x v="2"/>
    <n v="5450540"/>
    <x v="0"/>
    <x v="2"/>
    <s v="Jinja"/>
    <n v="11"/>
    <s v="not stated"/>
    <n v="35"/>
  </r>
  <r>
    <s v="P431"/>
    <s v="Clark Kent"/>
    <x v="2"/>
    <d v="1992-05-17T00:00:00"/>
    <x v="46"/>
    <d v="2024-06-20T00:00:00"/>
    <x v="6"/>
    <x v="0"/>
    <x v="0"/>
    <n v="1712488"/>
    <x v="0"/>
    <x v="2"/>
    <s v="Kampala"/>
    <n v="12"/>
    <s v="Referred"/>
    <n v="32"/>
  </r>
  <r>
    <s v="P432"/>
    <s v="James Bond"/>
    <x v="0"/>
    <d v="1954-03-22T00:00:00"/>
    <x v="128"/>
    <d v="2024-04-04T00:00:00"/>
    <x v="2"/>
    <x v="2"/>
    <x v="2"/>
    <n v="805000"/>
    <x v="2"/>
    <x v="1"/>
    <s v="Jinja"/>
    <n v="3"/>
    <s v="not stated"/>
    <n v="70"/>
  </r>
  <r>
    <s v="P433"/>
    <s v="Natasha Romanoff"/>
    <x v="0"/>
    <d v="1980-07-13T00:00:00"/>
    <x v="80"/>
    <d v="2024-01-26T00:00:00"/>
    <x v="9"/>
    <x v="5"/>
    <x v="2"/>
    <n v="3907792"/>
    <x v="0"/>
    <x v="1"/>
    <s v="Jinja"/>
    <n v="14"/>
    <s v="Recovered"/>
    <n v="44"/>
  </r>
  <r>
    <s v="P434"/>
    <s v="Sarah Connor"/>
    <x v="2"/>
    <d v="1968-06-05T00:00:00"/>
    <x v="7"/>
    <d v="2024-02-23T00:00:00"/>
    <x v="7"/>
    <x v="4"/>
    <x v="3"/>
    <n v="2954000"/>
    <x v="0"/>
    <x v="1"/>
    <s v="Kampala"/>
    <n v="13"/>
    <s v="Recovered"/>
    <n v="56"/>
  </r>
  <r>
    <s v="P435"/>
    <s v="Natasha Romanoff"/>
    <x v="0"/>
    <d v="1975-09-23T00:00:00"/>
    <x v="28"/>
    <d v="2024-02-04T00:00:00"/>
    <x v="8"/>
    <x v="5"/>
    <x v="3"/>
    <n v="2270744"/>
    <x v="1"/>
    <x v="2"/>
    <s v="Kampala"/>
    <n v="13"/>
    <s v="Referred"/>
    <n v="49"/>
  </r>
  <r>
    <s v="P436"/>
    <s v="Tony Stark"/>
    <x v="1"/>
    <d v="1996-04-22T00:00:00"/>
    <x v="167"/>
    <s v="still admitted"/>
    <x v="9"/>
    <x v="5"/>
    <x v="2"/>
    <n v="4371748"/>
    <x v="0"/>
    <x v="2"/>
    <s v="Entebbe"/>
    <s v="Still Admitted"/>
    <s v="Recovered"/>
    <n v="28"/>
  </r>
  <r>
    <s v="P437"/>
    <s v="Jane Smith"/>
    <x v="1"/>
    <d v="1953-04-30T00:00:00"/>
    <x v="76"/>
    <d v="2024-06-08T00:00:00"/>
    <x v="1"/>
    <x v="1"/>
    <x v="3"/>
    <n v="4315500"/>
    <x v="0"/>
    <x v="2"/>
    <s v="Kampala"/>
    <n v="12"/>
    <s v="not stated"/>
    <n v="71"/>
  </r>
  <r>
    <s v="P438"/>
    <s v="David Kim"/>
    <x v="1"/>
    <d v="1986-03-29T00:00:00"/>
    <x v="5"/>
    <d v="2024-06-23T00:00:00"/>
    <x v="8"/>
    <x v="5"/>
    <x v="2"/>
    <n v="5386416"/>
    <x v="0"/>
    <x v="2"/>
    <s v="Kampala"/>
    <n v="10"/>
    <s v="Referred"/>
    <n v="38"/>
  </r>
  <r>
    <s v="P439"/>
    <s v="David Kim"/>
    <x v="0"/>
    <d v="1998-07-08T00:00:00"/>
    <x v="168"/>
    <d v="2024-02-29T00:00:00"/>
    <x v="6"/>
    <x v="0"/>
    <x v="0"/>
    <n v="549500"/>
    <x v="0"/>
    <x v="2"/>
    <s v="Jinja"/>
    <n v="5"/>
    <s v="Recovered"/>
    <n v="26"/>
  </r>
  <r>
    <s v="P440"/>
    <s v="Jane Smith"/>
    <x v="2"/>
    <d v="1983-06-18T00:00:00"/>
    <x v="37"/>
    <s v="still admitted"/>
    <x v="6"/>
    <x v="0"/>
    <x v="1"/>
    <n v="2678120"/>
    <x v="2"/>
    <x v="2"/>
    <s v="Kampala"/>
    <s v="Still Admitted"/>
    <s v="not stated"/>
    <n v="41"/>
  </r>
  <r>
    <s v="P441"/>
    <s v="Stephen Strange"/>
    <x v="2"/>
    <d v="2003-06-06T00:00:00"/>
    <x v="137"/>
    <d v="2024-04-12T00:00:00"/>
    <x v="1"/>
    <x v="1"/>
    <x v="3"/>
    <n v="2289604"/>
    <x v="0"/>
    <x v="0"/>
    <s v="Entebbe"/>
    <n v="13"/>
    <s v="not stated"/>
    <n v="21"/>
  </r>
  <r>
    <s v="P442"/>
    <s v="Tony Stark"/>
    <x v="0"/>
    <d v="1958-04-11T00:00:00"/>
    <x v="127"/>
    <d v="2024-04-26T00:00:00"/>
    <x v="8"/>
    <x v="5"/>
    <x v="4"/>
    <n v="3485328"/>
    <x v="0"/>
    <x v="2"/>
    <s v="Jinja"/>
    <n v="8"/>
    <s v="not stated"/>
    <n v="66"/>
  </r>
  <r>
    <s v="P443"/>
    <s v="Tony Stark"/>
    <x v="2"/>
    <d v="1964-08-11T00:00:00"/>
    <x v="117"/>
    <d v="2024-05-17T00:00:00"/>
    <x v="2"/>
    <x v="2"/>
    <x v="4"/>
    <n v="1286252"/>
    <x v="2"/>
    <x v="2"/>
    <s v="Kampala"/>
    <n v="8"/>
    <s v="Referred"/>
    <n v="60"/>
  </r>
  <r>
    <s v="P444"/>
    <s v="Scott Lang"/>
    <x v="2"/>
    <d v="1986-08-29T00:00:00"/>
    <x v="13"/>
    <d v="2024-02-01T00:00:00"/>
    <x v="7"/>
    <x v="4"/>
    <x v="1"/>
    <n v="3031000"/>
    <x v="0"/>
    <x v="2"/>
    <s v="Kampala"/>
    <n v="1"/>
    <s v="not stated"/>
    <n v="38"/>
  </r>
  <r>
    <s v="P445"/>
    <s v="Jane Smith"/>
    <x v="0"/>
    <d v="1975-06-08T00:00:00"/>
    <x v="125"/>
    <s v="still admitted"/>
    <x v="2"/>
    <x v="2"/>
    <x v="0"/>
    <n v="720452"/>
    <x v="2"/>
    <x v="2"/>
    <s v="Jinja"/>
    <s v="Still Admitted"/>
    <s v="Referred"/>
    <n v="49"/>
  </r>
  <r>
    <s v="P446"/>
    <s v="Scott Lang"/>
    <x v="1"/>
    <d v="1962-06-06T00:00:00"/>
    <x v="147"/>
    <s v="still admitted"/>
    <x v="8"/>
    <x v="5"/>
    <x v="2"/>
    <n v="5201588"/>
    <x v="2"/>
    <x v="0"/>
    <s v="Entebbe"/>
    <s v="Still Admitted"/>
    <s v="not stated"/>
    <n v="62"/>
  </r>
  <r>
    <s v="P447"/>
    <s v="Chris Evans"/>
    <x v="1"/>
    <d v="1957-12-10T00:00:00"/>
    <x v="169"/>
    <d v="2024-07-13T00:00:00"/>
    <x v="2"/>
    <x v="2"/>
    <x v="0"/>
    <n v="5348696"/>
    <x v="0"/>
    <x v="1"/>
    <s v="Jinja"/>
    <n v="13"/>
    <s v="Referred"/>
    <n v="67"/>
  </r>
  <r>
    <s v="P448"/>
    <s v="John Doe"/>
    <x v="0"/>
    <d v="2009-01-20T00:00:00"/>
    <x v="8"/>
    <d v="2024-01-09T00:00:00"/>
    <x v="7"/>
    <x v="4"/>
    <x v="4"/>
    <n v="4697000"/>
    <x v="2"/>
    <x v="1"/>
    <s v="Entebbe"/>
    <n v="4"/>
    <s v="Referred"/>
    <n v="15"/>
  </r>
  <r>
    <s v="P449"/>
    <s v="Linda White"/>
    <x v="1"/>
    <d v="1952-02-28T00:00:00"/>
    <x v="3"/>
    <s v="still admitted"/>
    <x v="7"/>
    <x v="4"/>
    <x v="0"/>
    <n v="2580048"/>
    <x v="0"/>
    <x v="2"/>
    <s v="Kampala"/>
    <s v="Still Admitted"/>
    <s v="Referred"/>
    <n v="72"/>
  </r>
  <r>
    <s v="P450"/>
    <s v="Linda White"/>
    <x v="0"/>
    <d v="2005-02-16T00:00:00"/>
    <x v="125"/>
    <d v="2024-02-21T00:00:00"/>
    <x v="7"/>
    <x v="4"/>
    <x v="0"/>
    <n v="3307500"/>
    <x v="0"/>
    <x v="2"/>
    <s v="Kampala"/>
    <n v="5"/>
    <s v="Recovered"/>
    <n v="19"/>
  </r>
  <r>
    <s v="P451"/>
    <s v="TChalla"/>
    <x v="1"/>
    <d v="1994-03-24T00:00:00"/>
    <x v="124"/>
    <s v="still admitted"/>
    <x v="10"/>
    <x v="6"/>
    <x v="1"/>
    <n v="882648"/>
    <x v="0"/>
    <x v="2"/>
    <s v="Jinja"/>
    <s v="Still Admitted"/>
    <s v="Recovered"/>
    <n v="30"/>
  </r>
  <r>
    <s v="P452"/>
    <s v="Stephen Strange"/>
    <x v="0"/>
    <d v="1959-02-09T00:00:00"/>
    <x v="99"/>
    <d v="2024-05-29T00:00:00"/>
    <x v="7"/>
    <x v="4"/>
    <x v="3"/>
    <n v="4239728"/>
    <x v="0"/>
    <x v="2"/>
    <s v="Jinja"/>
    <n v="7"/>
    <s v="Recovered"/>
    <n v="65"/>
  </r>
  <r>
    <s v="P453"/>
    <s v="Tony Stark"/>
    <x v="0"/>
    <d v="1990-07-12T00:00:00"/>
    <x v="148"/>
    <d v="2024-01-11T00:00:00"/>
    <x v="6"/>
    <x v="0"/>
    <x v="0"/>
    <n v="841156"/>
    <x v="0"/>
    <x v="2"/>
    <s v="Jinja"/>
    <n v="10"/>
    <s v="not stated"/>
    <n v="34"/>
  </r>
  <r>
    <s v="P454"/>
    <s v="TChalla"/>
    <x v="2"/>
    <d v="1995-10-14T00:00:00"/>
    <x v="80"/>
    <d v="2024-01-22T00:00:00"/>
    <x v="5"/>
    <x v="5"/>
    <x v="1"/>
    <n v="1323972"/>
    <x v="1"/>
    <x v="2"/>
    <s v="Entebbe"/>
    <n v="10"/>
    <s v="not stated"/>
    <n v="29"/>
  </r>
  <r>
    <s v="P455"/>
    <s v="Bruce Wayne"/>
    <x v="1"/>
    <d v="1973-06-13T00:00:00"/>
    <x v="33"/>
    <d v="2024-03-16T00:00:00"/>
    <x v="4"/>
    <x v="4"/>
    <x v="4"/>
    <n v="2911984"/>
    <x v="0"/>
    <x v="1"/>
    <s v="Jinja"/>
    <n v="6"/>
    <s v="Recovered"/>
    <n v="51"/>
  </r>
  <r>
    <s v="P456"/>
    <s v="Linda White"/>
    <x v="1"/>
    <d v="1999-11-12T00:00:00"/>
    <x v="81"/>
    <d v="2024-04-21T00:00:00"/>
    <x v="2"/>
    <x v="2"/>
    <x v="2"/>
    <n v="5563700"/>
    <x v="0"/>
    <x v="2"/>
    <s v="Entebbe"/>
    <n v="11"/>
    <s v="Referred"/>
    <n v="25"/>
  </r>
  <r>
    <s v="P457"/>
    <s v="John Doe"/>
    <x v="0"/>
    <d v="1991-07-06T00:00:00"/>
    <x v="121"/>
    <s v="still admitted"/>
    <x v="9"/>
    <x v="5"/>
    <x v="1"/>
    <n v="5225500"/>
    <x v="0"/>
    <x v="1"/>
    <s v="Jinja"/>
    <s v="Still Admitted"/>
    <s v="not stated"/>
    <n v="33"/>
  </r>
  <r>
    <s v="P458"/>
    <s v="Nancy Drew"/>
    <x v="1"/>
    <d v="1982-07-26T00:00:00"/>
    <x v="170"/>
    <d v="2024-03-24T00:00:00"/>
    <x v="9"/>
    <x v="5"/>
    <x v="2"/>
    <n v="5307204"/>
    <x v="0"/>
    <x v="2"/>
    <s v="Jinja"/>
    <n v="12"/>
    <s v="not stated"/>
    <n v="42"/>
  </r>
  <r>
    <s v="P459"/>
    <s v="TChalla"/>
    <x v="1"/>
    <d v="2004-02-05T00:00:00"/>
    <x v="26"/>
    <d v="2024-01-20T00:00:00"/>
    <x v="0"/>
    <x v="0"/>
    <x v="0"/>
    <n v="4098500"/>
    <x v="0"/>
    <x v="1"/>
    <s v="Jinja"/>
    <n v="3"/>
    <s v="Referred"/>
    <n v="20"/>
  </r>
  <r>
    <s v="P460"/>
    <s v="Stephen Strange"/>
    <x v="1"/>
    <d v="1950-03-06T00:00:00"/>
    <x v="5"/>
    <d v="2024-06-19T00:00:00"/>
    <x v="1"/>
    <x v="1"/>
    <x v="0"/>
    <n v="5627824"/>
    <x v="2"/>
    <x v="2"/>
    <s v="Jinja"/>
    <n v="6"/>
    <s v="not stated"/>
    <n v="74"/>
  </r>
  <r>
    <s v="P461"/>
    <s v="Jane Smith"/>
    <x v="0"/>
    <d v="1987-09-08T00:00:00"/>
    <x v="133"/>
    <d v="2024-03-27T00:00:00"/>
    <x v="0"/>
    <x v="0"/>
    <x v="0"/>
    <n v="2119864"/>
    <x v="0"/>
    <x v="0"/>
    <s v="Kampala"/>
    <n v="6"/>
    <s v="Referred"/>
    <n v="37"/>
  </r>
  <r>
    <s v="P462"/>
    <s v="Sarah Connor"/>
    <x v="0"/>
    <d v="1993-01-22T00:00:00"/>
    <x v="71"/>
    <d v="2024-01-11T00:00:00"/>
    <x v="10"/>
    <x v="6"/>
    <x v="1"/>
    <n v="738500"/>
    <x v="1"/>
    <x v="0"/>
    <s v="Kampala"/>
    <n v="4"/>
    <s v="Referred"/>
    <n v="31"/>
  </r>
  <r>
    <s v="P463"/>
    <s v="Steve Rogers"/>
    <x v="0"/>
    <d v="1961-03-14T00:00:00"/>
    <x v="104"/>
    <d v="2024-01-31T00:00:00"/>
    <x v="3"/>
    <x v="3"/>
    <x v="2"/>
    <n v="3790860"/>
    <x v="0"/>
    <x v="2"/>
    <s v="Kampala"/>
    <n v="15"/>
    <s v="Recovered"/>
    <n v="63"/>
  </r>
  <r>
    <s v="P464"/>
    <s v="Jane Smith"/>
    <x v="0"/>
    <d v="1984-03-22T00:00:00"/>
    <x v="96"/>
    <d v="2024-02-04T00:00:00"/>
    <x v="10"/>
    <x v="6"/>
    <x v="1"/>
    <n v="3681472"/>
    <x v="0"/>
    <x v="1"/>
    <s v="Entebbe"/>
    <n v="10"/>
    <s v="Recovered"/>
    <n v="40"/>
  </r>
  <r>
    <s v="P465"/>
    <s v="Sarah Connor"/>
    <x v="0"/>
    <d v="2003-05-25T00:00:00"/>
    <x v="134"/>
    <d v="2024-06-03T00:00:00"/>
    <x v="8"/>
    <x v="5"/>
    <x v="1"/>
    <n v="5171412"/>
    <x v="0"/>
    <x v="0"/>
    <s v="Kampala"/>
    <n v="3"/>
    <s v="Recovered"/>
    <n v="21"/>
  </r>
  <r>
    <s v="P466"/>
    <s v="TChalla"/>
    <x v="1"/>
    <d v="1996-01-14T00:00:00"/>
    <x v="50"/>
    <s v="still admitted"/>
    <x v="5"/>
    <x v="5"/>
    <x v="1"/>
    <n v="2436000"/>
    <x v="0"/>
    <x v="0"/>
    <s v="Kampala"/>
    <s v="Still Admitted"/>
    <s v="not stated"/>
    <n v="28"/>
  </r>
  <r>
    <s v="P467"/>
    <s v="Tony Stark"/>
    <x v="0"/>
    <d v="1967-07-14T00:00:00"/>
    <x v="171"/>
    <d v="2024-06-18T00:00:00"/>
    <x v="6"/>
    <x v="0"/>
    <x v="3"/>
    <n v="3699500"/>
    <x v="1"/>
    <x v="2"/>
    <s v="Jinja"/>
    <n v="6"/>
    <s v="Referred"/>
    <n v="57"/>
  </r>
  <r>
    <s v="P468"/>
    <s v="Sarah Connor"/>
    <x v="1"/>
    <d v="1953-10-14T00:00:00"/>
    <x v="65"/>
    <d v="2024-03-09T00:00:00"/>
    <x v="10"/>
    <x v="6"/>
    <x v="0"/>
    <n v="2221708"/>
    <x v="0"/>
    <x v="2"/>
    <s v="Kampala"/>
    <n v="12"/>
    <s v="Recovered"/>
    <n v="71"/>
  </r>
  <r>
    <s v="P469"/>
    <s v="John Doe"/>
    <x v="0"/>
    <d v="1982-02-09T00:00:00"/>
    <x v="99"/>
    <s v="still admitted"/>
    <x v="10"/>
    <x v="6"/>
    <x v="3"/>
    <n v="4546500"/>
    <x v="0"/>
    <x v="1"/>
    <s v="Kampala"/>
    <s v="Still Admitted"/>
    <s v="Recovered"/>
    <n v="42"/>
  </r>
  <r>
    <s v="P470"/>
    <s v="Chris Evans"/>
    <x v="1"/>
    <d v="1965-08-20T00:00:00"/>
    <x v="42"/>
    <d v="2024-05-22T00:00:00"/>
    <x v="5"/>
    <x v="5"/>
    <x v="0"/>
    <n v="5608964"/>
    <x v="2"/>
    <x v="1"/>
    <s v="Entebbe"/>
    <n v="1"/>
    <s v="Referred"/>
    <n v="59"/>
  </r>
  <r>
    <s v="P471"/>
    <s v="Clark Kent"/>
    <x v="2"/>
    <d v="1983-05-29T00:00:00"/>
    <x v="62"/>
    <d v="2024-05-16T00:00:00"/>
    <x v="3"/>
    <x v="3"/>
    <x v="2"/>
    <n v="1840736"/>
    <x v="1"/>
    <x v="2"/>
    <s v="Jinja"/>
    <n v="2"/>
    <s v="Referred"/>
    <n v="41"/>
  </r>
  <r>
    <s v="P472"/>
    <s v="Nancy Drew"/>
    <x v="0"/>
    <d v="2005-04-08T00:00:00"/>
    <x v="2"/>
    <d v="2024-05-23T00:00:00"/>
    <x v="9"/>
    <x v="5"/>
    <x v="2"/>
    <n v="2538556"/>
    <x v="1"/>
    <x v="2"/>
    <s v="Kampala"/>
    <n v="6"/>
    <s v="Referred"/>
    <n v="19"/>
  </r>
  <r>
    <s v="P473"/>
    <s v="Scott Lang"/>
    <x v="0"/>
    <d v="1965-01-08T00:00:00"/>
    <x v="32"/>
    <d v="2024-06-22T00:00:00"/>
    <x v="8"/>
    <x v="5"/>
    <x v="1"/>
    <n v="4435872"/>
    <x v="2"/>
    <x v="2"/>
    <s v="Entebbe"/>
    <n v="8"/>
    <s v="not stated"/>
    <n v="59"/>
  </r>
  <r>
    <s v="P474"/>
    <s v="Jane Smith"/>
    <x v="1"/>
    <d v="1969-09-11T00:00:00"/>
    <x v="147"/>
    <d v="2024-04-30T00:00:00"/>
    <x v="1"/>
    <x v="1"/>
    <x v="0"/>
    <n v="3031000"/>
    <x v="1"/>
    <x v="1"/>
    <s v="Kampala"/>
    <n v="5"/>
    <s v="Referred"/>
    <n v="55"/>
  </r>
  <r>
    <s v="P475"/>
    <s v="Clark Kent"/>
    <x v="1"/>
    <d v="2002-05-23T00:00:00"/>
    <x v="29"/>
    <d v="2024-05-07T00:00:00"/>
    <x v="1"/>
    <x v="1"/>
    <x v="2"/>
    <n v="3913000"/>
    <x v="0"/>
    <x v="2"/>
    <s v="Kampala"/>
    <n v="8"/>
    <s v="Recovered"/>
    <n v="22"/>
  </r>
  <r>
    <s v="P476"/>
    <s v="Michael Brown"/>
    <x v="0"/>
    <d v="1957-05-24T00:00:00"/>
    <x v="77"/>
    <d v="2024-05-23T00:00:00"/>
    <x v="7"/>
    <x v="4"/>
    <x v="0"/>
    <n v="3157164"/>
    <x v="1"/>
    <x v="0"/>
    <s v="Entebbe"/>
    <n v="15"/>
    <s v="Referred"/>
    <n v="67"/>
  </r>
  <r>
    <s v="P477"/>
    <s v="Peter Parker"/>
    <x v="1"/>
    <d v="1974-08-16T00:00:00"/>
    <x v="156"/>
    <d v="2024-07-12T00:00:00"/>
    <x v="9"/>
    <x v="5"/>
    <x v="1"/>
    <n v="2369500"/>
    <x v="2"/>
    <x v="2"/>
    <s v="Jinja"/>
    <n v="13"/>
    <s v="Referred"/>
    <n v="50"/>
  </r>
  <r>
    <s v="P478"/>
    <s v="Wanda Maximoff"/>
    <x v="2"/>
    <d v="1963-05-24T00:00:00"/>
    <x v="172"/>
    <d v="2024-03-03T00:00:00"/>
    <x v="4"/>
    <x v="4"/>
    <x v="4"/>
    <n v="4643332"/>
    <x v="2"/>
    <x v="2"/>
    <s v="Kampala"/>
    <n v="4"/>
    <s v="Referred"/>
    <n v="61"/>
  </r>
  <r>
    <s v="P479"/>
    <s v="Tony Stark"/>
    <x v="1"/>
    <d v="1989-05-10T00:00:00"/>
    <x v="99"/>
    <d v="2024-06-01T00:00:00"/>
    <x v="5"/>
    <x v="5"/>
    <x v="0"/>
    <n v="3930500"/>
    <x v="0"/>
    <x v="0"/>
    <s v="Entebbe"/>
    <n v="10"/>
    <s v="Referred"/>
    <n v="35"/>
  </r>
  <r>
    <s v="P480"/>
    <s v="Stephen Strange"/>
    <x v="0"/>
    <d v="1979-04-03T00:00:00"/>
    <x v="97"/>
    <d v="2024-05-28T00:00:00"/>
    <x v="0"/>
    <x v="0"/>
    <x v="2"/>
    <n v="5031848"/>
    <x v="2"/>
    <x v="0"/>
    <s v="Entebbe"/>
    <n v="3"/>
    <s v="Referred"/>
    <n v="45"/>
  </r>
  <r>
    <s v="P481"/>
    <s v="Natasha Romanoff"/>
    <x v="0"/>
    <d v="1979-07-03T00:00:00"/>
    <x v="171"/>
    <s v="still admitted"/>
    <x v="7"/>
    <x v="4"/>
    <x v="4"/>
    <n v="1746436"/>
    <x v="1"/>
    <x v="2"/>
    <s v="Kampala"/>
    <s v="Still Admitted"/>
    <s v="Recovered"/>
    <n v="45"/>
  </r>
  <r>
    <s v="P482"/>
    <s v="Peter Parker"/>
    <x v="1"/>
    <d v="1970-11-28T00:00:00"/>
    <x v="56"/>
    <d v="2024-06-23T00:00:00"/>
    <x v="3"/>
    <x v="3"/>
    <x v="2"/>
    <n v="3549452"/>
    <x v="0"/>
    <x v="1"/>
    <s v="Kampala"/>
    <n v="6"/>
    <s v="not stated"/>
    <n v="54"/>
  </r>
  <r>
    <s v="P483"/>
    <s v="Diana Prince"/>
    <x v="2"/>
    <d v="1968-07-10T00:00:00"/>
    <x v="93"/>
    <d v="2024-03-05T00:00:00"/>
    <x v="3"/>
    <x v="3"/>
    <x v="4"/>
    <n v="2772420"/>
    <x v="1"/>
    <x v="2"/>
    <s v="Entebbe"/>
    <n v="12"/>
    <s v="Recovered"/>
    <n v="56"/>
  </r>
  <r>
    <s v="P484"/>
    <s v="Michael Brown"/>
    <x v="2"/>
    <d v="1985-10-26T00:00:00"/>
    <x v="62"/>
    <d v="2024-05-29T00:00:00"/>
    <x v="10"/>
    <x v="6"/>
    <x v="4"/>
    <n v="678960"/>
    <x v="0"/>
    <x v="2"/>
    <s v="Entebbe"/>
    <n v="15"/>
    <s v="Referred"/>
    <n v="39"/>
  </r>
  <r>
    <s v="P485"/>
    <s v="Scott Lang"/>
    <x v="2"/>
    <d v="1965-09-17T00:00:00"/>
    <x v="87"/>
    <d v="2024-03-16T00:00:00"/>
    <x v="10"/>
    <x v="6"/>
    <x v="3"/>
    <n v="1791700"/>
    <x v="2"/>
    <x v="1"/>
    <s v="Kampala"/>
    <n v="12"/>
    <s v="Referred"/>
    <n v="59"/>
  </r>
  <r>
    <s v="P486"/>
    <s v="Stephen Strange"/>
    <x v="0"/>
    <d v="2009-10-23T00:00:00"/>
    <x v="173"/>
    <d v="2024-07-04T00:00:00"/>
    <x v="8"/>
    <x v="5"/>
    <x v="2"/>
    <n v="1102500"/>
    <x v="2"/>
    <x v="2"/>
    <s v="Kampala"/>
    <n v="7"/>
    <s v="not stated"/>
    <n v="15"/>
  </r>
  <r>
    <s v="P487"/>
    <s v="Steve Rogers"/>
    <x v="0"/>
    <d v="1956-07-26T00:00:00"/>
    <x v="3"/>
    <d v="2024-04-21T00:00:00"/>
    <x v="1"/>
    <x v="1"/>
    <x v="0"/>
    <n v="2312236"/>
    <x v="0"/>
    <x v="2"/>
    <s v="Jinja"/>
    <n v="14"/>
    <s v="Referred"/>
    <n v="68"/>
  </r>
  <r>
    <s v="P488"/>
    <s v="Michael Brown"/>
    <x v="0"/>
    <d v="2008-12-11T00:00:00"/>
    <x v="15"/>
    <d v="2024-04-27T00:00:00"/>
    <x v="3"/>
    <x v="3"/>
    <x v="0"/>
    <n v="5065796"/>
    <x v="0"/>
    <x v="2"/>
    <s v="Kampala"/>
    <n v="5"/>
    <s v="Recovered"/>
    <n v="16"/>
  </r>
  <r>
    <s v="P489"/>
    <s v="John Doe"/>
    <x v="1"/>
    <d v="1974-07-07T00:00:00"/>
    <x v="15"/>
    <d v="2024-05-04T00:00:00"/>
    <x v="6"/>
    <x v="0"/>
    <x v="0"/>
    <n v="3790860"/>
    <x v="1"/>
    <x v="1"/>
    <s v="Entebbe"/>
    <n v="12"/>
    <s v="Recovered"/>
    <n v="50"/>
  </r>
  <r>
    <s v="P490"/>
    <s v="John Doe"/>
    <x v="0"/>
    <d v="1983-11-10T00:00:00"/>
    <x v="87"/>
    <d v="2024-03-08T00:00:00"/>
    <x v="9"/>
    <x v="5"/>
    <x v="0"/>
    <n v="451500"/>
    <x v="0"/>
    <x v="1"/>
    <s v="Kampala"/>
    <n v="4"/>
    <s v="not stated"/>
    <n v="41"/>
  </r>
  <r>
    <s v="P491"/>
    <s v="Linda White"/>
    <x v="0"/>
    <d v="1987-04-18T00:00:00"/>
    <x v="98"/>
    <d v="2024-03-28T00:00:00"/>
    <x v="2"/>
    <x v="2"/>
    <x v="1"/>
    <n v="1308884"/>
    <x v="0"/>
    <x v="1"/>
    <s v="Entebbe"/>
    <n v="4"/>
    <s v="Referred"/>
    <n v="37"/>
  </r>
  <r>
    <s v="P492"/>
    <s v="Bruce Wayne"/>
    <x v="0"/>
    <d v="1984-11-30T00:00:00"/>
    <x v="14"/>
    <s v="still admitted"/>
    <x v="5"/>
    <x v="5"/>
    <x v="4"/>
    <n v="3225060"/>
    <x v="0"/>
    <x v="0"/>
    <s v="Entebbe"/>
    <s v="Still Admitted"/>
    <s v="Referred"/>
    <n v="40"/>
  </r>
  <r>
    <s v="P493"/>
    <s v="Stephen Strange"/>
    <x v="2"/>
    <d v="2001-01-24T00:00:00"/>
    <x v="140"/>
    <d v="2024-03-16T00:00:00"/>
    <x v="6"/>
    <x v="0"/>
    <x v="3"/>
    <n v="1302000"/>
    <x v="0"/>
    <x v="2"/>
    <s v="Jinja"/>
    <n v="11"/>
    <s v="Recovered"/>
    <n v="23"/>
  </r>
  <r>
    <s v="P494"/>
    <s v="TChalla"/>
    <x v="1"/>
    <d v="1984-04-21T00:00:00"/>
    <x v="77"/>
    <d v="2024-05-18T00:00:00"/>
    <x v="5"/>
    <x v="5"/>
    <x v="3"/>
    <n v="3685244"/>
    <x v="1"/>
    <x v="1"/>
    <s v="Kampala"/>
    <n v="10"/>
    <s v="Referred"/>
    <n v="40"/>
  </r>
  <r>
    <s v="P495"/>
    <s v="James Bond"/>
    <x v="1"/>
    <d v="1983-09-17T00:00:00"/>
    <x v="5"/>
    <d v="2024-06-25T00:00:00"/>
    <x v="8"/>
    <x v="5"/>
    <x v="1"/>
    <n v="2829000"/>
    <x v="1"/>
    <x v="2"/>
    <s v="Jinja"/>
    <n v="12"/>
    <s v="Recovered"/>
    <n v="41"/>
  </r>
  <r>
    <s v="P496"/>
    <s v="Bruce Wayne"/>
    <x v="0"/>
    <d v="1971-09-26T00:00:00"/>
    <x v="153"/>
    <d v="2024-05-29T00:00:00"/>
    <x v="6"/>
    <x v="0"/>
    <x v="3"/>
    <n v="2093460"/>
    <x v="1"/>
    <x v="2"/>
    <s v="Kampala"/>
    <n v="11"/>
    <s v="Recovered"/>
    <n v="53"/>
  </r>
  <r>
    <s v="P497"/>
    <s v="Michael Brown"/>
    <x v="1"/>
    <d v="1954-09-04T00:00:00"/>
    <x v="93"/>
    <s v="still admitted"/>
    <x v="0"/>
    <x v="0"/>
    <x v="2"/>
    <n v="1953896"/>
    <x v="1"/>
    <x v="1"/>
    <s v="Entebbe"/>
    <s v="Still Admitted"/>
    <s v="Recovered"/>
    <n v="70"/>
  </r>
  <r>
    <s v="P498"/>
    <s v="James Bond"/>
    <x v="1"/>
    <d v="1988-01-16T00:00:00"/>
    <x v="78"/>
    <d v="2024-06-14T00:00:00"/>
    <x v="6"/>
    <x v="0"/>
    <x v="1"/>
    <n v="4092620"/>
    <x v="0"/>
    <x v="2"/>
    <s v="Entebbe"/>
    <n v="10"/>
    <s v="Referred"/>
    <n v="36"/>
  </r>
  <r>
    <s v="P499"/>
    <s v="Wanda Maximoff"/>
    <x v="0"/>
    <d v="1988-11-19T00:00:00"/>
    <x v="101"/>
    <d v="2024-05-10T00:00:00"/>
    <x v="5"/>
    <x v="5"/>
    <x v="4"/>
    <n v="1554064"/>
    <x v="0"/>
    <x v="2"/>
    <s v="Entebbe"/>
    <n v="7"/>
    <s v="Referred"/>
    <n v="36"/>
  </r>
  <r>
    <s v="P500"/>
    <s v="Scott Lang"/>
    <x v="1"/>
    <d v="1956-06-15T00:00:00"/>
    <x v="73"/>
    <d v="2024-02-19T00:00:00"/>
    <x v="9"/>
    <x v="5"/>
    <x v="2"/>
    <n v="3937500"/>
    <x v="2"/>
    <x v="2"/>
    <s v="Entebbe"/>
    <n v="15"/>
    <s v="Referred"/>
    <n v="68"/>
  </r>
  <r>
    <s v="P501"/>
    <s v="Natasha Romanoff"/>
    <x v="0"/>
    <d v="2007-07-06T00:00:00"/>
    <x v="174"/>
    <d v="2024-04-16T00:00:00"/>
    <x v="0"/>
    <x v="0"/>
    <x v="0"/>
    <n v="3475500"/>
    <x v="0"/>
    <x v="2"/>
    <s v="Jinja"/>
    <n v="2"/>
    <s v="Recovered"/>
    <n v="17"/>
  </r>
  <r>
    <s v="P502"/>
    <s v="Diana Prince"/>
    <x v="1"/>
    <d v="1972-02-21T00:00:00"/>
    <x v="35"/>
    <d v="2024-05-08T00:00:00"/>
    <x v="6"/>
    <x v="0"/>
    <x v="0"/>
    <n v="2395220"/>
    <x v="0"/>
    <x v="2"/>
    <s v="Kampala"/>
    <n v="6"/>
    <s v="Recovered"/>
    <n v="52"/>
  </r>
  <r>
    <s v="P503"/>
    <s v="Sarah Connor"/>
    <x v="2"/>
    <d v="1958-04-13T00:00:00"/>
    <x v="54"/>
    <d v="2024-04-15T00:00:00"/>
    <x v="3"/>
    <x v="3"/>
    <x v="1"/>
    <n v="2159500"/>
    <x v="1"/>
    <x v="2"/>
    <s v="Jinja"/>
    <n v="4"/>
    <s v="not stated"/>
    <n v="66"/>
  </r>
  <r>
    <s v="P504"/>
    <s v="Sarah Connor"/>
    <x v="1"/>
    <d v="2001-05-16T00:00:00"/>
    <x v="109"/>
    <d v="2024-02-21T00:00:00"/>
    <x v="5"/>
    <x v="5"/>
    <x v="0"/>
    <n v="4175604"/>
    <x v="0"/>
    <x v="1"/>
    <s v="Jinja"/>
    <n v="15"/>
    <s v="not stated"/>
    <n v="23"/>
  </r>
  <r>
    <s v="P505"/>
    <s v="Tony Stark"/>
    <x v="1"/>
    <d v="1965-10-29T00:00:00"/>
    <x v="95"/>
    <d v="2024-02-20T00:00:00"/>
    <x v="10"/>
    <x v="6"/>
    <x v="2"/>
    <n v="2018020"/>
    <x v="0"/>
    <x v="1"/>
    <s v="Jinja"/>
    <n v="3"/>
    <s v="Recovered"/>
    <n v="59"/>
  </r>
  <r>
    <s v="P506"/>
    <s v="Tony Stark"/>
    <x v="1"/>
    <d v="2006-03-28T00:00:00"/>
    <x v="138"/>
    <s v="still admitted"/>
    <x v="7"/>
    <x v="4"/>
    <x v="0"/>
    <n v="2512152"/>
    <x v="0"/>
    <x v="1"/>
    <s v="Jinja"/>
    <s v="Still Admitted"/>
    <s v="Referred"/>
    <n v="18"/>
  </r>
  <r>
    <s v="P507"/>
    <s v="Sarah Connor"/>
    <x v="0"/>
    <d v="1955-06-24T00:00:00"/>
    <x v="175"/>
    <s v="still admitted"/>
    <x v="2"/>
    <x v="2"/>
    <x v="0"/>
    <n v="3041500"/>
    <x v="2"/>
    <x v="2"/>
    <s v="Entebbe"/>
    <s v="Still Admitted"/>
    <s v="Referred"/>
    <n v="69"/>
  </r>
  <r>
    <s v="P508"/>
    <s v="Bruce Wayne"/>
    <x v="0"/>
    <d v="1971-07-01T00:00:00"/>
    <x v="176"/>
    <d v="2024-06-20T00:00:00"/>
    <x v="8"/>
    <x v="5"/>
    <x v="0"/>
    <n v="399832"/>
    <x v="2"/>
    <x v="0"/>
    <s v="Kampala"/>
    <n v="1"/>
    <s v="not stated"/>
    <n v="53"/>
  </r>
  <r>
    <s v="P509"/>
    <s v="Nancy Drew"/>
    <x v="0"/>
    <d v="1990-07-18T00:00:00"/>
    <x v="160"/>
    <d v="2024-05-12T00:00:00"/>
    <x v="9"/>
    <x v="5"/>
    <x v="1"/>
    <n v="675500"/>
    <x v="2"/>
    <x v="0"/>
    <s v="Jinja"/>
    <n v="1"/>
    <s v="not stated"/>
    <n v="34"/>
  </r>
  <r>
    <s v="P510"/>
    <s v="Clark Kent"/>
    <x v="1"/>
    <d v="1992-09-18T00:00:00"/>
    <x v="43"/>
    <d v="2024-04-20T00:00:00"/>
    <x v="2"/>
    <x v="2"/>
    <x v="2"/>
    <n v="4273676"/>
    <x v="0"/>
    <x v="2"/>
    <s v="Kampala"/>
    <n v="12"/>
    <s v="not stated"/>
    <n v="32"/>
  </r>
  <r>
    <s v="P511"/>
    <s v="Linda White"/>
    <x v="1"/>
    <d v="1960-05-18T00:00:00"/>
    <x v="45"/>
    <d v="2024-06-21T00:00:00"/>
    <x v="7"/>
    <x v="4"/>
    <x v="3"/>
    <n v="599748"/>
    <x v="0"/>
    <x v="2"/>
    <s v="Entebbe"/>
    <n v="3"/>
    <s v="Referred"/>
    <n v="64"/>
  </r>
  <r>
    <s v="P512"/>
    <s v="Natasha Romanoff"/>
    <x v="1"/>
    <d v="1961-01-16T00:00:00"/>
    <x v="141"/>
    <s v="still admitted"/>
    <x v="8"/>
    <x v="5"/>
    <x v="0"/>
    <n v="4824388"/>
    <x v="0"/>
    <x v="2"/>
    <s v="Jinja"/>
    <s v="Still Admitted"/>
    <s v="Referred"/>
    <n v="63"/>
  </r>
  <r>
    <s v="P513"/>
    <s v="Stephen Strange"/>
    <x v="2"/>
    <d v="1989-03-15T00:00:00"/>
    <x v="0"/>
    <s v="still admitted"/>
    <x v="7"/>
    <x v="4"/>
    <x v="0"/>
    <n v="3002512"/>
    <x v="0"/>
    <x v="2"/>
    <s v="Kampala"/>
    <s v="Still Admitted"/>
    <s v="not stated"/>
    <n v="35"/>
  </r>
  <r>
    <s v="P514"/>
    <s v="John Doe"/>
    <x v="0"/>
    <d v="1955-07-21T00:00:00"/>
    <x v="116"/>
    <d v="2024-04-15T00:00:00"/>
    <x v="2"/>
    <x v="2"/>
    <x v="4"/>
    <n v="4937548"/>
    <x v="0"/>
    <x v="2"/>
    <s v="Kampala"/>
    <n v="6"/>
    <s v="Referred"/>
    <n v="69"/>
  </r>
  <r>
    <s v="P515"/>
    <s v="Peter Parker"/>
    <x v="2"/>
    <d v="1969-08-22T00:00:00"/>
    <x v="100"/>
    <s v="still admitted"/>
    <x v="5"/>
    <x v="5"/>
    <x v="3"/>
    <n v="5514664"/>
    <x v="1"/>
    <x v="2"/>
    <s v="Entebbe"/>
    <s v="Still Admitted"/>
    <s v="Recovered"/>
    <n v="55"/>
  </r>
  <r>
    <s v="P516"/>
    <s v="TChalla"/>
    <x v="1"/>
    <d v="2006-08-14T00:00:00"/>
    <x v="105"/>
    <d v="2024-05-13T00:00:00"/>
    <x v="8"/>
    <x v="5"/>
    <x v="2"/>
    <n v="2002932"/>
    <x v="0"/>
    <x v="0"/>
    <s v="Entebbe"/>
    <n v="7"/>
    <s v="not stated"/>
    <n v="18"/>
  </r>
  <r>
    <s v="P517"/>
    <s v="John Doe"/>
    <x v="0"/>
    <d v="1985-03-12T00:00:00"/>
    <x v="127"/>
    <d v="2024-05-01T00:00:00"/>
    <x v="1"/>
    <x v="1"/>
    <x v="4"/>
    <n v="2376500"/>
    <x v="0"/>
    <x v="2"/>
    <s v="Kampala"/>
    <n v="13"/>
    <s v="not stated"/>
    <n v="39"/>
  </r>
  <r>
    <s v="P518"/>
    <s v="Peter Parker"/>
    <x v="1"/>
    <d v="2008-09-24T00:00:00"/>
    <x v="76"/>
    <d v="2024-06-04T00:00:00"/>
    <x v="3"/>
    <x v="3"/>
    <x v="0"/>
    <n v="1886000"/>
    <x v="0"/>
    <x v="1"/>
    <s v="Jinja"/>
    <n v="8"/>
    <s v="Recovered"/>
    <n v="16"/>
  </r>
  <r>
    <s v="P519"/>
    <s v="Tony Stark"/>
    <x v="1"/>
    <d v="1965-02-03T00:00:00"/>
    <x v="96"/>
    <d v="2024-01-28T00:00:00"/>
    <x v="7"/>
    <x v="4"/>
    <x v="3"/>
    <n v="2991196"/>
    <x v="0"/>
    <x v="2"/>
    <s v="Kampala"/>
    <n v="3"/>
    <s v="Recovered"/>
    <n v="59"/>
  </r>
  <r>
    <s v="P520"/>
    <s v="Natasha Romanoff"/>
    <x v="0"/>
    <d v="2003-06-26T00:00:00"/>
    <x v="53"/>
    <d v="2024-06-29T00:00:00"/>
    <x v="10"/>
    <x v="6"/>
    <x v="2"/>
    <n v="5397732"/>
    <x v="0"/>
    <x v="2"/>
    <s v="Entebbe"/>
    <n v="13"/>
    <s v="Recovered"/>
    <n v="21"/>
  </r>
  <r>
    <s v="P521"/>
    <s v="Sarah Connor"/>
    <x v="1"/>
    <d v="2007-07-18T00:00:00"/>
    <x v="113"/>
    <d v="2024-01-18T00:00:00"/>
    <x v="0"/>
    <x v="0"/>
    <x v="1"/>
    <n v="4115252"/>
    <x v="0"/>
    <x v="0"/>
    <s v="Kampala"/>
    <n v="12"/>
    <s v="not stated"/>
    <n v="17"/>
  </r>
  <r>
    <s v="P522"/>
    <s v="Diana Prince"/>
    <x v="2"/>
    <d v="1951-10-10T00:00:00"/>
    <x v="99"/>
    <s v="still admitted"/>
    <x v="0"/>
    <x v="0"/>
    <x v="3"/>
    <n v="5409048"/>
    <x v="0"/>
    <x v="1"/>
    <s v="Kampala"/>
    <s v="Still Admitted"/>
    <s v="Recovered"/>
    <n v="73"/>
  </r>
  <r>
    <s v="P523"/>
    <s v="Stephen Strange"/>
    <x v="1"/>
    <d v="1978-03-13T00:00:00"/>
    <x v="155"/>
    <d v="2024-01-22T00:00:00"/>
    <x v="7"/>
    <x v="4"/>
    <x v="1"/>
    <n v="645012"/>
    <x v="0"/>
    <x v="2"/>
    <s v="Entebbe"/>
    <n v="11"/>
    <s v="Referred"/>
    <n v="46"/>
  </r>
  <r>
    <s v="P524"/>
    <s v="John Doe"/>
    <x v="1"/>
    <d v="1976-12-20T00:00:00"/>
    <x v="41"/>
    <d v="2024-05-20T00:00:00"/>
    <x v="0"/>
    <x v="0"/>
    <x v="3"/>
    <n v="2590000"/>
    <x v="1"/>
    <x v="0"/>
    <s v="Jinja"/>
    <n v="8"/>
    <s v="Recovered"/>
    <n v="48"/>
  </r>
  <r>
    <s v="P525"/>
    <s v="Jane Smith"/>
    <x v="1"/>
    <d v="1962-09-17T00:00:00"/>
    <x v="112"/>
    <d v="2024-02-29T00:00:00"/>
    <x v="5"/>
    <x v="5"/>
    <x v="3"/>
    <n v="5182728"/>
    <x v="0"/>
    <x v="2"/>
    <s v="Entebbe"/>
    <n v="4"/>
    <s v="Recovered"/>
    <n v="62"/>
  </r>
  <r>
    <s v="P526"/>
    <s v="Steve Rogers"/>
    <x v="0"/>
    <d v="1972-10-20T00:00:00"/>
    <x v="107"/>
    <d v="2024-06-28T00:00:00"/>
    <x v="6"/>
    <x v="0"/>
    <x v="3"/>
    <n v="1729000"/>
    <x v="1"/>
    <x v="0"/>
    <s v="Entebbe"/>
    <n v="2"/>
    <s v="Referred"/>
    <n v="52"/>
  </r>
  <r>
    <s v="P527"/>
    <s v="John Doe"/>
    <x v="0"/>
    <d v="1972-03-16T00:00:00"/>
    <x v="33"/>
    <d v="2024-03-21T00:00:00"/>
    <x v="7"/>
    <x v="4"/>
    <x v="3"/>
    <n v="987000"/>
    <x v="0"/>
    <x v="2"/>
    <s v="Kampala"/>
    <n v="11"/>
    <s v="Referred"/>
    <n v="52"/>
  </r>
  <r>
    <s v="P528"/>
    <s v="Sarah Connor"/>
    <x v="1"/>
    <d v="1969-12-08T00:00:00"/>
    <x v="166"/>
    <d v="2024-02-08T00:00:00"/>
    <x v="0"/>
    <x v="0"/>
    <x v="2"/>
    <n v="4156744"/>
    <x v="1"/>
    <x v="2"/>
    <s v="Jinja"/>
    <n v="12"/>
    <s v="not stated"/>
    <n v="55"/>
  </r>
  <r>
    <s v="P529"/>
    <s v="Scott Lang"/>
    <x v="0"/>
    <d v="1954-04-21T00:00:00"/>
    <x v="102"/>
    <d v="2024-04-04T00:00:00"/>
    <x v="10"/>
    <x v="6"/>
    <x v="0"/>
    <n v="2376360"/>
    <x v="1"/>
    <x v="0"/>
    <s v="Jinja"/>
    <n v="13"/>
    <s v="Referred"/>
    <n v="70"/>
  </r>
  <r>
    <s v="P530"/>
    <s v="Chris Evans"/>
    <x v="0"/>
    <d v="2007-05-07T00:00:00"/>
    <x v="169"/>
    <d v="2024-07-07T00:00:00"/>
    <x v="3"/>
    <x v="3"/>
    <x v="1"/>
    <n v="3706500"/>
    <x v="0"/>
    <x v="2"/>
    <s v="Jinja"/>
    <n v="7"/>
    <s v="Recovered"/>
    <n v="17"/>
  </r>
  <r>
    <s v="P531"/>
    <s v="Michael Brown"/>
    <x v="0"/>
    <d v="1986-06-21T00:00:00"/>
    <x v="12"/>
    <s v="still admitted"/>
    <x v="4"/>
    <x v="4"/>
    <x v="0"/>
    <n v="4820616"/>
    <x v="0"/>
    <x v="2"/>
    <s v="Jinja"/>
    <s v="Still Admitted"/>
    <s v="Recovered"/>
    <n v="38"/>
  </r>
  <r>
    <s v="P532"/>
    <s v="Wanda Maximoff"/>
    <x v="1"/>
    <d v="1962-03-29T00:00:00"/>
    <x v="139"/>
    <d v="2024-05-17T00:00:00"/>
    <x v="9"/>
    <x v="5"/>
    <x v="1"/>
    <n v="4179000"/>
    <x v="0"/>
    <x v="1"/>
    <s v="Jinja"/>
    <n v="10"/>
    <s v="not stated"/>
    <n v="62"/>
  </r>
  <r>
    <s v="P533"/>
    <s v="Nancy Drew"/>
    <x v="1"/>
    <d v="1956-09-27T00:00:00"/>
    <x v="73"/>
    <d v="2024-02-11T00:00:00"/>
    <x v="1"/>
    <x v="1"/>
    <x v="1"/>
    <n v="1158500"/>
    <x v="0"/>
    <x v="1"/>
    <s v="Entebbe"/>
    <n v="7"/>
    <s v="Referred"/>
    <n v="68"/>
  </r>
  <r>
    <s v="P534"/>
    <s v="James Bond"/>
    <x v="0"/>
    <d v="2006-08-17T00:00:00"/>
    <x v="112"/>
    <d v="2024-03-07T00:00:00"/>
    <x v="10"/>
    <x v="6"/>
    <x v="2"/>
    <n v="4145428"/>
    <x v="0"/>
    <x v="1"/>
    <s v="Jinja"/>
    <n v="11"/>
    <s v="Referred"/>
    <n v="18"/>
  </r>
  <r>
    <s v="P535"/>
    <s v="John Doe"/>
    <x v="0"/>
    <d v="1966-09-14T00:00:00"/>
    <x v="18"/>
    <s v="still admitted"/>
    <x v="10"/>
    <x v="6"/>
    <x v="0"/>
    <n v="4462276"/>
    <x v="2"/>
    <x v="1"/>
    <s v="Entebbe"/>
    <s v="Still Admitted"/>
    <s v="not stated"/>
    <n v="58"/>
  </r>
  <r>
    <s v="P536"/>
    <s v="Nancy Drew"/>
    <x v="1"/>
    <d v="1985-06-21T00:00:00"/>
    <x v="114"/>
    <d v="2024-03-20T00:00:00"/>
    <x v="7"/>
    <x v="4"/>
    <x v="3"/>
    <n v="3768228"/>
    <x v="0"/>
    <x v="2"/>
    <s v="Jinja"/>
    <n v="3"/>
    <s v="not stated"/>
    <n v="39"/>
  </r>
  <r>
    <s v="P537"/>
    <s v="Sarah Connor"/>
    <x v="1"/>
    <d v="1975-07-24T00:00:00"/>
    <x v="73"/>
    <d v="2024-02-10T00:00:00"/>
    <x v="3"/>
    <x v="3"/>
    <x v="0"/>
    <n v="3783500"/>
    <x v="0"/>
    <x v="2"/>
    <s v="Entebbe"/>
    <n v="6"/>
    <s v="not stated"/>
    <n v="49"/>
  </r>
  <r>
    <s v="P538"/>
    <s v="David Kim"/>
    <x v="0"/>
    <d v="1985-11-16T00:00:00"/>
    <x v="63"/>
    <d v="2024-02-16T00:00:00"/>
    <x v="3"/>
    <x v="3"/>
    <x v="1"/>
    <n v="4239728"/>
    <x v="0"/>
    <x v="1"/>
    <s v="Jinja"/>
    <n v="13"/>
    <s v="not stated"/>
    <n v="39"/>
  </r>
  <r>
    <s v="P539"/>
    <s v="John Doe"/>
    <x v="1"/>
    <d v="1993-01-29T00:00:00"/>
    <x v="164"/>
    <s v="still admitted"/>
    <x v="1"/>
    <x v="1"/>
    <x v="4"/>
    <n v="1554064"/>
    <x v="0"/>
    <x v="2"/>
    <s v="Kampala"/>
    <s v="Still Admitted"/>
    <s v="Recovered"/>
    <n v="31"/>
  </r>
  <r>
    <s v="P540"/>
    <s v="Tony Stark"/>
    <x v="1"/>
    <d v="1992-07-07T00:00:00"/>
    <x v="38"/>
    <d v="2024-07-12T00:00:00"/>
    <x v="4"/>
    <x v="4"/>
    <x v="0"/>
    <n v="3474012"/>
    <x v="0"/>
    <x v="0"/>
    <s v="Kampala"/>
    <n v="14"/>
    <s v="Recovered"/>
    <n v="32"/>
  </r>
  <r>
    <s v="P541"/>
    <s v="Jane Smith"/>
    <x v="1"/>
    <d v="1986-07-17T00:00:00"/>
    <x v="38"/>
    <d v="2024-07-05T00:00:00"/>
    <x v="9"/>
    <x v="5"/>
    <x v="1"/>
    <n v="5348696"/>
    <x v="0"/>
    <x v="1"/>
    <s v="Entebbe"/>
    <n v="7"/>
    <s v="not stated"/>
    <n v="38"/>
  </r>
  <r>
    <s v="P542"/>
    <s v="Nancy Drew"/>
    <x v="0"/>
    <d v="1954-04-08T00:00:00"/>
    <x v="155"/>
    <s v="still admitted"/>
    <x v="8"/>
    <x v="5"/>
    <x v="1"/>
    <n v="3731000"/>
    <x v="1"/>
    <x v="1"/>
    <s v="Entebbe"/>
    <s v="Still Admitted"/>
    <s v="Referred"/>
    <n v="70"/>
  </r>
  <r>
    <s v="P543"/>
    <s v="Bruce Wayne"/>
    <x v="0"/>
    <d v="1960-01-03T00:00:00"/>
    <x v="58"/>
    <d v="2024-07-03T00:00:00"/>
    <x v="8"/>
    <x v="5"/>
    <x v="3"/>
    <n v="2940000"/>
    <x v="0"/>
    <x v="2"/>
    <s v="Kampala"/>
    <n v="13"/>
    <s v="Recovered"/>
    <n v="64"/>
  </r>
  <r>
    <s v="P544"/>
    <s v="Scott Lang"/>
    <x v="0"/>
    <d v="1953-09-06T00:00:00"/>
    <x v="121"/>
    <d v="2024-02-21T00:00:00"/>
    <x v="5"/>
    <x v="5"/>
    <x v="1"/>
    <n v="1935036"/>
    <x v="0"/>
    <x v="0"/>
    <s v="Kampala"/>
    <n v="2"/>
    <s v="Referred"/>
    <n v="71"/>
  </r>
  <r>
    <s v="P545"/>
    <s v="Clark Kent"/>
    <x v="0"/>
    <d v="1990-03-27T00:00:00"/>
    <x v="110"/>
    <d v="2024-04-30T00:00:00"/>
    <x v="3"/>
    <x v="3"/>
    <x v="1"/>
    <n v="1274000"/>
    <x v="0"/>
    <x v="1"/>
    <s v="Jinja"/>
    <n v="9"/>
    <s v="Referred"/>
    <n v="34"/>
  </r>
  <r>
    <s v="P546"/>
    <s v="Stephen Strange"/>
    <x v="2"/>
    <d v="1996-01-25T00:00:00"/>
    <x v="111"/>
    <d v="2024-02-19T00:00:00"/>
    <x v="1"/>
    <x v="1"/>
    <x v="1"/>
    <n v="1972756"/>
    <x v="0"/>
    <x v="0"/>
    <s v="Jinja"/>
    <n v="7"/>
    <s v="not stated"/>
    <n v="28"/>
  </r>
  <r>
    <s v="P547"/>
    <s v="Wanda Maximoff"/>
    <x v="1"/>
    <d v="1995-03-15T00:00:00"/>
    <x v="123"/>
    <d v="2024-03-23T00:00:00"/>
    <x v="3"/>
    <x v="3"/>
    <x v="0"/>
    <n v="4496224"/>
    <x v="0"/>
    <x v="1"/>
    <s v="Jinja"/>
    <n v="5"/>
    <s v="Referred"/>
    <n v="29"/>
  </r>
  <r>
    <s v="P548"/>
    <s v="Chris Evans"/>
    <x v="2"/>
    <d v="1954-08-16T00:00:00"/>
    <x v="135"/>
    <s v="still admitted"/>
    <x v="8"/>
    <x v="5"/>
    <x v="4"/>
    <n v="2992500"/>
    <x v="0"/>
    <x v="2"/>
    <s v="Jinja"/>
    <s v="Still Admitted"/>
    <s v="not stated"/>
    <n v="70"/>
  </r>
  <r>
    <s v="P549"/>
    <s v="Bruce Wayne"/>
    <x v="0"/>
    <d v="2006-02-27T00:00:00"/>
    <x v="128"/>
    <d v="2024-04-06T00:00:00"/>
    <x v="5"/>
    <x v="5"/>
    <x v="4"/>
    <n v="5454312"/>
    <x v="2"/>
    <x v="2"/>
    <s v="Jinja"/>
    <n v="5"/>
    <s v="Recovered"/>
    <n v="18"/>
  </r>
  <r>
    <s v="P550"/>
    <s v="Nancy Drew"/>
    <x v="0"/>
    <d v="1974-02-11T00:00:00"/>
    <x v="88"/>
    <d v="2024-06-01T00:00:00"/>
    <x v="8"/>
    <x v="5"/>
    <x v="1"/>
    <n v="1097652"/>
    <x v="0"/>
    <x v="2"/>
    <s v="Kampala"/>
    <n v="4"/>
    <s v="Recovered"/>
    <n v="50"/>
  </r>
  <r>
    <s v="P551"/>
    <s v="Natasha Romanoff"/>
    <x v="1"/>
    <d v="1966-03-09T00:00:00"/>
    <x v="113"/>
    <d v="2024-01-09T00:00:00"/>
    <x v="6"/>
    <x v="0"/>
    <x v="0"/>
    <n v="912824"/>
    <x v="0"/>
    <x v="2"/>
    <s v="Kampala"/>
    <n v="3"/>
    <s v="Referred"/>
    <n v="58"/>
  </r>
  <r>
    <s v="P552"/>
    <s v="Wanda Maximoff"/>
    <x v="1"/>
    <d v="1951-01-22T00:00:00"/>
    <x v="89"/>
    <s v="still admitted"/>
    <x v="9"/>
    <x v="5"/>
    <x v="2"/>
    <n v="5352468"/>
    <x v="0"/>
    <x v="0"/>
    <s v="Kampala"/>
    <s v="Still Admitted"/>
    <s v="not stated"/>
    <n v="73"/>
  </r>
  <r>
    <s v="P553"/>
    <s v="John Doe"/>
    <x v="2"/>
    <d v="1950-11-04T00:00:00"/>
    <x v="153"/>
    <d v="2024-05-20T00:00:00"/>
    <x v="3"/>
    <x v="3"/>
    <x v="2"/>
    <n v="4722544"/>
    <x v="0"/>
    <x v="2"/>
    <s v="Entebbe"/>
    <n v="2"/>
    <s v="Recovered"/>
    <n v="74"/>
  </r>
  <r>
    <s v="P554"/>
    <s v="Chris Evans"/>
    <x v="1"/>
    <d v="1998-10-09T00:00:00"/>
    <x v="113"/>
    <s v="still admitted"/>
    <x v="5"/>
    <x v="5"/>
    <x v="4"/>
    <n v="3583400"/>
    <x v="0"/>
    <x v="0"/>
    <s v="Kampala"/>
    <s v="Still Admitted"/>
    <s v="Referred"/>
    <n v="26"/>
  </r>
  <r>
    <s v="P555"/>
    <s v="Clark Kent"/>
    <x v="1"/>
    <d v="1975-09-26T00:00:00"/>
    <x v="4"/>
    <d v="2024-07-06T00:00:00"/>
    <x v="10"/>
    <x v="6"/>
    <x v="0"/>
    <n v="2108548"/>
    <x v="0"/>
    <x v="2"/>
    <s v="Kampala"/>
    <n v="12"/>
    <s v="Referred"/>
    <n v="49"/>
  </r>
  <r>
    <s v="P556"/>
    <s v="Jane Smith"/>
    <x v="0"/>
    <d v="1963-07-23T00:00:00"/>
    <x v="57"/>
    <d v="2024-04-30T00:00:00"/>
    <x v="3"/>
    <x v="3"/>
    <x v="3"/>
    <n v="2509500"/>
    <x v="0"/>
    <x v="1"/>
    <s v="Entebbe"/>
    <n v="11"/>
    <s v="Referred"/>
    <n v="61"/>
  </r>
  <r>
    <s v="P557"/>
    <s v="Michael Brown"/>
    <x v="2"/>
    <d v="1950-03-13T00:00:00"/>
    <x v="53"/>
    <d v="2024-06-23T00:00:00"/>
    <x v="10"/>
    <x v="6"/>
    <x v="0"/>
    <n v="1248532"/>
    <x v="0"/>
    <x v="0"/>
    <s v="Kampala"/>
    <n v="7"/>
    <s v="Recovered"/>
    <n v="74"/>
  </r>
  <r>
    <s v="P558"/>
    <s v="Clark Kent"/>
    <x v="0"/>
    <d v="1994-05-04T00:00:00"/>
    <x v="101"/>
    <d v="2024-05-14T00:00:00"/>
    <x v="3"/>
    <x v="3"/>
    <x v="3"/>
    <n v="2274516"/>
    <x v="2"/>
    <x v="2"/>
    <s v="Jinja"/>
    <n v="11"/>
    <s v="not stated"/>
    <n v="30"/>
  </r>
  <r>
    <s v="P559"/>
    <s v="Diana Prince"/>
    <x v="0"/>
    <d v="2002-02-14T00:00:00"/>
    <x v="62"/>
    <d v="2024-05-18T00:00:00"/>
    <x v="9"/>
    <x v="5"/>
    <x v="2"/>
    <n v="472500"/>
    <x v="1"/>
    <x v="2"/>
    <s v="Kampala"/>
    <n v="4"/>
    <s v="Referred"/>
    <n v="22"/>
  </r>
  <r>
    <s v="P560"/>
    <s v="David Kim"/>
    <x v="0"/>
    <d v="1991-04-22T00:00:00"/>
    <x v="42"/>
    <d v="2024-06-04T00:00:00"/>
    <x v="9"/>
    <x v="5"/>
    <x v="0"/>
    <n v="1282480"/>
    <x v="2"/>
    <x v="1"/>
    <s v="Jinja"/>
    <n v="14"/>
    <s v="Recovered"/>
    <n v="33"/>
  </r>
  <r>
    <s v="P561"/>
    <s v="Sarah Connor"/>
    <x v="1"/>
    <d v="2002-03-07T00:00:00"/>
    <x v="35"/>
    <s v="still admitted"/>
    <x v="8"/>
    <x v="5"/>
    <x v="0"/>
    <n v="2266972"/>
    <x v="0"/>
    <x v="2"/>
    <s v="Kampala"/>
    <s v="Still Admitted"/>
    <s v="not stated"/>
    <n v="22"/>
  </r>
  <r>
    <s v="P562"/>
    <s v="Wanda Maximoff"/>
    <x v="1"/>
    <d v="1976-11-14T00:00:00"/>
    <x v="149"/>
    <d v="2024-04-26T00:00:00"/>
    <x v="5"/>
    <x v="5"/>
    <x v="0"/>
    <n v="837384"/>
    <x v="1"/>
    <x v="0"/>
    <s v="Jinja"/>
    <n v="11"/>
    <s v="Referred"/>
    <n v="48"/>
  </r>
  <r>
    <s v="P563"/>
    <s v="Steve Rogers"/>
    <x v="0"/>
    <d v="1973-02-24T00:00:00"/>
    <x v="169"/>
    <d v="2024-07-03T00:00:00"/>
    <x v="7"/>
    <x v="4"/>
    <x v="1"/>
    <n v="1342832"/>
    <x v="2"/>
    <x v="1"/>
    <s v="Kampala"/>
    <n v="3"/>
    <s v="not stated"/>
    <n v="51"/>
  </r>
  <r>
    <s v="P564"/>
    <s v="Scott Lang"/>
    <x v="2"/>
    <d v="1956-12-04T00:00:00"/>
    <x v="35"/>
    <d v="2024-05-09T00:00:00"/>
    <x v="3"/>
    <x v="3"/>
    <x v="2"/>
    <n v="3243920"/>
    <x v="0"/>
    <x v="2"/>
    <s v="Kampala"/>
    <n v="7"/>
    <s v="Referred"/>
    <n v="68"/>
  </r>
  <r>
    <s v="P565"/>
    <s v="Bruce Wayne"/>
    <x v="0"/>
    <d v="1971-06-28T00:00:00"/>
    <x v="132"/>
    <s v="still admitted"/>
    <x v="0"/>
    <x v="0"/>
    <x v="2"/>
    <n v="2764876"/>
    <x v="1"/>
    <x v="0"/>
    <s v="Jinja"/>
    <s v="Still Admitted"/>
    <s v="Referred"/>
    <n v="53"/>
  </r>
  <r>
    <s v="P566"/>
    <s v="TChalla"/>
    <x v="0"/>
    <d v="1954-01-10T00:00:00"/>
    <x v="80"/>
    <d v="2024-01-17T00:00:00"/>
    <x v="8"/>
    <x v="5"/>
    <x v="1"/>
    <n v="3451380"/>
    <x v="0"/>
    <x v="2"/>
    <s v="Jinja"/>
    <n v="5"/>
    <s v="not stated"/>
    <n v="70"/>
  </r>
  <r>
    <s v="P567"/>
    <s v="Sarah Connor"/>
    <x v="0"/>
    <d v="1986-07-16T00:00:00"/>
    <x v="77"/>
    <s v="still admitted"/>
    <x v="1"/>
    <x v="1"/>
    <x v="4"/>
    <n v="616000"/>
    <x v="0"/>
    <x v="0"/>
    <s v="Jinja"/>
    <s v="Still Admitted"/>
    <s v="not stated"/>
    <n v="38"/>
  </r>
  <r>
    <s v="P568"/>
    <s v="Nancy Drew"/>
    <x v="1"/>
    <d v="2008-09-10T00:00:00"/>
    <x v="132"/>
    <d v="2024-02-14T00:00:00"/>
    <x v="5"/>
    <x v="5"/>
    <x v="4"/>
    <n v="3704104"/>
    <x v="2"/>
    <x v="0"/>
    <s v="Kampala"/>
    <n v="3"/>
    <s v="Recovered"/>
    <n v="16"/>
  </r>
  <r>
    <s v="P569"/>
    <s v="TChalla"/>
    <x v="1"/>
    <d v="1994-08-20T00:00:00"/>
    <x v="129"/>
    <d v="2024-01-09T00:00:00"/>
    <x v="10"/>
    <x v="6"/>
    <x v="1"/>
    <n v="2798824"/>
    <x v="0"/>
    <x v="0"/>
    <s v="Kampala"/>
    <n v="5"/>
    <s v="Referred"/>
    <n v="30"/>
  </r>
  <r>
    <s v="P570"/>
    <s v="Michael Brown"/>
    <x v="0"/>
    <d v="1966-01-28T00:00:00"/>
    <x v="86"/>
    <d v="2024-03-20T00:00:00"/>
    <x v="6"/>
    <x v="0"/>
    <x v="0"/>
    <n v="4767808"/>
    <x v="0"/>
    <x v="2"/>
    <s v="Entebbe"/>
    <n v="13"/>
    <s v="not stated"/>
    <n v="58"/>
  </r>
  <r>
    <s v="P571"/>
    <s v="David Kim"/>
    <x v="1"/>
    <d v="1982-11-26T00:00:00"/>
    <x v="177"/>
    <d v="2024-04-14T00:00:00"/>
    <x v="5"/>
    <x v="5"/>
    <x v="0"/>
    <n v="5171412"/>
    <x v="0"/>
    <x v="1"/>
    <s v="Kampala"/>
    <n v="9"/>
    <s v="Referred"/>
    <n v="42"/>
  </r>
  <r>
    <s v="P572"/>
    <s v="TChalla"/>
    <x v="1"/>
    <d v="1956-07-19T00:00:00"/>
    <x v="116"/>
    <d v="2024-04-15T00:00:00"/>
    <x v="10"/>
    <x v="6"/>
    <x v="4"/>
    <n v="3968144"/>
    <x v="0"/>
    <x v="0"/>
    <s v="Jinja"/>
    <n v="6"/>
    <s v="Referred"/>
    <n v="68"/>
  </r>
  <r>
    <s v="P573"/>
    <s v="James Bond"/>
    <x v="1"/>
    <d v="1979-06-29T00:00:00"/>
    <x v="102"/>
    <d v="2024-03-30T00:00:00"/>
    <x v="10"/>
    <x v="6"/>
    <x v="1"/>
    <n v="3885160"/>
    <x v="1"/>
    <x v="0"/>
    <s v="Entebbe"/>
    <n v="8"/>
    <s v="Recovered"/>
    <n v="45"/>
  </r>
  <r>
    <s v="P574"/>
    <s v="TChalla"/>
    <x v="0"/>
    <d v="2003-12-05T00:00:00"/>
    <x v="104"/>
    <d v="2024-01-24T00:00:00"/>
    <x v="9"/>
    <x v="5"/>
    <x v="2"/>
    <n v="550712"/>
    <x v="0"/>
    <x v="2"/>
    <s v="Jinja"/>
    <n v="8"/>
    <s v="Recovered"/>
    <n v="21"/>
  </r>
  <r>
    <s v="P575"/>
    <s v="Chris Evans"/>
    <x v="1"/>
    <d v="1957-05-01T00:00:00"/>
    <x v="147"/>
    <d v="2024-05-06T00:00:00"/>
    <x v="3"/>
    <x v="3"/>
    <x v="0"/>
    <n v="1090108"/>
    <x v="0"/>
    <x v="2"/>
    <s v="Kampala"/>
    <n v="11"/>
    <s v="Referred"/>
    <n v="67"/>
  </r>
  <r>
    <s v="P576"/>
    <s v="Natasha Romanoff"/>
    <x v="0"/>
    <d v="1964-06-01T00:00:00"/>
    <x v="18"/>
    <d v="2024-04-09T00:00:00"/>
    <x v="7"/>
    <x v="4"/>
    <x v="3"/>
    <n v="4843248"/>
    <x v="0"/>
    <x v="2"/>
    <s v="Kampala"/>
    <n v="9"/>
    <s v="Referred"/>
    <n v="60"/>
  </r>
  <r>
    <s v="P577"/>
    <s v="Natasha Romanoff"/>
    <x v="2"/>
    <d v="1978-05-22T00:00:00"/>
    <x v="131"/>
    <d v="2024-07-03T00:00:00"/>
    <x v="10"/>
    <x v="6"/>
    <x v="2"/>
    <n v="1346604"/>
    <x v="1"/>
    <x v="1"/>
    <s v="Kampala"/>
    <n v="12"/>
    <s v="Recovered"/>
    <n v="46"/>
  </r>
  <r>
    <s v="P578"/>
    <s v="Stephen Strange"/>
    <x v="2"/>
    <d v="1964-11-25T00:00:00"/>
    <x v="112"/>
    <d v="2024-02-29T00:00:00"/>
    <x v="8"/>
    <x v="5"/>
    <x v="1"/>
    <n v="465500"/>
    <x v="0"/>
    <x v="1"/>
    <s v="Jinja"/>
    <n v="4"/>
    <s v="Referred"/>
    <n v="60"/>
  </r>
  <r>
    <s v="P579"/>
    <s v="Clark Kent"/>
    <x v="0"/>
    <d v="1998-09-01T00:00:00"/>
    <x v="25"/>
    <s v="still admitted"/>
    <x v="3"/>
    <x v="3"/>
    <x v="1"/>
    <n v="3259008"/>
    <x v="1"/>
    <x v="0"/>
    <s v="Jinja"/>
    <s v="Still Admitted"/>
    <s v="not stated"/>
    <n v="26"/>
  </r>
  <r>
    <s v="P580"/>
    <s v="Tony Stark"/>
    <x v="1"/>
    <d v="1975-05-31T00:00:00"/>
    <x v="126"/>
    <s v="still admitted"/>
    <x v="9"/>
    <x v="5"/>
    <x v="1"/>
    <n v="1176864"/>
    <x v="1"/>
    <x v="1"/>
    <s v="Jinja"/>
    <s v="Still Admitted"/>
    <s v="Recovered"/>
    <n v="49"/>
  </r>
  <r>
    <s v="P581"/>
    <s v="Peter Parker"/>
    <x v="2"/>
    <d v="1987-09-27T00:00:00"/>
    <x v="0"/>
    <d v="2024-02-29T00:00:00"/>
    <x v="10"/>
    <x v="6"/>
    <x v="1"/>
    <n v="3960600"/>
    <x v="2"/>
    <x v="1"/>
    <s v="Entebbe"/>
    <n v="2"/>
    <s v="Referred"/>
    <n v="37"/>
  </r>
  <r>
    <s v="P582"/>
    <s v="Chris Evans"/>
    <x v="0"/>
    <d v="1987-03-17T00:00:00"/>
    <x v="175"/>
    <s v="still admitted"/>
    <x v="9"/>
    <x v="5"/>
    <x v="2"/>
    <n v="3031000"/>
    <x v="0"/>
    <x v="0"/>
    <s v="Jinja"/>
    <s v="Still Admitted"/>
    <s v="not stated"/>
    <n v="37"/>
  </r>
  <r>
    <s v="P583"/>
    <s v="James Bond"/>
    <x v="0"/>
    <d v="2007-10-25T00:00:00"/>
    <x v="143"/>
    <s v="still admitted"/>
    <x v="6"/>
    <x v="0"/>
    <x v="3"/>
    <n v="1716260"/>
    <x v="0"/>
    <x v="0"/>
    <s v="Entebbe"/>
    <s v="Still Admitted"/>
    <s v="not stated"/>
    <n v="17"/>
  </r>
  <r>
    <s v="P584"/>
    <s v="Wanda Maximoff"/>
    <x v="0"/>
    <d v="2006-08-26T00:00:00"/>
    <x v="37"/>
    <d v="2024-06-12T00:00:00"/>
    <x v="4"/>
    <x v="4"/>
    <x v="0"/>
    <n v="573344"/>
    <x v="0"/>
    <x v="0"/>
    <s v="Kampala"/>
    <n v="3"/>
    <s v="Recovered"/>
    <n v="18"/>
  </r>
  <r>
    <s v="P585"/>
    <s v="Diana Prince"/>
    <x v="0"/>
    <d v="1961-09-17T00:00:00"/>
    <x v="138"/>
    <d v="2024-06-22T00:00:00"/>
    <x v="5"/>
    <x v="5"/>
    <x v="4"/>
    <n v="2270744"/>
    <x v="0"/>
    <x v="1"/>
    <s v="Entebbe"/>
    <n v="11"/>
    <s v="Recovered"/>
    <n v="63"/>
  </r>
  <r>
    <s v="P586"/>
    <s v="John Doe"/>
    <x v="1"/>
    <d v="2001-12-23T00:00:00"/>
    <x v="157"/>
    <d v="2024-01-31T00:00:00"/>
    <x v="3"/>
    <x v="3"/>
    <x v="1"/>
    <n v="1769068"/>
    <x v="0"/>
    <x v="2"/>
    <s v="Entebbe"/>
    <n v="2"/>
    <s v="Referred"/>
    <n v="23"/>
  </r>
  <r>
    <s v="P587"/>
    <s v="Natasha Romanoff"/>
    <x v="2"/>
    <d v="1951-12-21T00:00:00"/>
    <x v="108"/>
    <d v="2024-01-21T00:00:00"/>
    <x v="6"/>
    <x v="0"/>
    <x v="1"/>
    <n v="2798824"/>
    <x v="0"/>
    <x v="0"/>
    <s v="Entebbe"/>
    <n v="2"/>
    <s v="Recovered"/>
    <n v="73"/>
  </r>
  <r>
    <s v="P588"/>
    <s v="TChalla"/>
    <x v="1"/>
    <d v="2004-06-04T00:00:00"/>
    <x v="13"/>
    <d v="2024-02-08T00:00:00"/>
    <x v="3"/>
    <x v="3"/>
    <x v="3"/>
    <n v="2342412"/>
    <x v="0"/>
    <x v="1"/>
    <s v="Jinja"/>
    <n v="8"/>
    <s v="not stated"/>
    <n v="20"/>
  </r>
  <r>
    <s v="P589"/>
    <s v="James Bond"/>
    <x v="2"/>
    <d v="1982-09-26T00:00:00"/>
    <x v="112"/>
    <d v="2024-02-29T00:00:00"/>
    <x v="3"/>
    <x v="3"/>
    <x v="1"/>
    <n v="4096392"/>
    <x v="0"/>
    <x v="2"/>
    <s v="Jinja"/>
    <n v="4"/>
    <s v="Referred"/>
    <n v="42"/>
  </r>
  <r>
    <s v="P590"/>
    <s v="Natasha Romanoff"/>
    <x v="1"/>
    <d v="1995-12-29T00:00:00"/>
    <x v="121"/>
    <d v="2024-03-01T00:00:00"/>
    <x v="1"/>
    <x v="1"/>
    <x v="4"/>
    <n v="4560500"/>
    <x v="0"/>
    <x v="0"/>
    <s v="Jinja"/>
    <n v="11"/>
    <s v="Referred"/>
    <n v="29"/>
  </r>
  <r>
    <s v="P591"/>
    <s v="Scott Lang"/>
    <x v="1"/>
    <d v="1974-05-17T00:00:00"/>
    <x v="46"/>
    <d v="2024-06-15T00:00:00"/>
    <x v="0"/>
    <x v="0"/>
    <x v="1"/>
    <n v="5261940"/>
    <x v="2"/>
    <x v="0"/>
    <s v="Kampala"/>
    <n v="7"/>
    <s v="not stated"/>
    <n v="50"/>
  </r>
  <r>
    <s v="P592"/>
    <s v="Peter Parker"/>
    <x v="0"/>
    <d v="2007-11-16T00:00:00"/>
    <x v="54"/>
    <s v="still admitted"/>
    <x v="8"/>
    <x v="5"/>
    <x v="2"/>
    <n v="1680000"/>
    <x v="0"/>
    <x v="1"/>
    <s v="Kampala"/>
    <s v="Still Admitted"/>
    <s v="Recovered"/>
    <n v="17"/>
  </r>
  <r>
    <s v="P593"/>
    <s v="Sarah Connor"/>
    <x v="0"/>
    <d v="1978-08-01T00:00:00"/>
    <x v="82"/>
    <d v="2024-04-07T00:00:00"/>
    <x v="4"/>
    <x v="4"/>
    <x v="0"/>
    <n v="3111500"/>
    <x v="1"/>
    <x v="0"/>
    <s v="Jinja"/>
    <n v="13"/>
    <s v="not stated"/>
    <n v="46"/>
  </r>
  <r>
    <s v="P594"/>
    <s v="Scott Lang"/>
    <x v="2"/>
    <d v="1956-09-17T00:00:00"/>
    <x v="100"/>
    <d v="2024-06-29T00:00:00"/>
    <x v="4"/>
    <x v="4"/>
    <x v="2"/>
    <n v="4190692"/>
    <x v="0"/>
    <x v="2"/>
    <s v="Entebbe"/>
    <n v="6"/>
    <s v="Referred"/>
    <n v="68"/>
  </r>
  <r>
    <s v="P595"/>
    <s v="Scott Lang"/>
    <x v="0"/>
    <d v="2003-01-14T00:00:00"/>
    <x v="55"/>
    <d v="2024-03-12T00:00:00"/>
    <x v="10"/>
    <x v="6"/>
    <x v="0"/>
    <n v="3485328"/>
    <x v="1"/>
    <x v="1"/>
    <s v="Entebbe"/>
    <n v="11"/>
    <s v="Referred"/>
    <n v="21"/>
  </r>
  <r>
    <s v="P596"/>
    <s v="Tony Stark"/>
    <x v="1"/>
    <d v="1977-01-02T00:00:00"/>
    <x v="102"/>
    <d v="2024-03-31T00:00:00"/>
    <x v="10"/>
    <x v="6"/>
    <x v="0"/>
    <n v="3167500"/>
    <x v="2"/>
    <x v="2"/>
    <s v="Jinja"/>
    <n v="9"/>
    <s v="Referred"/>
    <n v="47"/>
  </r>
  <r>
    <s v="P597"/>
    <s v="Sarah Connor"/>
    <x v="0"/>
    <d v="1970-02-05T00:00:00"/>
    <x v="151"/>
    <s v="still admitted"/>
    <x v="8"/>
    <x v="5"/>
    <x v="3"/>
    <n v="3741824"/>
    <x v="0"/>
    <x v="1"/>
    <s v="Kampala"/>
    <s v="Still Admitted"/>
    <s v="Referred"/>
    <n v="54"/>
  </r>
  <r>
    <s v="P598"/>
    <s v="John Doe"/>
    <x v="1"/>
    <d v="1954-09-17T00:00:00"/>
    <x v="80"/>
    <s v="still admitted"/>
    <x v="5"/>
    <x v="5"/>
    <x v="1"/>
    <n v="2919528"/>
    <x v="0"/>
    <x v="0"/>
    <s v="Kampala"/>
    <s v="Still Admitted"/>
    <s v="Recovered"/>
    <n v="70"/>
  </r>
  <r>
    <s v="P599"/>
    <s v="David Kim"/>
    <x v="2"/>
    <d v="2002-05-28T00:00:00"/>
    <x v="171"/>
    <d v="2024-06-21T00:00:00"/>
    <x v="0"/>
    <x v="0"/>
    <x v="3"/>
    <n v="3860500"/>
    <x v="0"/>
    <x v="2"/>
    <s v="Kampala"/>
    <n v="9"/>
    <s v="Referred"/>
    <n v="22"/>
  </r>
  <r>
    <s v="P600"/>
    <s v="Michael Brown"/>
    <x v="0"/>
    <d v="2000-02-09T00:00:00"/>
    <x v="56"/>
    <d v="2024-06-19T00:00:00"/>
    <x v="9"/>
    <x v="5"/>
    <x v="0"/>
    <n v="5556156"/>
    <x v="2"/>
    <x v="2"/>
    <s v="Kampala"/>
    <n v="2"/>
    <s v="Recovered"/>
    <n v="24"/>
  </r>
  <r>
    <s v="P601"/>
    <s v="Wanda Maximoff"/>
    <x v="0"/>
    <d v="1978-02-11T00:00:00"/>
    <x v="169"/>
    <d v="2024-07-14T00:00:00"/>
    <x v="3"/>
    <x v="3"/>
    <x v="1"/>
    <n v="3353308"/>
    <x v="1"/>
    <x v="0"/>
    <s v="Entebbe"/>
    <n v="14"/>
    <s v="Referred"/>
    <n v="46"/>
  </r>
  <r>
    <s v="P602"/>
    <s v="Linda White"/>
    <x v="1"/>
    <d v="1977-07-22T00:00:00"/>
    <x v="150"/>
    <d v="2024-02-19T00:00:00"/>
    <x v="4"/>
    <x v="4"/>
    <x v="1"/>
    <n v="1690500"/>
    <x v="0"/>
    <x v="2"/>
    <s v="Jinja"/>
    <n v="12"/>
    <s v="Referred"/>
    <n v="47"/>
  </r>
  <r>
    <s v="P603"/>
    <s v="Stephen Strange"/>
    <x v="0"/>
    <d v="1981-10-18T00:00:00"/>
    <x v="168"/>
    <d v="2024-03-02T00:00:00"/>
    <x v="9"/>
    <x v="5"/>
    <x v="1"/>
    <n v="3232604"/>
    <x v="0"/>
    <x v="2"/>
    <s v="Jinja"/>
    <n v="7"/>
    <s v="Referred"/>
    <n v="43"/>
  </r>
  <r>
    <s v="P604"/>
    <s v="Diana Prince"/>
    <x v="1"/>
    <d v="2003-04-18T00:00:00"/>
    <x v="9"/>
    <d v="2024-05-17T00:00:00"/>
    <x v="6"/>
    <x v="0"/>
    <x v="0"/>
    <n v="2070828"/>
    <x v="0"/>
    <x v="1"/>
    <s v="Jinja"/>
    <n v="2"/>
    <s v="Recovered"/>
    <n v="21"/>
  </r>
  <r>
    <s v="P605"/>
    <s v="Sarah Connor"/>
    <x v="0"/>
    <d v="1970-04-26T00:00:00"/>
    <x v="81"/>
    <s v="still admitted"/>
    <x v="5"/>
    <x v="5"/>
    <x v="0"/>
    <n v="1697400"/>
    <x v="0"/>
    <x v="2"/>
    <s v="Jinja"/>
    <s v="Still Admitted"/>
    <s v="Recovered"/>
    <n v="54"/>
  </r>
  <r>
    <s v="P606"/>
    <s v="Linda White"/>
    <x v="0"/>
    <d v="2005-10-24T00:00:00"/>
    <x v="94"/>
    <d v="2024-03-30T00:00:00"/>
    <x v="3"/>
    <x v="3"/>
    <x v="1"/>
    <n v="3892704"/>
    <x v="0"/>
    <x v="2"/>
    <s v="Entebbe"/>
    <n v="11"/>
    <s v="Referred"/>
    <n v="19"/>
  </r>
  <r>
    <s v="P607"/>
    <s v="Linda White"/>
    <x v="1"/>
    <d v="1950-11-15T00:00:00"/>
    <x v="136"/>
    <d v="2024-05-05T00:00:00"/>
    <x v="7"/>
    <x v="4"/>
    <x v="2"/>
    <n v="472500"/>
    <x v="0"/>
    <x v="0"/>
    <s v="Kampala"/>
    <n v="4"/>
    <s v="Referred"/>
    <n v="74"/>
  </r>
  <r>
    <s v="P608"/>
    <s v="Bruce Wayne"/>
    <x v="1"/>
    <d v="1994-01-08T00:00:00"/>
    <x v="158"/>
    <d v="2024-05-24T00:00:00"/>
    <x v="10"/>
    <x v="6"/>
    <x v="2"/>
    <n v="2877000"/>
    <x v="0"/>
    <x v="2"/>
    <s v="Kampala"/>
    <n v="5"/>
    <s v="not stated"/>
    <n v="30"/>
  </r>
  <r>
    <s v="P609"/>
    <s v="John Doe"/>
    <x v="1"/>
    <d v="1986-10-24T00:00:00"/>
    <x v="56"/>
    <d v="2024-06-18T00:00:00"/>
    <x v="0"/>
    <x v="0"/>
    <x v="3"/>
    <n v="3437000"/>
    <x v="0"/>
    <x v="1"/>
    <s v="Kampala"/>
    <n v="1"/>
    <s v="not stated"/>
    <n v="38"/>
  </r>
  <r>
    <s v="P610"/>
    <s v="Chris Evans"/>
    <x v="1"/>
    <d v="1998-11-20T00:00:00"/>
    <x v="62"/>
    <d v="2024-05-25T00:00:00"/>
    <x v="8"/>
    <x v="5"/>
    <x v="4"/>
    <n v="3339000"/>
    <x v="0"/>
    <x v="0"/>
    <s v="Kampala"/>
    <n v="11"/>
    <s v="Referred"/>
    <n v="26"/>
  </r>
  <r>
    <s v="P611"/>
    <s v="Sarah Connor"/>
    <x v="1"/>
    <d v="1990-10-28T00:00:00"/>
    <x v="40"/>
    <d v="2024-03-22T00:00:00"/>
    <x v="10"/>
    <x v="6"/>
    <x v="0"/>
    <n v="4098500"/>
    <x v="1"/>
    <x v="0"/>
    <s v="Entebbe"/>
    <n v="8"/>
    <s v="Referred"/>
    <n v="34"/>
  </r>
  <r>
    <s v="P612"/>
    <s v="Steve Rogers"/>
    <x v="0"/>
    <d v="1969-07-01T00:00:00"/>
    <x v="134"/>
    <s v="still admitted"/>
    <x v="5"/>
    <x v="5"/>
    <x v="1"/>
    <n v="3096812"/>
    <x v="0"/>
    <x v="2"/>
    <s v="Kampala"/>
    <s v="Still Admitted"/>
    <s v="not stated"/>
    <n v="55"/>
  </r>
  <r>
    <s v="P613"/>
    <s v="Stephen Strange"/>
    <x v="1"/>
    <d v="1957-09-19T00:00:00"/>
    <x v="109"/>
    <d v="2024-02-21T00:00:00"/>
    <x v="5"/>
    <x v="5"/>
    <x v="0"/>
    <n v="3741500"/>
    <x v="0"/>
    <x v="2"/>
    <s v="Entebbe"/>
    <n v="15"/>
    <s v="Recovered"/>
    <n v="67"/>
  </r>
  <r>
    <s v="P614"/>
    <s v="Peter Parker"/>
    <x v="0"/>
    <d v="1977-11-17T00:00:00"/>
    <x v="30"/>
    <d v="2024-05-30T00:00:00"/>
    <x v="6"/>
    <x v="0"/>
    <x v="0"/>
    <n v="2308464"/>
    <x v="2"/>
    <x v="0"/>
    <s v="Entebbe"/>
    <n v="6"/>
    <s v="not stated"/>
    <n v="47"/>
  </r>
  <r>
    <s v="P615"/>
    <s v="Steve Rogers"/>
    <x v="0"/>
    <d v="1966-06-14T00:00:00"/>
    <x v="110"/>
    <s v="still admitted"/>
    <x v="10"/>
    <x v="6"/>
    <x v="1"/>
    <n v="3958500"/>
    <x v="2"/>
    <x v="2"/>
    <s v="Entebbe"/>
    <s v="Still Admitted"/>
    <s v="Referred"/>
    <n v="58"/>
  </r>
  <r>
    <s v="P616"/>
    <s v="Stephen Strange"/>
    <x v="0"/>
    <d v="1987-10-06T00:00:00"/>
    <x v="52"/>
    <d v="2024-02-15T00:00:00"/>
    <x v="3"/>
    <x v="3"/>
    <x v="4"/>
    <n v="4403000"/>
    <x v="0"/>
    <x v="2"/>
    <s v="Kampala"/>
    <n v="10"/>
    <s v="Referred"/>
    <n v="37"/>
  </r>
  <r>
    <s v="P617"/>
    <s v="Steve Rogers"/>
    <x v="2"/>
    <d v="1954-11-16T00:00:00"/>
    <x v="120"/>
    <d v="2024-01-26T00:00:00"/>
    <x v="8"/>
    <x v="5"/>
    <x v="0"/>
    <n v="2621540"/>
    <x v="0"/>
    <x v="1"/>
    <s v="Kampala"/>
    <n v="11"/>
    <s v="not stated"/>
    <n v="70"/>
  </r>
  <r>
    <s v="P618"/>
    <s v="Jane Smith"/>
    <x v="1"/>
    <d v="1968-05-25T00:00:00"/>
    <x v="17"/>
    <s v="still admitted"/>
    <x v="6"/>
    <x v="0"/>
    <x v="2"/>
    <n v="1456000"/>
    <x v="0"/>
    <x v="1"/>
    <s v="Entebbe"/>
    <s v="Still Admitted"/>
    <s v="Recovered"/>
    <n v="56"/>
  </r>
  <r>
    <s v="P619"/>
    <s v="John Doe"/>
    <x v="1"/>
    <d v="2004-03-03T00:00:00"/>
    <x v="25"/>
    <d v="2024-05-15T00:00:00"/>
    <x v="9"/>
    <x v="5"/>
    <x v="4"/>
    <n v="3802176"/>
    <x v="0"/>
    <x v="1"/>
    <s v="Entebbe"/>
    <n v="2"/>
    <s v="Recovered"/>
    <n v="20"/>
  </r>
  <r>
    <s v="P620"/>
    <s v="Chris Evans"/>
    <x v="2"/>
    <d v="2004-12-21T00:00:00"/>
    <x v="56"/>
    <d v="2024-06-28T00:00:00"/>
    <x v="3"/>
    <x v="3"/>
    <x v="2"/>
    <n v="5454312"/>
    <x v="0"/>
    <x v="0"/>
    <s v="Entebbe"/>
    <n v="11"/>
    <s v="not stated"/>
    <n v="20"/>
  </r>
  <r>
    <s v="P621"/>
    <s v="TChalla"/>
    <x v="1"/>
    <d v="1982-12-15T00:00:00"/>
    <x v="81"/>
    <d v="2024-04-12T00:00:00"/>
    <x v="1"/>
    <x v="1"/>
    <x v="1"/>
    <n v="1520116"/>
    <x v="0"/>
    <x v="2"/>
    <s v="Kampala"/>
    <n v="2"/>
    <s v="not stated"/>
    <n v="42"/>
  </r>
  <r>
    <s v="P622"/>
    <s v="Jane Smith"/>
    <x v="1"/>
    <d v="2008-05-09T00:00:00"/>
    <x v="155"/>
    <d v="2024-01-19T00:00:00"/>
    <x v="5"/>
    <x v="5"/>
    <x v="0"/>
    <n v="3138304"/>
    <x v="0"/>
    <x v="2"/>
    <s v="Jinja"/>
    <n v="8"/>
    <s v="not stated"/>
    <n v="16"/>
  </r>
  <r>
    <s v="P623"/>
    <s v="Clark Kent"/>
    <x v="1"/>
    <d v="2000-07-10T00:00:00"/>
    <x v="14"/>
    <d v="2024-05-10T00:00:00"/>
    <x v="1"/>
    <x v="1"/>
    <x v="2"/>
    <n v="5360012"/>
    <x v="2"/>
    <x v="2"/>
    <s v="Jinja"/>
    <n v="13"/>
    <s v="not stated"/>
    <n v="24"/>
  </r>
  <r>
    <s v="P624"/>
    <s v="Wanda Maximoff"/>
    <x v="0"/>
    <d v="1961-08-11T00:00:00"/>
    <x v="1"/>
    <d v="2024-06-13T00:00:00"/>
    <x v="7"/>
    <x v="4"/>
    <x v="0"/>
    <n v="1603100"/>
    <x v="0"/>
    <x v="1"/>
    <s v="Entebbe"/>
    <n v="14"/>
    <s v="Referred"/>
    <n v="63"/>
  </r>
  <r>
    <s v="P625"/>
    <s v="Nancy Drew"/>
    <x v="0"/>
    <d v="1965-08-11T00:00:00"/>
    <x v="154"/>
    <s v="still admitted"/>
    <x v="5"/>
    <x v="5"/>
    <x v="0"/>
    <n v="939228"/>
    <x v="0"/>
    <x v="1"/>
    <s v="Kampala"/>
    <s v="Still Admitted"/>
    <s v="Referred"/>
    <n v="59"/>
  </r>
  <r>
    <s v="P626"/>
    <s v="David Kim"/>
    <x v="1"/>
    <d v="2001-06-23T00:00:00"/>
    <x v="144"/>
    <d v="2024-03-02T00:00:00"/>
    <x v="4"/>
    <x v="4"/>
    <x v="3"/>
    <n v="1625732"/>
    <x v="1"/>
    <x v="0"/>
    <s v="Kampala"/>
    <n v="11"/>
    <s v="not stated"/>
    <n v="23"/>
  </r>
  <r>
    <s v="P627"/>
    <s v="James Bond"/>
    <x v="0"/>
    <d v="1962-08-11T00:00:00"/>
    <x v="142"/>
    <d v="2024-04-16T00:00:00"/>
    <x v="8"/>
    <x v="5"/>
    <x v="3"/>
    <n v="5337380"/>
    <x v="0"/>
    <x v="0"/>
    <s v="Jinja"/>
    <n v="14"/>
    <s v="Referred"/>
    <n v="62"/>
  </r>
  <r>
    <s v="P628"/>
    <s v="Scott Lang"/>
    <x v="0"/>
    <d v="1962-05-15T00:00:00"/>
    <x v="15"/>
    <d v="2024-05-06T00:00:00"/>
    <x v="0"/>
    <x v="0"/>
    <x v="0"/>
    <n v="4056500"/>
    <x v="0"/>
    <x v="1"/>
    <s v="Entebbe"/>
    <n v="14"/>
    <s v="not stated"/>
    <n v="62"/>
  </r>
  <r>
    <s v="P629"/>
    <s v="Bruce Wayne"/>
    <x v="0"/>
    <d v="1970-02-05T00:00:00"/>
    <x v="140"/>
    <d v="2024-03-07T00:00:00"/>
    <x v="5"/>
    <x v="5"/>
    <x v="4"/>
    <n v="4820616"/>
    <x v="1"/>
    <x v="2"/>
    <s v="Entebbe"/>
    <n v="2"/>
    <s v="not stated"/>
    <n v="54"/>
  </r>
  <r>
    <s v="P630"/>
    <s v="TChalla"/>
    <x v="1"/>
    <d v="1973-08-07T00:00:00"/>
    <x v="75"/>
    <d v="2024-01-13T00:00:00"/>
    <x v="9"/>
    <x v="5"/>
    <x v="0"/>
    <n v="4270000"/>
    <x v="0"/>
    <x v="0"/>
    <s v="Entebbe"/>
    <n v="4"/>
    <s v="not stated"/>
    <n v="51"/>
  </r>
  <r>
    <s v="P631"/>
    <s v="Jane Smith"/>
    <x v="0"/>
    <d v="1956-05-07T00:00:00"/>
    <x v="119"/>
    <d v="2024-06-10T00:00:00"/>
    <x v="5"/>
    <x v="5"/>
    <x v="0"/>
    <n v="1180636"/>
    <x v="2"/>
    <x v="0"/>
    <s v="Jinja"/>
    <n v="8"/>
    <s v="Referred"/>
    <n v="68"/>
  </r>
  <r>
    <s v="P632"/>
    <s v="John Doe"/>
    <x v="0"/>
    <d v="1952-05-13T00:00:00"/>
    <x v="141"/>
    <d v="2024-05-28T00:00:00"/>
    <x v="2"/>
    <x v="2"/>
    <x v="0"/>
    <n v="3364624"/>
    <x v="0"/>
    <x v="2"/>
    <s v="Jinja"/>
    <n v="12"/>
    <s v="Recovered"/>
    <n v="72"/>
  </r>
  <r>
    <s v="P633"/>
    <s v="Sarah Connor"/>
    <x v="0"/>
    <d v="1982-12-28T00:00:00"/>
    <x v="121"/>
    <d v="2024-02-20T00:00:00"/>
    <x v="4"/>
    <x v="4"/>
    <x v="4"/>
    <n v="452640"/>
    <x v="2"/>
    <x v="1"/>
    <s v="Kampala"/>
    <n v="1"/>
    <s v="Recovered"/>
    <n v="42"/>
  </r>
  <r>
    <s v="P634"/>
    <s v="Jane Smith"/>
    <x v="1"/>
    <d v="1989-05-06T00:00:00"/>
    <x v="164"/>
    <d v="2024-03-23T00:00:00"/>
    <x v="5"/>
    <x v="5"/>
    <x v="4"/>
    <n v="3447608"/>
    <x v="0"/>
    <x v="1"/>
    <s v="Kampala"/>
    <n v="10"/>
    <s v="not stated"/>
    <n v="35"/>
  </r>
  <r>
    <s v="P635"/>
    <s v="Natasha Romanoff"/>
    <x v="1"/>
    <d v="1982-01-09T00:00:00"/>
    <x v="22"/>
    <d v="2024-05-06T00:00:00"/>
    <x v="6"/>
    <x v="0"/>
    <x v="4"/>
    <n v="2264500"/>
    <x v="1"/>
    <x v="1"/>
    <s v="Kampala"/>
    <n v="13"/>
    <s v="not stated"/>
    <n v="42"/>
  </r>
  <r>
    <s v="P636"/>
    <s v="Natasha Romanoff"/>
    <x v="0"/>
    <d v="1957-01-14T00:00:00"/>
    <x v="52"/>
    <d v="2024-02-14T00:00:00"/>
    <x v="7"/>
    <x v="4"/>
    <x v="3"/>
    <n v="1471080"/>
    <x v="0"/>
    <x v="2"/>
    <s v="Jinja"/>
    <n v="9"/>
    <s v="Recovered"/>
    <n v="67"/>
  </r>
  <r>
    <s v="P637"/>
    <s v="Jane Smith"/>
    <x v="0"/>
    <d v="1974-12-09T00:00:00"/>
    <x v="114"/>
    <s v="still admitted"/>
    <x v="0"/>
    <x v="0"/>
    <x v="1"/>
    <n v="520536"/>
    <x v="2"/>
    <x v="2"/>
    <s v="Kampala"/>
    <s v="Still Admitted"/>
    <s v="Referred"/>
    <n v="50"/>
  </r>
  <r>
    <s v="P638"/>
    <s v="Tony Stark"/>
    <x v="0"/>
    <d v="1954-09-09T00:00:00"/>
    <x v="75"/>
    <d v="2024-01-24T00:00:00"/>
    <x v="5"/>
    <x v="5"/>
    <x v="2"/>
    <n v="4941320"/>
    <x v="0"/>
    <x v="2"/>
    <s v="Jinja"/>
    <n v="15"/>
    <s v="Referred"/>
    <n v="70"/>
  </r>
  <r>
    <s v="P639"/>
    <s v="Jane Smith"/>
    <x v="2"/>
    <d v="1959-10-19T00:00:00"/>
    <x v="19"/>
    <d v="2024-07-01T00:00:00"/>
    <x v="1"/>
    <x v="1"/>
    <x v="3"/>
    <n v="4420500"/>
    <x v="0"/>
    <x v="2"/>
    <s v="Entebbe"/>
    <n v="9"/>
    <s v="Recovered"/>
    <n v="65"/>
  </r>
  <r>
    <s v="P640"/>
    <s v="John Doe"/>
    <x v="0"/>
    <d v="1974-08-14T00:00:00"/>
    <x v="87"/>
    <d v="2024-03-11T00:00:00"/>
    <x v="0"/>
    <x v="0"/>
    <x v="1"/>
    <n v="2275000"/>
    <x v="1"/>
    <x v="1"/>
    <s v="Kampala"/>
    <n v="7"/>
    <s v="Referred"/>
    <n v="50"/>
  </r>
  <r>
    <s v="P641"/>
    <s v="Linda White"/>
    <x v="1"/>
    <d v="1991-07-07T00:00:00"/>
    <x v="15"/>
    <d v="2024-04-28T00:00:00"/>
    <x v="6"/>
    <x v="0"/>
    <x v="4"/>
    <n v="2059512"/>
    <x v="0"/>
    <x v="1"/>
    <s v="Entebbe"/>
    <n v="6"/>
    <s v="Referred"/>
    <n v="33"/>
  </r>
  <r>
    <s v="P642"/>
    <s v="Steve Rogers"/>
    <x v="1"/>
    <d v="1973-02-23T00:00:00"/>
    <x v="86"/>
    <s v="still admitted"/>
    <x v="6"/>
    <x v="0"/>
    <x v="0"/>
    <n v="5148780"/>
    <x v="0"/>
    <x v="1"/>
    <s v="Jinja"/>
    <s v="Still Admitted"/>
    <s v="not stated"/>
    <n v="51"/>
  </r>
  <r>
    <s v="P643"/>
    <s v="Steve Rogers"/>
    <x v="0"/>
    <d v="1978-06-21T00:00:00"/>
    <x v="42"/>
    <s v="still admitted"/>
    <x v="5"/>
    <x v="5"/>
    <x v="0"/>
    <n v="5211500"/>
    <x v="1"/>
    <x v="1"/>
    <s v="Jinja"/>
    <s v="Still Admitted"/>
    <s v="Recovered"/>
    <n v="46"/>
  </r>
  <r>
    <s v="P644"/>
    <s v="Wanda Maximoff"/>
    <x v="1"/>
    <d v="1960-02-26T00:00:00"/>
    <x v="55"/>
    <d v="2024-03-07T00:00:00"/>
    <x v="7"/>
    <x v="4"/>
    <x v="1"/>
    <n v="2561188"/>
    <x v="0"/>
    <x v="2"/>
    <s v="Jinja"/>
    <n v="6"/>
    <s v="Referred"/>
    <n v="64"/>
  </r>
  <r>
    <s v="P645"/>
    <s v="Clark Kent"/>
    <x v="1"/>
    <d v="1976-05-19T00:00:00"/>
    <x v="132"/>
    <s v="still admitted"/>
    <x v="3"/>
    <x v="3"/>
    <x v="0"/>
    <n v="1195724"/>
    <x v="0"/>
    <x v="2"/>
    <s v="Kampala"/>
    <s v="Still Admitted"/>
    <s v="Recovered"/>
    <n v="48"/>
  </r>
  <r>
    <s v="P646"/>
    <s v="David Kim"/>
    <x v="1"/>
    <d v="2008-03-30T00:00:00"/>
    <x v="178"/>
    <d v="2024-01-30T00:00:00"/>
    <x v="2"/>
    <x v="2"/>
    <x v="0"/>
    <n v="4450960"/>
    <x v="1"/>
    <x v="2"/>
    <s v="Jinja"/>
    <n v="10"/>
    <s v="Referred"/>
    <n v="16"/>
  </r>
  <r>
    <s v="P647"/>
    <s v="James Bond"/>
    <x v="2"/>
    <d v="2001-08-10T00:00:00"/>
    <x v="10"/>
    <d v="2024-03-16T00:00:00"/>
    <x v="4"/>
    <x v="4"/>
    <x v="1"/>
    <n v="1267392"/>
    <x v="2"/>
    <x v="2"/>
    <s v="Entebbe"/>
    <n v="13"/>
    <s v="not stated"/>
    <n v="23"/>
  </r>
  <r>
    <s v="P648"/>
    <s v="Michael Brown"/>
    <x v="0"/>
    <d v="2008-08-12T00:00:00"/>
    <x v="179"/>
    <d v="2024-06-10T00:00:00"/>
    <x v="0"/>
    <x v="0"/>
    <x v="2"/>
    <n v="1342832"/>
    <x v="2"/>
    <x v="0"/>
    <s v="Jinja"/>
    <n v="7"/>
    <s v="Referred"/>
    <n v="16"/>
  </r>
  <r>
    <s v="P649"/>
    <s v="Bruce Wayne"/>
    <x v="0"/>
    <d v="1957-04-24T00:00:00"/>
    <x v="154"/>
    <d v="2024-04-28T00:00:00"/>
    <x v="3"/>
    <x v="3"/>
    <x v="0"/>
    <n v="1663452"/>
    <x v="2"/>
    <x v="2"/>
    <s v="Jinja"/>
    <n v="11"/>
    <s v="not stated"/>
    <n v="67"/>
  </r>
  <r>
    <s v="P650"/>
    <s v="David Kim"/>
    <x v="2"/>
    <d v="1953-01-21T00:00:00"/>
    <x v="71"/>
    <d v="2024-01-10T00:00:00"/>
    <x v="1"/>
    <x v="1"/>
    <x v="0"/>
    <n v="3481556"/>
    <x v="0"/>
    <x v="1"/>
    <s v="Entebbe"/>
    <n v="3"/>
    <s v="Referred"/>
    <n v="71"/>
  </r>
  <r>
    <s v="P651"/>
    <s v="Scott Lang"/>
    <x v="0"/>
    <d v="1959-09-02T00:00:00"/>
    <x v="108"/>
    <d v="2024-02-03T00:00:00"/>
    <x v="6"/>
    <x v="0"/>
    <x v="3"/>
    <n v="3472000"/>
    <x v="2"/>
    <x v="0"/>
    <s v="Jinja"/>
    <n v="15"/>
    <s v="not stated"/>
    <n v="65"/>
  </r>
  <r>
    <s v="P652"/>
    <s v="Michael Brown"/>
    <x v="1"/>
    <d v="1950-09-13T00:00:00"/>
    <x v="131"/>
    <d v="2024-06-29T00:00:00"/>
    <x v="2"/>
    <x v="2"/>
    <x v="4"/>
    <n v="2534784"/>
    <x v="0"/>
    <x v="2"/>
    <s v="Entebbe"/>
    <n v="8"/>
    <s v="not stated"/>
    <n v="74"/>
  </r>
  <r>
    <s v="P653"/>
    <s v="TChalla"/>
    <x v="0"/>
    <d v="1988-04-12T00:00:00"/>
    <x v="67"/>
    <d v="2024-03-26T00:00:00"/>
    <x v="9"/>
    <x v="5"/>
    <x v="3"/>
    <n v="2002932"/>
    <x v="1"/>
    <x v="2"/>
    <s v="Jinja"/>
    <n v="3"/>
    <s v="Recovered"/>
    <n v="36"/>
  </r>
  <r>
    <s v="P654"/>
    <s v="Peter Parker"/>
    <x v="1"/>
    <d v="1960-08-20T00:00:00"/>
    <x v="49"/>
    <d v="2024-03-26T00:00:00"/>
    <x v="5"/>
    <x v="5"/>
    <x v="4"/>
    <n v="1195724"/>
    <x v="0"/>
    <x v="0"/>
    <s v="Kampala"/>
    <n v="15"/>
    <s v="not stated"/>
    <n v="64"/>
  </r>
  <r>
    <s v="P655"/>
    <s v="John Doe"/>
    <x v="0"/>
    <d v="1953-07-26T00:00:00"/>
    <x v="175"/>
    <d v="2024-01-03T00:00:00"/>
    <x v="4"/>
    <x v="4"/>
    <x v="4"/>
    <n v="3670156"/>
    <x v="1"/>
    <x v="0"/>
    <s v="Entebbe"/>
    <n v="1"/>
    <s v="Recovered"/>
    <n v="71"/>
  </r>
  <r>
    <s v="P656"/>
    <s v="Sarah Connor"/>
    <x v="1"/>
    <d v="1988-10-12T00:00:00"/>
    <x v="36"/>
    <d v="2024-03-13T00:00:00"/>
    <x v="8"/>
    <x v="5"/>
    <x v="0"/>
    <n v="2093460"/>
    <x v="0"/>
    <x v="0"/>
    <s v="Jinja"/>
    <n v="5"/>
    <s v="not stated"/>
    <n v="36"/>
  </r>
  <r>
    <s v="P657"/>
    <s v="Wanda Maximoff"/>
    <x v="1"/>
    <d v="1956-08-24T00:00:00"/>
    <x v="72"/>
    <s v="still admitted"/>
    <x v="2"/>
    <x v="2"/>
    <x v="0"/>
    <n v="4688596"/>
    <x v="0"/>
    <x v="0"/>
    <s v="Kampala"/>
    <s v="Still Admitted"/>
    <s v="Recovered"/>
    <n v="68"/>
  </r>
  <r>
    <s v="P658"/>
    <s v="James Bond"/>
    <x v="0"/>
    <d v="1992-03-05T00:00:00"/>
    <x v="27"/>
    <d v="2024-05-09T00:00:00"/>
    <x v="4"/>
    <x v="4"/>
    <x v="0"/>
    <n v="4364204"/>
    <x v="0"/>
    <x v="2"/>
    <s v="Kampala"/>
    <n v="5"/>
    <s v="Recovered"/>
    <n v="32"/>
  </r>
  <r>
    <s v="P659"/>
    <s v="Linda White"/>
    <x v="0"/>
    <d v="1987-07-08T00:00:00"/>
    <x v="31"/>
    <d v="2024-06-10T00:00:00"/>
    <x v="10"/>
    <x v="6"/>
    <x v="3"/>
    <n v="1638000"/>
    <x v="0"/>
    <x v="2"/>
    <s v="Jinja"/>
    <n v="4"/>
    <s v="not stated"/>
    <n v="37"/>
  </r>
  <r>
    <s v="P660"/>
    <s v="Scott Lang"/>
    <x v="0"/>
    <d v="1998-10-02T00:00:00"/>
    <x v="34"/>
    <d v="2024-03-31T00:00:00"/>
    <x v="1"/>
    <x v="1"/>
    <x v="1"/>
    <n v="2285832"/>
    <x v="0"/>
    <x v="0"/>
    <s v="Entebbe"/>
    <n v="15"/>
    <s v="Recovered"/>
    <n v="26"/>
  </r>
  <r>
    <s v="P661"/>
    <s v="Diana Prince"/>
    <x v="1"/>
    <d v="1961-06-28T00:00:00"/>
    <x v="130"/>
    <d v="2024-05-06T00:00:00"/>
    <x v="5"/>
    <x v="5"/>
    <x v="0"/>
    <n v="3534364"/>
    <x v="1"/>
    <x v="2"/>
    <s v="Entebbe"/>
    <n v="1"/>
    <s v="Referred"/>
    <n v="63"/>
  </r>
  <r>
    <s v="P662"/>
    <s v="Tony Stark"/>
    <x v="1"/>
    <d v="1973-05-22T00:00:00"/>
    <x v="165"/>
    <d v="2024-03-15T00:00:00"/>
    <x v="5"/>
    <x v="5"/>
    <x v="1"/>
    <n v="2085916"/>
    <x v="1"/>
    <x v="0"/>
    <s v="Jinja"/>
    <n v="6"/>
    <s v="not stated"/>
    <n v="51"/>
  </r>
  <r>
    <s v="P663"/>
    <s v="Bruce Wayne"/>
    <x v="1"/>
    <d v="2004-04-10T00:00:00"/>
    <x v="113"/>
    <s v="still admitted"/>
    <x v="8"/>
    <x v="5"/>
    <x v="2"/>
    <n v="4647104"/>
    <x v="0"/>
    <x v="0"/>
    <s v="Entebbe"/>
    <s v="Still Admitted"/>
    <s v="not stated"/>
    <n v="20"/>
  </r>
  <r>
    <s v="P664"/>
    <s v="Nancy Drew"/>
    <x v="0"/>
    <d v="1964-06-24T00:00:00"/>
    <x v="82"/>
    <d v="2024-04-06T00:00:00"/>
    <x v="9"/>
    <x v="5"/>
    <x v="2"/>
    <n v="531852"/>
    <x v="1"/>
    <x v="2"/>
    <s v="Entebbe"/>
    <n v="12"/>
    <s v="Referred"/>
    <n v="60"/>
  </r>
  <r>
    <s v="P665"/>
    <s v="John Doe"/>
    <x v="1"/>
    <d v="2006-08-29T00:00:00"/>
    <x v="75"/>
    <d v="2024-01-23T00:00:00"/>
    <x v="6"/>
    <x v="0"/>
    <x v="0"/>
    <n v="2459344"/>
    <x v="0"/>
    <x v="1"/>
    <s v="Jinja"/>
    <n v="14"/>
    <s v="not stated"/>
    <n v="18"/>
  </r>
  <r>
    <s v="P666"/>
    <s v="John Doe"/>
    <x v="0"/>
    <d v="1998-08-07T00:00:00"/>
    <x v="96"/>
    <d v="2024-02-04T00:00:00"/>
    <x v="8"/>
    <x v="5"/>
    <x v="4"/>
    <n v="514500"/>
    <x v="0"/>
    <x v="2"/>
    <s v="Kampala"/>
    <n v="10"/>
    <s v="not stated"/>
    <n v="26"/>
  </r>
  <r>
    <s v="P667"/>
    <s v="Natasha Romanoff"/>
    <x v="1"/>
    <d v="1976-02-17T00:00:00"/>
    <x v="12"/>
    <d v="2024-02-02T00:00:00"/>
    <x v="10"/>
    <x v="6"/>
    <x v="3"/>
    <n v="4496224"/>
    <x v="2"/>
    <x v="1"/>
    <s v="Entebbe"/>
    <n v="9"/>
    <s v="not stated"/>
    <n v="48"/>
  </r>
  <r>
    <s v="P668"/>
    <s v="Sarah Connor"/>
    <x v="1"/>
    <d v="1970-02-07T00:00:00"/>
    <x v="54"/>
    <d v="2024-04-19T00:00:00"/>
    <x v="6"/>
    <x v="0"/>
    <x v="1"/>
    <n v="1486168"/>
    <x v="0"/>
    <x v="0"/>
    <s v="Kampala"/>
    <n v="8"/>
    <s v="not stated"/>
    <n v="54"/>
  </r>
  <r>
    <s v="P669"/>
    <s v="Michael Brown"/>
    <x v="1"/>
    <d v="1986-03-04T00:00:00"/>
    <x v="25"/>
    <s v="still admitted"/>
    <x v="10"/>
    <x v="6"/>
    <x v="1"/>
    <n v="2579500"/>
    <x v="0"/>
    <x v="1"/>
    <s v="Entebbe"/>
    <s v="Still Admitted"/>
    <s v="Referred"/>
    <n v="38"/>
  </r>
  <r>
    <s v="P670"/>
    <s v="Chris Evans"/>
    <x v="1"/>
    <d v="1968-10-08T00:00:00"/>
    <x v="158"/>
    <d v="2024-05-30T00:00:00"/>
    <x v="8"/>
    <x v="5"/>
    <x v="3"/>
    <n v="4107708"/>
    <x v="0"/>
    <x v="2"/>
    <s v="Jinja"/>
    <n v="11"/>
    <s v="Recovered"/>
    <n v="56"/>
  </r>
  <r>
    <s v="P671"/>
    <s v="Linda White"/>
    <x v="0"/>
    <d v="1960-11-24T00:00:00"/>
    <x v="144"/>
    <d v="2024-02-22T00:00:00"/>
    <x v="1"/>
    <x v="1"/>
    <x v="0"/>
    <n v="5212904"/>
    <x v="0"/>
    <x v="2"/>
    <s v="Entebbe"/>
    <n v="2"/>
    <s v="Recovered"/>
    <n v="64"/>
  </r>
  <r>
    <s v="P672"/>
    <s v="Peter Parker"/>
    <x v="1"/>
    <d v="1974-04-28T00:00:00"/>
    <x v="31"/>
    <d v="2024-06-09T00:00:00"/>
    <x v="5"/>
    <x v="5"/>
    <x v="3"/>
    <n v="1813000"/>
    <x v="1"/>
    <x v="2"/>
    <s v="Entebbe"/>
    <n v="3"/>
    <s v="Referred"/>
    <n v="50"/>
  </r>
  <r>
    <s v="P673"/>
    <s v="David Kim"/>
    <x v="1"/>
    <d v="1997-01-16T00:00:00"/>
    <x v="151"/>
    <d v="2024-01-06T00:00:00"/>
    <x v="7"/>
    <x v="4"/>
    <x v="1"/>
    <n v="1825648"/>
    <x v="0"/>
    <x v="2"/>
    <s v="Entebbe"/>
    <n v="3"/>
    <s v="not stated"/>
    <n v="27"/>
  </r>
  <r>
    <s v="P674"/>
    <s v="Scott Lang"/>
    <x v="1"/>
    <d v="1955-12-28T00:00:00"/>
    <x v="138"/>
    <d v="2024-06-12T00:00:00"/>
    <x v="5"/>
    <x v="5"/>
    <x v="2"/>
    <n v="3402000"/>
    <x v="0"/>
    <x v="2"/>
    <s v="Entebbe"/>
    <n v="1"/>
    <s v="not stated"/>
    <n v="69"/>
  </r>
  <r>
    <s v="P675"/>
    <s v="Michael Brown"/>
    <x v="0"/>
    <d v="1963-09-04T00:00:00"/>
    <x v="112"/>
    <d v="2024-03-06T00:00:00"/>
    <x v="3"/>
    <x v="3"/>
    <x v="4"/>
    <n v="4911144"/>
    <x v="0"/>
    <x v="2"/>
    <s v="Jinja"/>
    <n v="10"/>
    <s v="Referred"/>
    <n v="61"/>
  </r>
  <r>
    <s v="P676"/>
    <s v="Linda White"/>
    <x v="0"/>
    <d v="1970-10-19T00:00:00"/>
    <x v="12"/>
    <s v="still admitted"/>
    <x v="10"/>
    <x v="6"/>
    <x v="0"/>
    <n v="2874264"/>
    <x v="0"/>
    <x v="0"/>
    <s v="Jinja"/>
    <s v="Still Admitted"/>
    <s v="not stated"/>
    <n v="54"/>
  </r>
  <r>
    <s v="P677"/>
    <s v="Bruce Wayne"/>
    <x v="0"/>
    <d v="1994-11-22T00:00:00"/>
    <x v="79"/>
    <d v="2024-03-09T00:00:00"/>
    <x v="8"/>
    <x v="5"/>
    <x v="2"/>
    <n v="4091500"/>
    <x v="1"/>
    <x v="1"/>
    <s v="Jinja"/>
    <n v="7"/>
    <s v="not stated"/>
    <n v="30"/>
  </r>
  <r>
    <s v="P678"/>
    <s v="David Kim"/>
    <x v="2"/>
    <d v="1989-03-24T00:00:00"/>
    <x v="130"/>
    <d v="2024-05-14T00:00:00"/>
    <x v="6"/>
    <x v="0"/>
    <x v="0"/>
    <n v="528500"/>
    <x v="2"/>
    <x v="2"/>
    <s v="Jinja"/>
    <n v="9"/>
    <s v="not stated"/>
    <n v="35"/>
  </r>
  <r>
    <s v="P679"/>
    <s v="Diana Prince"/>
    <x v="0"/>
    <d v="1966-01-22T00:00:00"/>
    <x v="144"/>
    <d v="2024-02-24T00:00:00"/>
    <x v="0"/>
    <x v="0"/>
    <x v="1"/>
    <n v="1022000"/>
    <x v="0"/>
    <x v="1"/>
    <s v="Jinja"/>
    <n v="4"/>
    <s v="not stated"/>
    <n v="58"/>
  </r>
  <r>
    <s v="P680"/>
    <s v="Natasha Romanoff"/>
    <x v="1"/>
    <d v="1953-12-10T00:00:00"/>
    <x v="49"/>
    <d v="2024-03-25T00:00:00"/>
    <x v="10"/>
    <x v="6"/>
    <x v="3"/>
    <n v="3885160"/>
    <x v="0"/>
    <x v="2"/>
    <s v="Jinja"/>
    <n v="14"/>
    <s v="not stated"/>
    <n v="71"/>
  </r>
  <r>
    <s v="P681"/>
    <s v="Jane Smith"/>
    <x v="0"/>
    <d v="1952-08-02T00:00:00"/>
    <x v="156"/>
    <d v="2024-07-02T00:00:00"/>
    <x v="1"/>
    <x v="1"/>
    <x v="2"/>
    <n v="1297568"/>
    <x v="2"/>
    <x v="1"/>
    <s v="Entebbe"/>
    <n v="3"/>
    <s v="not stated"/>
    <n v="72"/>
  </r>
  <r>
    <s v="P682"/>
    <s v="James Bond"/>
    <x v="1"/>
    <d v="2005-01-31T00:00:00"/>
    <x v="84"/>
    <d v="2024-03-29T00:00:00"/>
    <x v="2"/>
    <x v="2"/>
    <x v="3"/>
    <n v="3489100"/>
    <x v="0"/>
    <x v="1"/>
    <s v="Kampala"/>
    <n v="3"/>
    <s v="Recovered"/>
    <n v="19"/>
  </r>
  <r>
    <s v="P683"/>
    <s v="Chris Evans"/>
    <x v="0"/>
    <d v="1965-06-26T00:00:00"/>
    <x v="80"/>
    <d v="2024-01-24T00:00:00"/>
    <x v="3"/>
    <x v="3"/>
    <x v="3"/>
    <n v="371000"/>
    <x v="0"/>
    <x v="2"/>
    <s v="Kampala"/>
    <n v="12"/>
    <s v="not stated"/>
    <n v="59"/>
  </r>
  <r>
    <s v="P684"/>
    <s v="TChalla"/>
    <x v="1"/>
    <d v="1957-11-28T00:00:00"/>
    <x v="12"/>
    <d v="2024-01-27T00:00:00"/>
    <x v="0"/>
    <x v="0"/>
    <x v="0"/>
    <n v="1682312"/>
    <x v="0"/>
    <x v="2"/>
    <s v="Entebbe"/>
    <n v="3"/>
    <s v="not stated"/>
    <n v="67"/>
  </r>
  <r>
    <s v="P685"/>
    <s v="Peter Parker"/>
    <x v="2"/>
    <d v="2007-08-17T00:00:00"/>
    <x v="63"/>
    <s v="still admitted"/>
    <x v="5"/>
    <x v="5"/>
    <x v="1"/>
    <n v="1354500"/>
    <x v="2"/>
    <x v="0"/>
    <s v="Kampala"/>
    <s v="Still Admitted"/>
    <s v="Recovered"/>
    <n v="17"/>
  </r>
  <r>
    <s v="P686"/>
    <s v="Peter Parker"/>
    <x v="0"/>
    <d v="1989-06-09T00:00:00"/>
    <x v="12"/>
    <d v="2024-01-30T00:00:00"/>
    <x v="6"/>
    <x v="0"/>
    <x v="1"/>
    <n v="5250624"/>
    <x v="0"/>
    <x v="2"/>
    <s v="Kampala"/>
    <n v="6"/>
    <s v="not stated"/>
    <n v="35"/>
  </r>
  <r>
    <s v="P687"/>
    <s v="Clark Kent"/>
    <x v="1"/>
    <d v="1975-11-25T00:00:00"/>
    <x v="16"/>
    <s v="still admitted"/>
    <x v="4"/>
    <x v="4"/>
    <x v="0"/>
    <n v="3699500"/>
    <x v="0"/>
    <x v="1"/>
    <s v="Jinja"/>
    <s v="Still Admitted"/>
    <s v="Referred"/>
    <n v="49"/>
  </r>
  <r>
    <s v="P688"/>
    <s v="Steve Rogers"/>
    <x v="0"/>
    <d v="1978-12-23T00:00:00"/>
    <x v="30"/>
    <d v="2024-06-08T00:00:00"/>
    <x v="8"/>
    <x v="5"/>
    <x v="0"/>
    <n v="4861500"/>
    <x v="0"/>
    <x v="0"/>
    <s v="Entebbe"/>
    <n v="15"/>
    <s v="not stated"/>
    <n v="46"/>
  </r>
  <r>
    <s v="P689"/>
    <s v="Linda White"/>
    <x v="0"/>
    <d v="1977-06-24T00:00:00"/>
    <x v="29"/>
    <d v="2024-05-07T00:00:00"/>
    <x v="0"/>
    <x v="0"/>
    <x v="3"/>
    <n v="3734280"/>
    <x v="2"/>
    <x v="0"/>
    <s v="Entebbe"/>
    <n v="8"/>
    <s v="Referred"/>
    <n v="47"/>
  </r>
  <r>
    <s v="P690"/>
    <s v="Diana Prince"/>
    <x v="0"/>
    <d v="1953-08-07T00:00:00"/>
    <x v="117"/>
    <d v="2024-05-22T00:00:00"/>
    <x v="0"/>
    <x v="0"/>
    <x v="4"/>
    <n v="595976"/>
    <x v="1"/>
    <x v="0"/>
    <s v="Entebbe"/>
    <n v="13"/>
    <s v="not stated"/>
    <n v="71"/>
  </r>
  <r>
    <s v="P691"/>
    <s v="TChalla"/>
    <x v="2"/>
    <d v="1962-07-09T00:00:00"/>
    <x v="45"/>
    <d v="2024-06-19T00:00:00"/>
    <x v="5"/>
    <x v="5"/>
    <x v="2"/>
    <n v="1361500"/>
    <x v="2"/>
    <x v="2"/>
    <s v="Kampala"/>
    <n v="1"/>
    <s v="Recovered"/>
    <n v="62"/>
  </r>
  <r>
    <s v="P692"/>
    <s v="Linda White"/>
    <x v="0"/>
    <d v="1977-08-04T00:00:00"/>
    <x v="95"/>
    <d v="2024-02-24T00:00:00"/>
    <x v="4"/>
    <x v="4"/>
    <x v="3"/>
    <n v="4329500"/>
    <x v="0"/>
    <x v="2"/>
    <s v="Kampala"/>
    <n v="7"/>
    <s v="not stated"/>
    <n v="47"/>
  </r>
  <r>
    <s v="P693"/>
    <s v="Diana Prince"/>
    <x v="1"/>
    <d v="1969-01-23T00:00:00"/>
    <x v="58"/>
    <d v="2024-07-02T00:00:00"/>
    <x v="7"/>
    <x v="4"/>
    <x v="0"/>
    <n v="2832772"/>
    <x v="2"/>
    <x v="2"/>
    <s v="Entebbe"/>
    <n v="12"/>
    <s v="Referred"/>
    <n v="55"/>
  </r>
  <r>
    <s v="P694"/>
    <s v="Diana Prince"/>
    <x v="0"/>
    <d v="1956-06-06T00:00:00"/>
    <x v="130"/>
    <d v="2024-05-15T00:00:00"/>
    <x v="4"/>
    <x v="4"/>
    <x v="1"/>
    <n v="3002512"/>
    <x v="1"/>
    <x v="2"/>
    <s v="Kampala"/>
    <n v="10"/>
    <s v="Referred"/>
    <n v="68"/>
  </r>
  <r>
    <s v="P695"/>
    <s v="Jane Smith"/>
    <x v="1"/>
    <d v="1977-02-01T00:00:00"/>
    <x v="12"/>
    <d v="2024-01-27T00:00:00"/>
    <x v="3"/>
    <x v="3"/>
    <x v="1"/>
    <n v="3364624"/>
    <x v="0"/>
    <x v="2"/>
    <s v="Entebbe"/>
    <n v="3"/>
    <s v="Referred"/>
    <n v="47"/>
  </r>
  <r>
    <s v="P696"/>
    <s v="Wanda Maximoff"/>
    <x v="2"/>
    <d v="1959-07-20T00:00:00"/>
    <x v="28"/>
    <d v="2024-01-24T00:00:00"/>
    <x v="9"/>
    <x v="5"/>
    <x v="1"/>
    <n v="1369236"/>
    <x v="2"/>
    <x v="1"/>
    <s v="Entebbe"/>
    <n v="2"/>
    <s v="Referred"/>
    <n v="65"/>
  </r>
  <r>
    <s v="P697"/>
    <s v="Jane Smith"/>
    <x v="0"/>
    <d v="1988-02-16T00:00:00"/>
    <x v="138"/>
    <d v="2024-06-24T00:00:00"/>
    <x v="2"/>
    <x v="2"/>
    <x v="2"/>
    <n v="3741500"/>
    <x v="1"/>
    <x v="2"/>
    <s v="Kampala"/>
    <n v="13"/>
    <s v="not stated"/>
    <n v="36"/>
  </r>
  <r>
    <s v="P698"/>
    <s v="Michael Brown"/>
    <x v="1"/>
    <d v="1950-08-16T00:00:00"/>
    <x v="169"/>
    <d v="2024-07-14T00:00:00"/>
    <x v="1"/>
    <x v="1"/>
    <x v="1"/>
    <n v="2549872"/>
    <x v="0"/>
    <x v="2"/>
    <s v="Entebbe"/>
    <n v="14"/>
    <s v="not stated"/>
    <n v="74"/>
  </r>
  <r>
    <s v="P699"/>
    <s v="Clark Kent"/>
    <x v="0"/>
    <d v="1988-03-11T00:00:00"/>
    <x v="131"/>
    <d v="2024-06-22T00:00:00"/>
    <x v="3"/>
    <x v="3"/>
    <x v="1"/>
    <n v="3598488"/>
    <x v="2"/>
    <x v="2"/>
    <s v="Entebbe"/>
    <n v="1"/>
    <s v="Recovered"/>
    <n v="36"/>
  </r>
  <r>
    <s v="P700"/>
    <s v="Jane Smith"/>
    <x v="0"/>
    <d v="1985-07-19T00:00:00"/>
    <x v="39"/>
    <d v="2024-02-17T00:00:00"/>
    <x v="6"/>
    <x v="0"/>
    <x v="1"/>
    <n v="2317000"/>
    <x v="2"/>
    <x v="0"/>
    <s v="Jinja"/>
    <n v="3"/>
    <s v="Referred"/>
    <n v="39"/>
  </r>
  <r>
    <s v="P701"/>
    <s v="Michael Brown"/>
    <x v="0"/>
    <d v="1983-06-12T00:00:00"/>
    <x v="150"/>
    <d v="2024-02-19T00:00:00"/>
    <x v="8"/>
    <x v="5"/>
    <x v="3"/>
    <n v="2708296"/>
    <x v="2"/>
    <x v="1"/>
    <s v="Kampala"/>
    <n v="12"/>
    <s v="not stated"/>
    <n v="41"/>
  </r>
  <r>
    <s v="P702"/>
    <s v="Michael Brown"/>
    <x v="2"/>
    <d v="1988-11-19T00:00:00"/>
    <x v="121"/>
    <d v="2024-02-29T00:00:00"/>
    <x v="9"/>
    <x v="5"/>
    <x v="4"/>
    <n v="4028496"/>
    <x v="2"/>
    <x v="2"/>
    <s v="Jinja"/>
    <n v="10"/>
    <s v="Referred"/>
    <n v="36"/>
  </r>
  <r>
    <s v="P703"/>
    <s v="Jane Smith"/>
    <x v="0"/>
    <d v="1985-10-07T00:00:00"/>
    <x v="19"/>
    <d v="2024-06-29T00:00:00"/>
    <x v="9"/>
    <x v="5"/>
    <x v="1"/>
    <n v="5450540"/>
    <x v="0"/>
    <x v="2"/>
    <s v="Entebbe"/>
    <n v="7"/>
    <s v="Referred"/>
    <n v="39"/>
  </r>
  <r>
    <s v="P704"/>
    <s v="Nancy Drew"/>
    <x v="1"/>
    <d v="1951-08-16T00:00:00"/>
    <x v="65"/>
    <d v="2024-03-09T00:00:00"/>
    <x v="0"/>
    <x v="0"/>
    <x v="3"/>
    <n v="4616500"/>
    <x v="1"/>
    <x v="2"/>
    <s v="Entebbe"/>
    <n v="12"/>
    <s v="Referred"/>
    <n v="73"/>
  </r>
  <r>
    <s v="P705"/>
    <s v="Bruce Wayne"/>
    <x v="0"/>
    <d v="1989-11-13T00:00:00"/>
    <x v="90"/>
    <d v="2024-05-10T00:00:00"/>
    <x v="6"/>
    <x v="0"/>
    <x v="1"/>
    <n v="3489100"/>
    <x v="1"/>
    <x v="1"/>
    <s v="Jinja"/>
    <n v="12"/>
    <s v="Recovered"/>
    <n v="35"/>
  </r>
  <r>
    <s v="P706"/>
    <s v="Wanda Maximoff"/>
    <x v="0"/>
    <d v="1977-04-11T00:00:00"/>
    <x v="133"/>
    <d v="2024-03-22T00:00:00"/>
    <x v="0"/>
    <x v="0"/>
    <x v="0"/>
    <n v="4823000"/>
    <x v="1"/>
    <x v="2"/>
    <s v="Entebbe"/>
    <n v="1"/>
    <s v="Referred"/>
    <n v="47"/>
  </r>
  <r>
    <s v="P707"/>
    <s v="Natasha Romanoff"/>
    <x v="1"/>
    <d v="1983-09-02T00:00:00"/>
    <x v="89"/>
    <s v="still admitted"/>
    <x v="4"/>
    <x v="4"/>
    <x v="0"/>
    <n v="4438000"/>
    <x v="0"/>
    <x v="0"/>
    <s v="Jinja"/>
    <s v="Still Admitted"/>
    <s v="Referred"/>
    <n v="41"/>
  </r>
  <r>
    <s v="P708"/>
    <s v="James Bond"/>
    <x v="1"/>
    <d v="2003-10-06T00:00:00"/>
    <x v="102"/>
    <d v="2024-04-02T00:00:00"/>
    <x v="2"/>
    <x v="2"/>
    <x v="4"/>
    <n v="3406116"/>
    <x v="2"/>
    <x v="2"/>
    <s v="Entebbe"/>
    <n v="11"/>
    <s v="Referred"/>
    <n v="21"/>
  </r>
  <r>
    <s v="P709"/>
    <s v="Linda White"/>
    <x v="1"/>
    <d v="1975-11-16T00:00:00"/>
    <x v="141"/>
    <d v="2024-05-27T00:00:00"/>
    <x v="6"/>
    <x v="0"/>
    <x v="1"/>
    <n v="4858336"/>
    <x v="2"/>
    <x v="2"/>
    <s v="Kampala"/>
    <n v="11"/>
    <s v="Recovered"/>
    <n v="49"/>
  </r>
  <r>
    <s v="P710"/>
    <s v="Scott Lang"/>
    <x v="0"/>
    <d v="1995-02-28T00:00:00"/>
    <x v="119"/>
    <d v="2024-06-08T00:00:00"/>
    <x v="3"/>
    <x v="3"/>
    <x v="3"/>
    <n v="4020952"/>
    <x v="0"/>
    <x v="1"/>
    <s v="Jinja"/>
    <n v="6"/>
    <s v="not stated"/>
    <n v="29"/>
  </r>
  <r>
    <s v="P711"/>
    <s v="Stephen Strange"/>
    <x v="0"/>
    <d v="1967-04-27T00:00:00"/>
    <x v="14"/>
    <d v="2024-05-01T00:00:00"/>
    <x v="10"/>
    <x v="6"/>
    <x v="0"/>
    <n v="2866720"/>
    <x v="0"/>
    <x v="1"/>
    <s v="Kampala"/>
    <n v="4"/>
    <s v="Referred"/>
    <n v="57"/>
  </r>
  <r>
    <s v="P712"/>
    <s v="Nancy Drew"/>
    <x v="1"/>
    <d v="2004-02-14T00:00:00"/>
    <x v="79"/>
    <d v="2024-03-11T00:00:00"/>
    <x v="0"/>
    <x v="0"/>
    <x v="1"/>
    <n v="1606872"/>
    <x v="2"/>
    <x v="1"/>
    <s v="Kampala"/>
    <n v="9"/>
    <s v="not stated"/>
    <n v="20"/>
  </r>
  <r>
    <s v="P713"/>
    <s v="Wanda Maximoff"/>
    <x v="1"/>
    <d v="1984-07-27T00:00:00"/>
    <x v="145"/>
    <d v="2024-04-25T00:00:00"/>
    <x v="0"/>
    <x v="0"/>
    <x v="4"/>
    <n v="558256"/>
    <x v="2"/>
    <x v="1"/>
    <s v="Entebbe"/>
    <n v="9"/>
    <s v="not stated"/>
    <n v="40"/>
  </r>
  <r>
    <s v="P714"/>
    <s v="Clark Kent"/>
    <x v="1"/>
    <d v="1995-11-23T00:00:00"/>
    <x v="57"/>
    <s v="still admitted"/>
    <x v="5"/>
    <x v="5"/>
    <x v="2"/>
    <n v="4854564"/>
    <x v="0"/>
    <x v="2"/>
    <s v="Entebbe"/>
    <s v="Still Admitted"/>
    <s v="Recovered"/>
    <n v="29"/>
  </r>
  <r>
    <s v="P715"/>
    <s v="James Bond"/>
    <x v="0"/>
    <d v="1958-09-18T00:00:00"/>
    <x v="5"/>
    <d v="2024-06-25T00:00:00"/>
    <x v="4"/>
    <x v="4"/>
    <x v="1"/>
    <n v="2803500"/>
    <x v="2"/>
    <x v="2"/>
    <s v="Entebbe"/>
    <n v="12"/>
    <s v="Referred"/>
    <n v="66"/>
  </r>
  <r>
    <s v="P716"/>
    <s v="Jane Smith"/>
    <x v="2"/>
    <d v="1962-07-25T00:00:00"/>
    <x v="25"/>
    <s v="still admitted"/>
    <x v="8"/>
    <x v="5"/>
    <x v="1"/>
    <n v="2436000"/>
    <x v="0"/>
    <x v="2"/>
    <s v="Entebbe"/>
    <s v="Still Admitted"/>
    <s v="Referred"/>
    <n v="62"/>
  </r>
  <r>
    <s v="P717"/>
    <s v="David Kim"/>
    <x v="1"/>
    <d v="2004-06-30T00:00:00"/>
    <x v="43"/>
    <d v="2024-04-09T00:00:00"/>
    <x v="0"/>
    <x v="0"/>
    <x v="0"/>
    <n v="4888512"/>
    <x v="0"/>
    <x v="2"/>
    <s v="Jinja"/>
    <n v="1"/>
    <s v="not stated"/>
    <n v="20"/>
  </r>
  <r>
    <s v="P718"/>
    <s v="Natasha Romanoff"/>
    <x v="0"/>
    <d v="1965-04-15T00:00:00"/>
    <x v="5"/>
    <d v="2024-06-22T00:00:00"/>
    <x v="2"/>
    <x v="2"/>
    <x v="1"/>
    <n v="4122796"/>
    <x v="1"/>
    <x v="2"/>
    <s v="Kampala"/>
    <n v="9"/>
    <s v="Recovered"/>
    <n v="59"/>
  </r>
  <r>
    <s v="P719"/>
    <s v="Michael Brown"/>
    <x v="0"/>
    <d v="1970-03-04T00:00:00"/>
    <x v="93"/>
    <d v="2024-03-03T00:00:00"/>
    <x v="6"/>
    <x v="0"/>
    <x v="1"/>
    <n v="4228412"/>
    <x v="1"/>
    <x v="1"/>
    <s v="Jinja"/>
    <n v="10"/>
    <s v="not stated"/>
    <n v="54"/>
  </r>
  <r>
    <s v="P720"/>
    <s v="James Bond"/>
    <x v="0"/>
    <d v="2009-08-04T00:00:00"/>
    <x v="180"/>
    <d v="2024-04-21T00:00:00"/>
    <x v="5"/>
    <x v="5"/>
    <x v="4"/>
    <n v="4530172"/>
    <x v="0"/>
    <x v="2"/>
    <s v="Jinja"/>
    <n v="9"/>
    <s v="Referred"/>
    <n v="15"/>
  </r>
  <r>
    <s v="P721"/>
    <s v="Linda White"/>
    <x v="1"/>
    <d v="2008-05-21T00:00:00"/>
    <x v="172"/>
    <d v="2024-03-09T00:00:00"/>
    <x v="2"/>
    <x v="2"/>
    <x v="0"/>
    <n v="1844508"/>
    <x v="0"/>
    <x v="2"/>
    <s v="Kampala"/>
    <n v="10"/>
    <s v="Recovered"/>
    <n v="16"/>
  </r>
  <r>
    <s v="P722"/>
    <s v="TChalla"/>
    <x v="1"/>
    <d v="1991-08-27T00:00:00"/>
    <x v="2"/>
    <d v="2024-05-28T00:00:00"/>
    <x v="4"/>
    <x v="4"/>
    <x v="0"/>
    <n v="3790860"/>
    <x v="2"/>
    <x v="0"/>
    <s v="Kampala"/>
    <n v="11"/>
    <s v="not stated"/>
    <n v="33"/>
  </r>
  <r>
    <s v="P723"/>
    <s v="Peter Parker"/>
    <x v="0"/>
    <d v="1950-11-11T00:00:00"/>
    <x v="157"/>
    <d v="2024-02-02T00:00:00"/>
    <x v="9"/>
    <x v="5"/>
    <x v="2"/>
    <n v="3265500"/>
    <x v="2"/>
    <x v="0"/>
    <s v="Entebbe"/>
    <n v="4"/>
    <s v="Referred"/>
    <n v="74"/>
  </r>
  <r>
    <s v="P724"/>
    <s v="Peter Parker"/>
    <x v="0"/>
    <d v="1997-09-29T00:00:00"/>
    <x v="16"/>
    <d v="2024-04-06T00:00:00"/>
    <x v="6"/>
    <x v="0"/>
    <x v="0"/>
    <n v="1784156"/>
    <x v="0"/>
    <x v="2"/>
    <s v="Jinja"/>
    <n v="9"/>
    <s v="Recovered"/>
    <n v="27"/>
  </r>
  <r>
    <s v="P725"/>
    <s v="Tony Stark"/>
    <x v="1"/>
    <d v="1977-05-01T00:00:00"/>
    <x v="22"/>
    <d v="2024-05-02T00:00:00"/>
    <x v="4"/>
    <x v="4"/>
    <x v="0"/>
    <n v="2165128"/>
    <x v="0"/>
    <x v="2"/>
    <s v="Entebbe"/>
    <n v="9"/>
    <s v="Recovered"/>
    <n v="47"/>
  </r>
  <r>
    <s v="P726"/>
    <s v="Peter Parker"/>
    <x v="0"/>
    <d v="1968-11-12T00:00:00"/>
    <x v="67"/>
    <d v="2024-03-30T00:00:00"/>
    <x v="3"/>
    <x v="3"/>
    <x v="3"/>
    <n v="1473500"/>
    <x v="1"/>
    <x v="2"/>
    <s v="Jinja"/>
    <n v="7"/>
    <s v="not stated"/>
    <n v="56"/>
  </r>
  <r>
    <s v="P727"/>
    <s v="Nancy Drew"/>
    <x v="0"/>
    <d v="1992-05-05T00:00:00"/>
    <x v="115"/>
    <d v="2024-04-16T00:00:00"/>
    <x v="8"/>
    <x v="5"/>
    <x v="1"/>
    <n v="3662612"/>
    <x v="2"/>
    <x v="1"/>
    <s v="Entebbe"/>
    <n v="12"/>
    <s v="Referred"/>
    <n v="32"/>
  </r>
  <r>
    <s v="P728"/>
    <s v="David Kim"/>
    <x v="1"/>
    <d v="1974-08-08T00:00:00"/>
    <x v="156"/>
    <d v="2024-07-11T00:00:00"/>
    <x v="5"/>
    <x v="5"/>
    <x v="1"/>
    <n v="518000"/>
    <x v="2"/>
    <x v="2"/>
    <s v="Entebbe"/>
    <n v="12"/>
    <s v="Recovered"/>
    <n v="50"/>
  </r>
  <r>
    <s v="P729"/>
    <s v="Scott Lang"/>
    <x v="0"/>
    <d v="1989-06-26T00:00:00"/>
    <x v="11"/>
    <d v="2024-02-03T00:00:00"/>
    <x v="0"/>
    <x v="0"/>
    <x v="0"/>
    <n v="5469400"/>
    <x v="2"/>
    <x v="0"/>
    <s v="Entebbe"/>
    <n v="6"/>
    <s v="Referred"/>
    <n v="35"/>
  </r>
  <r>
    <s v="P730"/>
    <s v="Sarah Connor"/>
    <x v="0"/>
    <d v="2007-05-21T00:00:00"/>
    <x v="49"/>
    <d v="2024-03-16T00:00:00"/>
    <x v="10"/>
    <x v="6"/>
    <x v="3"/>
    <n v="878500"/>
    <x v="2"/>
    <x v="0"/>
    <s v="Kampala"/>
    <n v="5"/>
    <s v="Recovered"/>
    <n v="17"/>
  </r>
  <r>
    <s v="P731"/>
    <s v="Michael Brown"/>
    <x v="1"/>
    <d v="1972-01-01T00:00:00"/>
    <x v="59"/>
    <d v="2024-06-09T00:00:00"/>
    <x v="9"/>
    <x v="5"/>
    <x v="2"/>
    <n v="836500"/>
    <x v="0"/>
    <x v="2"/>
    <s v="Jinja"/>
    <n v="14"/>
    <s v="Referred"/>
    <n v="52"/>
  </r>
  <r>
    <s v="P732"/>
    <s v="Nancy Drew"/>
    <x v="1"/>
    <d v="1982-06-30T00:00:00"/>
    <x v="144"/>
    <d v="2024-03-03T00:00:00"/>
    <x v="3"/>
    <x v="3"/>
    <x v="3"/>
    <n v="3549452"/>
    <x v="2"/>
    <x v="2"/>
    <s v="Kampala"/>
    <n v="12"/>
    <s v="not stated"/>
    <n v="42"/>
  </r>
  <r>
    <s v="P733"/>
    <s v="John Doe"/>
    <x v="0"/>
    <d v="1989-03-23T00:00:00"/>
    <x v="117"/>
    <d v="2024-05-17T00:00:00"/>
    <x v="0"/>
    <x v="0"/>
    <x v="3"/>
    <n v="893964"/>
    <x v="1"/>
    <x v="1"/>
    <s v="Jinja"/>
    <n v="8"/>
    <s v="Recovered"/>
    <n v="35"/>
  </r>
  <r>
    <s v="P734"/>
    <s v="Michael Brown"/>
    <x v="0"/>
    <d v="1992-01-11T00:00:00"/>
    <x v="108"/>
    <d v="2024-01-27T00:00:00"/>
    <x v="3"/>
    <x v="3"/>
    <x v="1"/>
    <n v="939228"/>
    <x v="1"/>
    <x v="2"/>
    <s v="Entebbe"/>
    <n v="8"/>
    <s v="not stated"/>
    <n v="32"/>
  </r>
  <r>
    <s v="P735"/>
    <s v="John Doe"/>
    <x v="1"/>
    <d v="2001-07-25T00:00:00"/>
    <x v="175"/>
    <s v="still admitted"/>
    <x v="4"/>
    <x v="4"/>
    <x v="1"/>
    <n v="1428000"/>
    <x v="0"/>
    <x v="2"/>
    <s v="Jinja"/>
    <s v="Still Admitted"/>
    <s v="Recovered"/>
    <n v="23"/>
  </r>
  <r>
    <s v="P736"/>
    <s v="Clark Kent"/>
    <x v="1"/>
    <d v="2001-10-02T00:00:00"/>
    <x v="122"/>
    <d v="2024-02-21T00:00:00"/>
    <x v="9"/>
    <x v="5"/>
    <x v="4"/>
    <n v="678960"/>
    <x v="1"/>
    <x v="2"/>
    <s v="Kampala"/>
    <n v="3"/>
    <s v="Recovered"/>
    <n v="23"/>
  </r>
  <r>
    <s v="P737"/>
    <s v="James Bond"/>
    <x v="1"/>
    <d v="1977-03-06T00:00:00"/>
    <x v="127"/>
    <d v="2024-05-03T00:00:00"/>
    <x v="8"/>
    <x v="5"/>
    <x v="0"/>
    <n v="3772000"/>
    <x v="2"/>
    <x v="1"/>
    <s v="Entebbe"/>
    <n v="15"/>
    <s v="not stated"/>
    <n v="47"/>
  </r>
  <r>
    <s v="P738"/>
    <s v="Diana Prince"/>
    <x v="0"/>
    <d v="1990-02-01T00:00:00"/>
    <x v="180"/>
    <d v="2024-04-19T00:00:00"/>
    <x v="7"/>
    <x v="4"/>
    <x v="4"/>
    <n v="4843248"/>
    <x v="0"/>
    <x v="0"/>
    <s v="Kampala"/>
    <n v="7"/>
    <s v="not stated"/>
    <n v="34"/>
  </r>
  <r>
    <s v="P739"/>
    <s v="Bruce Wayne"/>
    <x v="1"/>
    <d v="1967-02-19T00:00:00"/>
    <x v="12"/>
    <d v="2024-02-02T00:00:00"/>
    <x v="10"/>
    <x v="6"/>
    <x v="0"/>
    <n v="3311816"/>
    <x v="2"/>
    <x v="1"/>
    <s v="Entebbe"/>
    <n v="9"/>
    <s v="Recovered"/>
    <n v="57"/>
  </r>
  <r>
    <s v="P740"/>
    <s v="Peter Parker"/>
    <x v="1"/>
    <d v="1957-07-30T00:00:00"/>
    <x v="162"/>
    <d v="2024-05-05T00:00:00"/>
    <x v="9"/>
    <x v="5"/>
    <x v="2"/>
    <n v="2297148"/>
    <x v="1"/>
    <x v="1"/>
    <s v="Kampala"/>
    <n v="5"/>
    <s v="not stated"/>
    <n v="67"/>
  </r>
  <r>
    <s v="P741"/>
    <s v="Jane Smith"/>
    <x v="0"/>
    <d v="2003-06-28T00:00:00"/>
    <x v="45"/>
    <d v="2024-06-25T00:00:00"/>
    <x v="1"/>
    <x v="1"/>
    <x v="0"/>
    <n v="4383064"/>
    <x v="0"/>
    <x v="2"/>
    <s v="Kampala"/>
    <n v="7"/>
    <s v="Referred"/>
    <n v="21"/>
  </r>
  <r>
    <s v="P742"/>
    <s v="Peter Parker"/>
    <x v="1"/>
    <d v="2006-02-06T00:00:00"/>
    <x v="36"/>
    <s v="still admitted"/>
    <x v="9"/>
    <x v="5"/>
    <x v="0"/>
    <n v="4009636"/>
    <x v="0"/>
    <x v="2"/>
    <s v="Kampala"/>
    <s v="Still Admitted"/>
    <s v="not stated"/>
    <n v="18"/>
  </r>
  <r>
    <s v="P743"/>
    <s v="Wanda Maximoff"/>
    <x v="1"/>
    <d v="1964-03-10T00:00:00"/>
    <x v="129"/>
    <d v="2024-01-06T00:00:00"/>
    <x v="7"/>
    <x v="4"/>
    <x v="1"/>
    <n v="3964372"/>
    <x v="1"/>
    <x v="2"/>
    <s v="Kampala"/>
    <n v="2"/>
    <s v="not stated"/>
    <n v="60"/>
  </r>
  <r>
    <s v="P744"/>
    <s v="Peter Parker"/>
    <x v="1"/>
    <d v="1992-02-14T00:00:00"/>
    <x v="161"/>
    <d v="2024-02-08T00:00:00"/>
    <x v="10"/>
    <x v="6"/>
    <x v="3"/>
    <n v="4786668"/>
    <x v="0"/>
    <x v="0"/>
    <s v="Jinja"/>
    <n v="6"/>
    <s v="Recovered"/>
    <n v="32"/>
  </r>
  <r>
    <s v="P745"/>
    <s v="Michael Brown"/>
    <x v="1"/>
    <d v="1958-07-04T00:00:00"/>
    <x v="164"/>
    <d v="2024-03-18T00:00:00"/>
    <x v="6"/>
    <x v="0"/>
    <x v="1"/>
    <n v="3661000"/>
    <x v="0"/>
    <x v="2"/>
    <s v="Entebbe"/>
    <n v="5"/>
    <s v="not stated"/>
    <n v="66"/>
  </r>
  <r>
    <s v="P746"/>
    <s v="Jane Smith"/>
    <x v="1"/>
    <d v="1984-07-17T00:00:00"/>
    <x v="144"/>
    <s v="still admitted"/>
    <x v="6"/>
    <x v="0"/>
    <x v="2"/>
    <n v="2214164"/>
    <x v="2"/>
    <x v="2"/>
    <s v="Kampala"/>
    <s v="Still Admitted"/>
    <s v="Referred"/>
    <n v="40"/>
  </r>
  <r>
    <s v="P747"/>
    <s v="TChalla"/>
    <x v="1"/>
    <d v="1990-07-24T00:00:00"/>
    <x v="106"/>
    <d v="2024-04-28T00:00:00"/>
    <x v="6"/>
    <x v="0"/>
    <x v="4"/>
    <n v="2765000"/>
    <x v="0"/>
    <x v="2"/>
    <s v="Entebbe"/>
    <n v="2"/>
    <s v="not stated"/>
    <n v="34"/>
  </r>
  <r>
    <s v="P748"/>
    <s v="Sarah Connor"/>
    <x v="1"/>
    <d v="1980-09-18T00:00:00"/>
    <x v="26"/>
    <d v="2024-01-18T00:00:00"/>
    <x v="7"/>
    <x v="4"/>
    <x v="1"/>
    <n v="1233444"/>
    <x v="1"/>
    <x v="2"/>
    <s v="Kampala"/>
    <n v="1"/>
    <s v="Referred"/>
    <n v="44"/>
  </r>
  <r>
    <s v="P749"/>
    <s v="Stephen Strange"/>
    <x v="0"/>
    <d v="1995-04-13T00:00:00"/>
    <x v="54"/>
    <s v="still admitted"/>
    <x v="6"/>
    <x v="0"/>
    <x v="2"/>
    <n v="505448"/>
    <x v="0"/>
    <x v="0"/>
    <s v="Jinja"/>
    <s v="Still Admitted"/>
    <s v="Recovered"/>
    <n v="29"/>
  </r>
  <r>
    <s v="P750"/>
    <s v="Clark Kent"/>
    <x v="0"/>
    <d v="1970-09-03T00:00:00"/>
    <x v="177"/>
    <s v="still admitted"/>
    <x v="3"/>
    <x v="3"/>
    <x v="3"/>
    <n v="5152552"/>
    <x v="0"/>
    <x v="2"/>
    <s v="Kampala"/>
    <s v="Still Admitted"/>
    <s v="Referred"/>
    <n v="54"/>
  </r>
  <r>
    <s v="P751"/>
    <s v="Diana Prince"/>
    <x v="0"/>
    <d v="1987-10-17T00:00:00"/>
    <x v="29"/>
    <s v="still admitted"/>
    <x v="5"/>
    <x v="5"/>
    <x v="0"/>
    <n v="2149000"/>
    <x v="0"/>
    <x v="1"/>
    <s v="Kampala"/>
    <s v="Still Admitted"/>
    <s v="Recovered"/>
    <n v="37"/>
  </r>
  <r>
    <s v="P752"/>
    <s v="Linda White"/>
    <x v="2"/>
    <d v="1971-10-03T00:00:00"/>
    <x v="7"/>
    <d v="2024-02-14T00:00:00"/>
    <x v="8"/>
    <x v="5"/>
    <x v="0"/>
    <n v="2508380"/>
    <x v="2"/>
    <x v="1"/>
    <s v="Jinja"/>
    <n v="4"/>
    <s v="Recovered"/>
    <n v="53"/>
  </r>
  <r>
    <s v="P753"/>
    <s v="Steve Rogers"/>
    <x v="1"/>
    <d v="1974-09-18T00:00:00"/>
    <x v="151"/>
    <d v="2024-01-12T00:00:00"/>
    <x v="6"/>
    <x v="0"/>
    <x v="1"/>
    <n v="2168900"/>
    <x v="0"/>
    <x v="1"/>
    <s v="Jinja"/>
    <n v="9"/>
    <s v="Recovered"/>
    <n v="50"/>
  </r>
  <r>
    <s v="P754"/>
    <s v="Bruce Wayne"/>
    <x v="0"/>
    <d v="1953-09-04T00:00:00"/>
    <x v="20"/>
    <d v="2024-03-13T00:00:00"/>
    <x v="10"/>
    <x v="6"/>
    <x v="1"/>
    <n v="2112320"/>
    <x v="0"/>
    <x v="2"/>
    <s v="Kampala"/>
    <n v="7"/>
    <s v="Referred"/>
    <n v="71"/>
  </r>
  <r>
    <s v="P755"/>
    <s v="Tony Stark"/>
    <x v="1"/>
    <d v="1955-01-31T00:00:00"/>
    <x v="170"/>
    <d v="2024-03-23T00:00:00"/>
    <x v="1"/>
    <x v="1"/>
    <x v="2"/>
    <n v="2149000"/>
    <x v="0"/>
    <x v="1"/>
    <s v="Kampala"/>
    <n v="11"/>
    <s v="Recovered"/>
    <n v="69"/>
  </r>
  <r>
    <s v="P756"/>
    <s v="Natasha Romanoff"/>
    <x v="1"/>
    <d v="2003-01-11T00:00:00"/>
    <x v="176"/>
    <s v="still admitted"/>
    <x v="10"/>
    <x v="6"/>
    <x v="4"/>
    <n v="4745176"/>
    <x v="1"/>
    <x v="2"/>
    <s v="Kampala"/>
    <s v="Still Admitted"/>
    <s v="not stated"/>
    <n v="21"/>
  </r>
  <r>
    <s v="P757"/>
    <s v="TChalla"/>
    <x v="0"/>
    <d v="1960-07-16T00:00:00"/>
    <x v="142"/>
    <d v="2024-04-14T00:00:00"/>
    <x v="8"/>
    <x v="5"/>
    <x v="2"/>
    <n v="3775772"/>
    <x v="1"/>
    <x v="1"/>
    <s v="Entebbe"/>
    <n v="12"/>
    <s v="not stated"/>
    <n v="64"/>
  </r>
  <r>
    <s v="P758"/>
    <s v="John Doe"/>
    <x v="1"/>
    <d v="2000-11-11T00:00:00"/>
    <x v="71"/>
    <s v="still admitted"/>
    <x v="1"/>
    <x v="1"/>
    <x v="0"/>
    <n v="3622500"/>
    <x v="0"/>
    <x v="2"/>
    <s v="Entebbe"/>
    <s v="Still Admitted"/>
    <s v="Referred"/>
    <n v="24"/>
  </r>
  <r>
    <s v="P759"/>
    <s v="Jane Smith"/>
    <x v="0"/>
    <d v="1991-02-09T00:00:00"/>
    <x v="132"/>
    <d v="2024-02-25T00:00:00"/>
    <x v="1"/>
    <x v="1"/>
    <x v="1"/>
    <n v="1704944"/>
    <x v="0"/>
    <x v="2"/>
    <s v="Entebbe"/>
    <n v="14"/>
    <s v="Recovered"/>
    <n v="33"/>
  </r>
  <r>
    <s v="P760"/>
    <s v="Peter Parker"/>
    <x v="0"/>
    <d v="1958-02-11T00:00:00"/>
    <x v="133"/>
    <d v="2024-04-03T00:00:00"/>
    <x v="4"/>
    <x v="4"/>
    <x v="2"/>
    <n v="3829000"/>
    <x v="0"/>
    <x v="2"/>
    <s v="Entebbe"/>
    <n v="13"/>
    <s v="Referred"/>
    <n v="66"/>
  </r>
  <r>
    <s v="P761"/>
    <s v="Sarah Connor"/>
    <x v="1"/>
    <d v="2002-03-14T00:00:00"/>
    <x v="117"/>
    <d v="2024-05-18T00:00:00"/>
    <x v="1"/>
    <x v="1"/>
    <x v="3"/>
    <n v="961860"/>
    <x v="0"/>
    <x v="1"/>
    <s v="Jinja"/>
    <n v="9"/>
    <s v="not stated"/>
    <n v="22"/>
  </r>
  <r>
    <s v="P762"/>
    <s v="Chris Evans"/>
    <x v="1"/>
    <d v="1980-07-08T00:00:00"/>
    <x v="54"/>
    <d v="2024-04-13T00:00:00"/>
    <x v="0"/>
    <x v="0"/>
    <x v="0"/>
    <n v="2878036"/>
    <x v="2"/>
    <x v="1"/>
    <s v="Kampala"/>
    <n v="2"/>
    <s v="Referred"/>
    <n v="44"/>
  </r>
  <r>
    <s v="P763"/>
    <s v="Natasha Romanoff"/>
    <x v="1"/>
    <d v="1969-08-24T00:00:00"/>
    <x v="0"/>
    <d v="2024-03-02T00:00:00"/>
    <x v="9"/>
    <x v="5"/>
    <x v="0"/>
    <n v="535624"/>
    <x v="2"/>
    <x v="2"/>
    <s v="Jinja"/>
    <n v="4"/>
    <s v="Recovered"/>
    <n v="55"/>
  </r>
  <r>
    <s v="P764"/>
    <s v="Linda White"/>
    <x v="2"/>
    <d v="1996-07-10T00:00:00"/>
    <x v="37"/>
    <d v="2024-06-21T00:00:00"/>
    <x v="5"/>
    <x v="5"/>
    <x v="1"/>
    <n v="3191112"/>
    <x v="0"/>
    <x v="2"/>
    <s v="Kampala"/>
    <n v="12"/>
    <s v="Referred"/>
    <n v="28"/>
  </r>
  <r>
    <s v="P765"/>
    <s v="Nancy Drew"/>
    <x v="2"/>
    <d v="1998-04-17T00:00:00"/>
    <x v="96"/>
    <d v="2024-01-27T00:00:00"/>
    <x v="8"/>
    <x v="5"/>
    <x v="3"/>
    <n v="5356240"/>
    <x v="2"/>
    <x v="2"/>
    <s v="Jinja"/>
    <n v="2"/>
    <s v="not stated"/>
    <n v="26"/>
  </r>
  <r>
    <s v="P766"/>
    <s v="Natasha Romanoff"/>
    <x v="0"/>
    <d v="1989-02-17T00:00:00"/>
    <x v="163"/>
    <d v="2024-02-22T00:00:00"/>
    <x v="8"/>
    <x v="5"/>
    <x v="2"/>
    <n v="1516344"/>
    <x v="0"/>
    <x v="1"/>
    <s v="Jinja"/>
    <n v="9"/>
    <s v="Referred"/>
    <n v="35"/>
  </r>
  <r>
    <s v="P767"/>
    <s v="John Doe"/>
    <x v="1"/>
    <d v="2003-08-17T00:00:00"/>
    <x v="146"/>
    <d v="2024-04-24T00:00:00"/>
    <x v="5"/>
    <x v="5"/>
    <x v="3"/>
    <n v="5183500"/>
    <x v="0"/>
    <x v="0"/>
    <s v="Jinja"/>
    <n v="4"/>
    <s v="Referred"/>
    <n v="21"/>
  </r>
  <r>
    <s v="P768"/>
    <s v="Stephen Strange"/>
    <x v="1"/>
    <d v="2002-08-26T00:00:00"/>
    <x v="175"/>
    <d v="2024-01-08T00:00:00"/>
    <x v="7"/>
    <x v="4"/>
    <x v="0"/>
    <n v="4466048"/>
    <x v="0"/>
    <x v="0"/>
    <s v="Kampala"/>
    <n v="6"/>
    <s v="Recovered"/>
    <n v="22"/>
  </r>
  <r>
    <s v="P769"/>
    <s v="John Doe"/>
    <x v="1"/>
    <d v="1994-05-29T00:00:00"/>
    <x v="82"/>
    <s v="still admitted"/>
    <x v="1"/>
    <x v="1"/>
    <x v="3"/>
    <n v="3368396"/>
    <x v="2"/>
    <x v="2"/>
    <s v="Kampala"/>
    <s v="Still Admitted"/>
    <s v="Recovered"/>
    <n v="30"/>
  </r>
  <r>
    <s v="P770"/>
    <s v="Clark Kent"/>
    <x v="1"/>
    <d v="1988-08-11T00:00:00"/>
    <x v="139"/>
    <d v="2024-05-14T00:00:00"/>
    <x v="4"/>
    <x v="4"/>
    <x v="3"/>
    <n v="5265712"/>
    <x v="0"/>
    <x v="2"/>
    <s v="Kampala"/>
    <n v="7"/>
    <s v="not stated"/>
    <n v="36"/>
  </r>
  <r>
    <s v="P771"/>
    <s v="Stephen Strange"/>
    <x v="0"/>
    <d v="1983-06-24T00:00:00"/>
    <x v="163"/>
    <d v="2024-02-22T00:00:00"/>
    <x v="9"/>
    <x v="5"/>
    <x v="1"/>
    <n v="2742244"/>
    <x v="1"/>
    <x v="2"/>
    <s v="Kampala"/>
    <n v="9"/>
    <s v="not stated"/>
    <n v="41"/>
  </r>
  <r>
    <s v="P772"/>
    <s v="Natasha Romanoff"/>
    <x v="1"/>
    <d v="1998-01-06T00:00:00"/>
    <x v="48"/>
    <d v="2024-04-13T00:00:00"/>
    <x v="0"/>
    <x v="0"/>
    <x v="4"/>
    <n v="1742664"/>
    <x v="0"/>
    <x v="0"/>
    <s v="Entebbe"/>
    <n v="15"/>
    <s v="Recovered"/>
    <n v="26"/>
  </r>
  <r>
    <s v="P773"/>
    <s v="Sarah Connor"/>
    <x v="2"/>
    <d v="1977-12-17T00:00:00"/>
    <x v="11"/>
    <d v="2024-02-07T00:00:00"/>
    <x v="7"/>
    <x v="4"/>
    <x v="0"/>
    <n v="5035620"/>
    <x v="1"/>
    <x v="2"/>
    <s v="Entebbe"/>
    <n v="10"/>
    <s v="Referred"/>
    <n v="47"/>
  </r>
  <r>
    <s v="P774"/>
    <s v="Sarah Connor"/>
    <x v="1"/>
    <d v="1999-09-29T00:00:00"/>
    <x v="85"/>
    <d v="2024-03-31T00:00:00"/>
    <x v="4"/>
    <x v="4"/>
    <x v="1"/>
    <n v="647500"/>
    <x v="0"/>
    <x v="2"/>
    <s v="Jinja"/>
    <n v="4"/>
    <s v="not stated"/>
    <n v="25"/>
  </r>
  <r>
    <s v="P775"/>
    <s v="Wanda Maximoff"/>
    <x v="0"/>
    <d v="2009-07-11T00:00:00"/>
    <x v="62"/>
    <d v="2024-05-25T00:00:00"/>
    <x v="5"/>
    <x v="5"/>
    <x v="0"/>
    <n v="3836124"/>
    <x v="0"/>
    <x v="2"/>
    <s v="Entebbe"/>
    <n v="11"/>
    <s v="Referred"/>
    <n v="15"/>
  </r>
  <r>
    <s v="P776"/>
    <s v="Natasha Romanoff"/>
    <x v="0"/>
    <d v="1978-11-05T00:00:00"/>
    <x v="23"/>
    <d v="2024-06-18T00:00:00"/>
    <x v="6"/>
    <x v="0"/>
    <x v="0"/>
    <n v="4450960"/>
    <x v="0"/>
    <x v="1"/>
    <s v="Entebbe"/>
    <n v="13"/>
    <s v="not stated"/>
    <n v="46"/>
  </r>
  <r>
    <s v="P777"/>
    <s v="Linda White"/>
    <x v="1"/>
    <d v="1978-02-20T00:00:00"/>
    <x v="141"/>
    <s v="still admitted"/>
    <x v="5"/>
    <x v="5"/>
    <x v="0"/>
    <n v="3093040"/>
    <x v="2"/>
    <x v="0"/>
    <s v="Jinja"/>
    <s v="Still Admitted"/>
    <s v="Recovered"/>
    <n v="46"/>
  </r>
  <r>
    <s v="P778"/>
    <s v="Sarah Connor"/>
    <x v="1"/>
    <d v="1966-08-30T00:00:00"/>
    <x v="102"/>
    <d v="2024-03-30T00:00:00"/>
    <x v="0"/>
    <x v="0"/>
    <x v="4"/>
    <n v="494132"/>
    <x v="2"/>
    <x v="0"/>
    <s v="Jinja"/>
    <n v="8"/>
    <s v="Referred"/>
    <n v="58"/>
  </r>
  <r>
    <s v="P779"/>
    <s v="Nancy Drew"/>
    <x v="1"/>
    <d v="1979-09-04T00:00:00"/>
    <x v="116"/>
    <d v="2024-04-23T00:00:00"/>
    <x v="9"/>
    <x v="5"/>
    <x v="0"/>
    <n v="5001672"/>
    <x v="1"/>
    <x v="2"/>
    <s v="Entebbe"/>
    <n v="14"/>
    <s v="not stated"/>
    <n v="45"/>
  </r>
  <r>
    <s v="P780"/>
    <s v="James Bond"/>
    <x v="1"/>
    <d v="1974-06-17T00:00:00"/>
    <x v="74"/>
    <d v="2024-07-02T00:00:00"/>
    <x v="5"/>
    <x v="5"/>
    <x v="0"/>
    <n v="3846500"/>
    <x v="1"/>
    <x v="1"/>
    <s v="Jinja"/>
    <n v="7"/>
    <s v="not stated"/>
    <n v="50"/>
  </r>
  <r>
    <s v="P781"/>
    <s v="David Kim"/>
    <x v="1"/>
    <d v="1970-01-02T00:00:00"/>
    <x v="171"/>
    <s v="still admitted"/>
    <x v="10"/>
    <x v="6"/>
    <x v="0"/>
    <n v="4196500"/>
    <x v="0"/>
    <x v="2"/>
    <s v="Jinja"/>
    <s v="Still Admitted"/>
    <s v="Referred"/>
    <n v="54"/>
  </r>
  <r>
    <s v="P782"/>
    <s v="Stephen Strange"/>
    <x v="0"/>
    <d v="1975-07-18T00:00:00"/>
    <x v="11"/>
    <d v="2024-02-12T00:00:00"/>
    <x v="7"/>
    <x v="4"/>
    <x v="2"/>
    <n v="4220868"/>
    <x v="0"/>
    <x v="1"/>
    <s v="Entebbe"/>
    <n v="15"/>
    <s v="Recovered"/>
    <n v="49"/>
  </r>
  <r>
    <s v="P783"/>
    <s v="Diana Prince"/>
    <x v="1"/>
    <d v="1957-07-02T00:00:00"/>
    <x v="79"/>
    <d v="2024-03-10T00:00:00"/>
    <x v="10"/>
    <x v="6"/>
    <x v="2"/>
    <n v="694048"/>
    <x v="0"/>
    <x v="2"/>
    <s v="Kampala"/>
    <n v="8"/>
    <s v="Referred"/>
    <n v="67"/>
  </r>
  <r>
    <s v="P784"/>
    <s v="Linda White"/>
    <x v="0"/>
    <d v="1991-06-14T00:00:00"/>
    <x v="5"/>
    <d v="2024-06-16T00:00:00"/>
    <x v="2"/>
    <x v="2"/>
    <x v="0"/>
    <n v="1795472"/>
    <x v="0"/>
    <x v="2"/>
    <s v="Kampala"/>
    <n v="3"/>
    <s v="Recovered"/>
    <n v="33"/>
  </r>
  <r>
    <s v="P785"/>
    <s v="Wanda Maximoff"/>
    <x v="0"/>
    <d v="1999-12-16T00:00:00"/>
    <x v="109"/>
    <s v="still admitted"/>
    <x v="6"/>
    <x v="0"/>
    <x v="1"/>
    <n v="4375520"/>
    <x v="1"/>
    <x v="0"/>
    <s v="Jinja"/>
    <s v="Still Admitted"/>
    <s v="Recovered"/>
    <n v="25"/>
  </r>
  <r>
    <s v="P786"/>
    <s v="Sarah Connor"/>
    <x v="1"/>
    <d v="1970-12-18T00:00:00"/>
    <x v="3"/>
    <d v="2024-04-21T00:00:00"/>
    <x v="0"/>
    <x v="0"/>
    <x v="2"/>
    <n v="2108548"/>
    <x v="1"/>
    <x v="1"/>
    <s v="Kampala"/>
    <n v="14"/>
    <s v="Referred"/>
    <n v="54"/>
  </r>
  <r>
    <s v="P787"/>
    <s v="Diana Prince"/>
    <x v="0"/>
    <d v="2005-04-08T00:00:00"/>
    <x v="147"/>
    <d v="2024-05-05T00:00:00"/>
    <x v="8"/>
    <x v="5"/>
    <x v="1"/>
    <n v="4077532"/>
    <x v="2"/>
    <x v="2"/>
    <s v="Kampala"/>
    <n v="10"/>
    <s v="not stated"/>
    <n v="19"/>
  </r>
  <r>
    <s v="P788"/>
    <s v="Linda White"/>
    <x v="1"/>
    <d v="1973-01-28T00:00:00"/>
    <x v="115"/>
    <d v="2024-04-09T00:00:00"/>
    <x v="9"/>
    <x v="5"/>
    <x v="1"/>
    <n v="4556576"/>
    <x v="2"/>
    <x v="0"/>
    <s v="Jinja"/>
    <n v="5"/>
    <s v="Referred"/>
    <n v="51"/>
  </r>
  <r>
    <s v="P789"/>
    <s v="Steve Rogers"/>
    <x v="1"/>
    <d v="1990-07-31T00:00:00"/>
    <x v="116"/>
    <d v="2024-04-15T00:00:00"/>
    <x v="3"/>
    <x v="3"/>
    <x v="4"/>
    <n v="1965212"/>
    <x v="0"/>
    <x v="0"/>
    <s v="Jinja"/>
    <n v="6"/>
    <s v="not stated"/>
    <n v="34"/>
  </r>
  <r>
    <s v="P790"/>
    <s v="Scott Lang"/>
    <x v="0"/>
    <d v="1991-07-28T00:00:00"/>
    <x v="177"/>
    <d v="2024-04-08T00:00:00"/>
    <x v="7"/>
    <x v="4"/>
    <x v="3"/>
    <n v="3591000"/>
    <x v="1"/>
    <x v="2"/>
    <s v="Kampala"/>
    <n v="3"/>
    <s v="Referred"/>
    <n v="33"/>
  </r>
  <r>
    <s v="P791"/>
    <s v="Linda White"/>
    <x v="1"/>
    <d v="1984-06-23T00:00:00"/>
    <x v="125"/>
    <s v="still admitted"/>
    <x v="4"/>
    <x v="4"/>
    <x v="4"/>
    <n v="5529752"/>
    <x v="0"/>
    <x v="0"/>
    <s v="Jinja"/>
    <s v="Still Admitted"/>
    <s v="Recovered"/>
    <n v="40"/>
  </r>
  <r>
    <s v="P792"/>
    <s v="Tony Stark"/>
    <x v="0"/>
    <d v="1992-01-15T00:00:00"/>
    <x v="63"/>
    <d v="2024-02-18T00:00:00"/>
    <x v="6"/>
    <x v="0"/>
    <x v="2"/>
    <n v="878876"/>
    <x v="0"/>
    <x v="1"/>
    <s v="Kampala"/>
    <n v="15"/>
    <s v="Referred"/>
    <n v="32"/>
  </r>
  <r>
    <s v="P793"/>
    <s v="James Bond"/>
    <x v="1"/>
    <d v="1963-07-06T00:00:00"/>
    <x v="94"/>
    <d v="2024-04-03T00:00:00"/>
    <x v="0"/>
    <x v="0"/>
    <x v="1"/>
    <n v="3752000"/>
    <x v="0"/>
    <x v="2"/>
    <s v="Entebbe"/>
    <n v="15"/>
    <s v="not stated"/>
    <n v="61"/>
  </r>
  <r>
    <s v="P794"/>
    <s v="David Kim"/>
    <x v="1"/>
    <d v="1987-04-01T00:00:00"/>
    <x v="141"/>
    <d v="2024-05-25T00:00:00"/>
    <x v="5"/>
    <x v="5"/>
    <x v="2"/>
    <n v="2300920"/>
    <x v="0"/>
    <x v="2"/>
    <s v="Kampala"/>
    <n v="9"/>
    <s v="Referred"/>
    <n v="37"/>
  </r>
  <r>
    <s v="P795"/>
    <s v="Diana Prince"/>
    <x v="1"/>
    <d v="1965-04-17T00:00:00"/>
    <x v="1"/>
    <d v="2024-06-09T00:00:00"/>
    <x v="10"/>
    <x v="6"/>
    <x v="1"/>
    <n v="5162500"/>
    <x v="0"/>
    <x v="1"/>
    <s v="Entebbe"/>
    <n v="10"/>
    <s v="Recovered"/>
    <n v="59"/>
  </r>
  <r>
    <s v="P796"/>
    <s v="Peter Parker"/>
    <x v="1"/>
    <d v="1985-04-25T00:00:00"/>
    <x v="157"/>
    <d v="2024-02-04T00:00:00"/>
    <x v="7"/>
    <x v="4"/>
    <x v="4"/>
    <n v="4198236"/>
    <x v="1"/>
    <x v="2"/>
    <s v="Kampala"/>
    <n v="6"/>
    <s v="Recovered"/>
    <n v="39"/>
  </r>
  <r>
    <s v="P797"/>
    <s v="Chris Evans"/>
    <x v="0"/>
    <d v="1952-02-08T00:00:00"/>
    <x v="102"/>
    <s v="still admitted"/>
    <x v="4"/>
    <x v="4"/>
    <x v="1"/>
    <n v="2406536"/>
    <x v="2"/>
    <x v="2"/>
    <s v="Kampala"/>
    <s v="Still Admitted"/>
    <s v="not stated"/>
    <n v="72"/>
  </r>
  <r>
    <s v="P798"/>
    <s v="Michael Brown"/>
    <x v="0"/>
    <d v="1999-06-17T00:00:00"/>
    <x v="63"/>
    <d v="2024-02-04T00:00:00"/>
    <x v="1"/>
    <x v="1"/>
    <x v="1"/>
    <n v="3311816"/>
    <x v="0"/>
    <x v="2"/>
    <s v="Jinja"/>
    <n v="1"/>
    <s v="not stated"/>
    <n v="25"/>
  </r>
  <r>
    <s v="P799"/>
    <s v="Tony Stark"/>
    <x v="1"/>
    <d v="1980-09-10T00:00:00"/>
    <x v="48"/>
    <d v="2024-04-06T00:00:00"/>
    <x v="5"/>
    <x v="5"/>
    <x v="1"/>
    <n v="5563700"/>
    <x v="0"/>
    <x v="1"/>
    <s v="Kampala"/>
    <n v="8"/>
    <s v="Recovered"/>
    <n v="44"/>
  </r>
  <r>
    <s v="P800"/>
    <s v="Michael Brown"/>
    <x v="1"/>
    <d v="1983-07-02T00:00:00"/>
    <x v="6"/>
    <d v="2024-02-23T00:00:00"/>
    <x v="9"/>
    <x v="5"/>
    <x v="0"/>
    <n v="3010056"/>
    <x v="0"/>
    <x v="2"/>
    <s v="Jinja"/>
    <n v="14"/>
    <s v="not stated"/>
    <n v="41"/>
  </r>
  <r>
    <s v="P801"/>
    <s v="Scott Lang"/>
    <x v="0"/>
    <d v="1955-01-15T00:00:00"/>
    <x v="159"/>
    <d v="2024-03-04T00:00:00"/>
    <x v="9"/>
    <x v="5"/>
    <x v="2"/>
    <n v="2176444"/>
    <x v="0"/>
    <x v="1"/>
    <s v="Entebbe"/>
    <n v="12"/>
    <s v="Recovered"/>
    <n v="69"/>
  </r>
  <r>
    <s v="P802"/>
    <s v="James Bond"/>
    <x v="1"/>
    <d v="1994-06-09T00:00:00"/>
    <x v="162"/>
    <d v="2024-05-10T00:00:00"/>
    <x v="10"/>
    <x v="6"/>
    <x v="4"/>
    <n v="422464"/>
    <x v="0"/>
    <x v="0"/>
    <s v="Entebbe"/>
    <n v="10"/>
    <s v="not stated"/>
    <n v="30"/>
  </r>
  <r>
    <s v="P803"/>
    <s v="James Bond"/>
    <x v="1"/>
    <d v="1961-02-15T00:00:00"/>
    <x v="122"/>
    <d v="2024-03-02T00:00:00"/>
    <x v="3"/>
    <x v="3"/>
    <x v="3"/>
    <n v="4595500"/>
    <x v="1"/>
    <x v="2"/>
    <s v="Jinja"/>
    <n v="13"/>
    <s v="Referred"/>
    <n v="63"/>
  </r>
  <r>
    <s v="P804"/>
    <s v="Clark Kent"/>
    <x v="1"/>
    <d v="1971-08-08T00:00:00"/>
    <x v="53"/>
    <d v="2024-06-19T00:00:00"/>
    <x v="9"/>
    <x v="5"/>
    <x v="1"/>
    <n v="3032688"/>
    <x v="1"/>
    <x v="2"/>
    <s v="Kampala"/>
    <n v="3"/>
    <s v="not stated"/>
    <n v="53"/>
  </r>
  <r>
    <s v="P805"/>
    <s v="John Doe"/>
    <x v="1"/>
    <d v="1957-12-01T00:00:00"/>
    <x v="1"/>
    <d v="2024-06-09T00:00:00"/>
    <x v="0"/>
    <x v="0"/>
    <x v="3"/>
    <n v="2840316"/>
    <x v="0"/>
    <x v="2"/>
    <s v="Entebbe"/>
    <n v="10"/>
    <s v="Referred"/>
    <n v="67"/>
  </r>
  <r>
    <s v="P806"/>
    <s v="Stephen Strange"/>
    <x v="1"/>
    <d v="1967-01-27T00:00:00"/>
    <x v="1"/>
    <s v="still admitted"/>
    <x v="8"/>
    <x v="5"/>
    <x v="1"/>
    <n v="3657500"/>
    <x v="2"/>
    <x v="2"/>
    <s v="Entebbe"/>
    <s v="Still Admitted"/>
    <s v="not stated"/>
    <n v="57"/>
  </r>
  <r>
    <s v="P807"/>
    <s v="Tony Stark"/>
    <x v="0"/>
    <d v="1962-07-05T00:00:00"/>
    <x v="3"/>
    <d v="2024-04-08T00:00:00"/>
    <x v="6"/>
    <x v="0"/>
    <x v="0"/>
    <n v="4956408"/>
    <x v="0"/>
    <x v="1"/>
    <s v="Kampala"/>
    <n v="1"/>
    <s v="Referred"/>
    <n v="62"/>
  </r>
  <r>
    <s v="P808"/>
    <s v="James Bond"/>
    <x v="0"/>
    <d v="1994-08-14T00:00:00"/>
    <x v="7"/>
    <d v="2024-02-24T00:00:00"/>
    <x v="4"/>
    <x v="4"/>
    <x v="1"/>
    <n v="5062024"/>
    <x v="2"/>
    <x v="2"/>
    <s v="Kampala"/>
    <n v="14"/>
    <s v="Recovered"/>
    <n v="30"/>
  </r>
  <r>
    <s v="P809"/>
    <s v="Sarah Connor"/>
    <x v="0"/>
    <d v="1979-01-02T00:00:00"/>
    <x v="78"/>
    <s v="still admitted"/>
    <x v="2"/>
    <x v="2"/>
    <x v="2"/>
    <n v="2048196"/>
    <x v="2"/>
    <x v="1"/>
    <s v="Entebbe"/>
    <s v="Still Admitted"/>
    <s v="not stated"/>
    <n v="45"/>
  </r>
  <r>
    <s v="P810"/>
    <s v="Scott Lang"/>
    <x v="1"/>
    <d v="2004-11-14T00:00:00"/>
    <x v="119"/>
    <d v="2024-06-08T00:00:00"/>
    <x v="3"/>
    <x v="3"/>
    <x v="4"/>
    <n v="4032268"/>
    <x v="0"/>
    <x v="2"/>
    <s v="Entebbe"/>
    <n v="6"/>
    <s v="Referred"/>
    <n v="20"/>
  </r>
  <r>
    <s v="P811"/>
    <s v="Nancy Drew"/>
    <x v="2"/>
    <d v="1978-01-15T00:00:00"/>
    <x v="170"/>
    <d v="2024-03-18T00:00:00"/>
    <x v="3"/>
    <x v="3"/>
    <x v="2"/>
    <n v="5261940"/>
    <x v="1"/>
    <x v="0"/>
    <s v="Kampala"/>
    <n v="6"/>
    <s v="Recovered"/>
    <n v="46"/>
  </r>
  <r>
    <s v="P812"/>
    <s v="Wanda Maximoff"/>
    <x v="0"/>
    <d v="1984-06-18T00:00:00"/>
    <x v="46"/>
    <s v="still admitted"/>
    <x v="10"/>
    <x v="6"/>
    <x v="4"/>
    <n v="2429168"/>
    <x v="2"/>
    <x v="2"/>
    <s v="Kampala"/>
    <s v="Still Admitted"/>
    <s v="not stated"/>
    <n v="40"/>
  </r>
  <r>
    <s v="P813"/>
    <s v="Clark Kent"/>
    <x v="2"/>
    <d v="1955-04-19T00:00:00"/>
    <x v="87"/>
    <d v="2024-03-10T00:00:00"/>
    <x v="0"/>
    <x v="0"/>
    <x v="4"/>
    <n v="1396500"/>
    <x v="0"/>
    <x v="2"/>
    <s v="Entebbe"/>
    <n v="6"/>
    <s v="Recovered"/>
    <n v="69"/>
  </r>
  <r>
    <s v="P814"/>
    <s v="James Bond"/>
    <x v="0"/>
    <d v="2004-04-14T00:00:00"/>
    <x v="34"/>
    <d v="2024-03-20T00:00:00"/>
    <x v="4"/>
    <x v="4"/>
    <x v="1"/>
    <n v="3643752"/>
    <x v="0"/>
    <x v="2"/>
    <s v="Kampala"/>
    <n v="4"/>
    <s v="Recovered"/>
    <n v="20"/>
  </r>
  <r>
    <s v="P815"/>
    <s v="Tony Stark"/>
    <x v="0"/>
    <d v="1983-01-27T00:00:00"/>
    <x v="150"/>
    <d v="2024-02-16T00:00:00"/>
    <x v="0"/>
    <x v="0"/>
    <x v="2"/>
    <n v="2802596"/>
    <x v="0"/>
    <x v="2"/>
    <s v="Entebbe"/>
    <n v="9"/>
    <s v="not stated"/>
    <n v="41"/>
  </r>
  <r>
    <s v="P816"/>
    <s v="Peter Parker"/>
    <x v="1"/>
    <d v="2002-08-13T00:00:00"/>
    <x v="67"/>
    <s v="still admitted"/>
    <x v="8"/>
    <x v="5"/>
    <x v="1"/>
    <n v="3225060"/>
    <x v="0"/>
    <x v="2"/>
    <s v="Jinja"/>
    <s v="Still Admitted"/>
    <s v="Referred"/>
    <n v="22"/>
  </r>
  <r>
    <s v="P817"/>
    <s v="Bruce Wayne"/>
    <x v="1"/>
    <d v="1965-12-20T00:00:00"/>
    <x v="23"/>
    <d v="2024-06-11T00:00:00"/>
    <x v="2"/>
    <x v="2"/>
    <x v="3"/>
    <n v="1395640"/>
    <x v="0"/>
    <x v="1"/>
    <s v="Kampala"/>
    <n v="6"/>
    <s v="not stated"/>
    <n v="59"/>
  </r>
  <r>
    <s v="P818"/>
    <s v="Nancy Drew"/>
    <x v="0"/>
    <d v="1982-04-29T00:00:00"/>
    <x v="85"/>
    <d v="2024-04-09T00:00:00"/>
    <x v="10"/>
    <x v="6"/>
    <x v="4"/>
    <n v="856244"/>
    <x v="2"/>
    <x v="0"/>
    <s v="Jinja"/>
    <n v="13"/>
    <s v="Recovered"/>
    <n v="42"/>
  </r>
  <r>
    <s v="P819"/>
    <s v="Linda White"/>
    <x v="0"/>
    <d v="1973-05-24T00:00:00"/>
    <x v="79"/>
    <d v="2024-03-11T00:00:00"/>
    <x v="9"/>
    <x v="5"/>
    <x v="2"/>
    <n v="2116092"/>
    <x v="0"/>
    <x v="1"/>
    <s v="Kampala"/>
    <n v="9"/>
    <s v="Recovered"/>
    <n v="51"/>
  </r>
  <r>
    <s v="P820"/>
    <s v="Bruce Wayne"/>
    <x v="0"/>
    <d v="1984-10-07T00:00:00"/>
    <x v="8"/>
    <d v="2024-01-16T00:00:00"/>
    <x v="2"/>
    <x v="2"/>
    <x v="0"/>
    <n v="1919948"/>
    <x v="0"/>
    <x v="0"/>
    <s v="Jinja"/>
    <n v="11"/>
    <s v="not stated"/>
    <n v="40"/>
  </r>
  <r>
    <s v="P821"/>
    <s v="TChalla"/>
    <x v="0"/>
    <d v="1995-09-05T00:00:00"/>
    <x v="54"/>
    <d v="2024-04-12T00:00:00"/>
    <x v="5"/>
    <x v="5"/>
    <x v="1"/>
    <n v="4322712"/>
    <x v="0"/>
    <x v="0"/>
    <s v="Jinja"/>
    <n v="1"/>
    <s v="Recovered"/>
    <n v="29"/>
  </r>
  <r>
    <s v="P822"/>
    <s v="Chris Evans"/>
    <x v="1"/>
    <d v="1960-09-09T00:00:00"/>
    <x v="147"/>
    <d v="2024-05-06T00:00:00"/>
    <x v="4"/>
    <x v="4"/>
    <x v="0"/>
    <n v="697820"/>
    <x v="0"/>
    <x v="0"/>
    <s v="Kampala"/>
    <n v="11"/>
    <s v="not stated"/>
    <n v="64"/>
  </r>
  <r>
    <s v="P823"/>
    <s v="James Bond"/>
    <x v="0"/>
    <d v="1977-03-20T00:00:00"/>
    <x v="90"/>
    <d v="2024-05-02T00:00:00"/>
    <x v="4"/>
    <x v="4"/>
    <x v="0"/>
    <n v="2768648"/>
    <x v="0"/>
    <x v="0"/>
    <s v="Entebbe"/>
    <n v="4"/>
    <s v="not stated"/>
    <n v="47"/>
  </r>
  <r>
    <s v="P824"/>
    <s v="Bruce Wayne"/>
    <x v="1"/>
    <d v="1985-01-21T00:00:00"/>
    <x v="130"/>
    <d v="2024-05-10T00:00:00"/>
    <x v="7"/>
    <x v="4"/>
    <x v="0"/>
    <n v="377200"/>
    <x v="1"/>
    <x v="1"/>
    <s v="Kampala"/>
    <n v="5"/>
    <s v="Recovered"/>
    <n v="39"/>
  </r>
  <r>
    <s v="P825"/>
    <s v="Steve Rogers"/>
    <x v="1"/>
    <d v="2000-12-19T00:00:00"/>
    <x v="96"/>
    <d v="2024-02-05T00:00:00"/>
    <x v="1"/>
    <x v="1"/>
    <x v="1"/>
    <n v="892500"/>
    <x v="2"/>
    <x v="1"/>
    <s v="Entebbe"/>
    <n v="11"/>
    <s v="Recovered"/>
    <n v="24"/>
  </r>
  <r>
    <s v="P826"/>
    <s v="David Kim"/>
    <x v="0"/>
    <d v="1990-12-29T00:00:00"/>
    <x v="13"/>
    <d v="2024-02-15T00:00:00"/>
    <x v="3"/>
    <x v="3"/>
    <x v="0"/>
    <n v="1041072"/>
    <x v="2"/>
    <x v="2"/>
    <s v="Entebbe"/>
    <n v="15"/>
    <s v="not stated"/>
    <n v="34"/>
  </r>
  <r>
    <s v="P827"/>
    <s v="Michael Brown"/>
    <x v="1"/>
    <d v="1963-10-03T00:00:00"/>
    <x v="26"/>
    <d v="2024-01-18T00:00:00"/>
    <x v="10"/>
    <x v="6"/>
    <x v="2"/>
    <n v="3971916"/>
    <x v="0"/>
    <x v="1"/>
    <s v="Jinja"/>
    <n v="1"/>
    <s v="Recovered"/>
    <n v="61"/>
  </r>
  <r>
    <s v="P828"/>
    <s v="Peter Parker"/>
    <x v="1"/>
    <d v="1992-12-27T00:00:00"/>
    <x v="165"/>
    <d v="2024-03-23T00:00:00"/>
    <x v="4"/>
    <x v="4"/>
    <x v="1"/>
    <n v="388516"/>
    <x v="1"/>
    <x v="2"/>
    <s v="Jinja"/>
    <n v="14"/>
    <s v="Recovered"/>
    <n v="32"/>
  </r>
  <r>
    <s v="P829"/>
    <s v="Jane Smith"/>
    <x v="0"/>
    <d v="1982-08-29T00:00:00"/>
    <x v="119"/>
    <d v="2024-06-10T00:00:00"/>
    <x v="8"/>
    <x v="5"/>
    <x v="1"/>
    <n v="4632016"/>
    <x v="0"/>
    <x v="2"/>
    <s v="Entebbe"/>
    <n v="8"/>
    <s v="Referred"/>
    <n v="42"/>
  </r>
  <r>
    <s v="P830"/>
    <s v="Steve Rogers"/>
    <x v="0"/>
    <d v="1976-03-27T00:00:00"/>
    <x v="131"/>
    <d v="2024-06-28T00:00:00"/>
    <x v="1"/>
    <x v="1"/>
    <x v="4"/>
    <n v="2331096"/>
    <x v="0"/>
    <x v="2"/>
    <s v="Jinja"/>
    <n v="7"/>
    <s v="not stated"/>
    <n v="48"/>
  </r>
  <r>
    <s v="P831"/>
    <s v="Linda White"/>
    <x v="0"/>
    <d v="1980-10-24T00:00:00"/>
    <x v="119"/>
    <d v="2024-06-16T00:00:00"/>
    <x v="0"/>
    <x v="0"/>
    <x v="2"/>
    <n v="1965212"/>
    <x v="0"/>
    <x v="2"/>
    <s v="Kampala"/>
    <n v="14"/>
    <s v="Recovered"/>
    <n v="44"/>
  </r>
  <r>
    <s v="P832"/>
    <s v="Sarah Connor"/>
    <x v="0"/>
    <d v="1950-05-13T00:00:00"/>
    <x v="103"/>
    <d v="2024-05-31T00:00:00"/>
    <x v="10"/>
    <x v="6"/>
    <x v="1"/>
    <n v="3259008"/>
    <x v="1"/>
    <x v="2"/>
    <s v="Kampala"/>
    <n v="11"/>
    <s v="Referred"/>
    <n v="74"/>
  </r>
  <r>
    <s v="P833"/>
    <s v="Sarah Connor"/>
    <x v="1"/>
    <d v="2007-06-17T00:00:00"/>
    <x v="6"/>
    <d v="2024-02-24T00:00:00"/>
    <x v="10"/>
    <x v="6"/>
    <x v="0"/>
    <n v="2742244"/>
    <x v="2"/>
    <x v="2"/>
    <s v="Kampala"/>
    <n v="15"/>
    <s v="Recovered"/>
    <n v="17"/>
  </r>
  <r>
    <s v="P834"/>
    <s v="John Doe"/>
    <x v="0"/>
    <d v="1976-07-15T00:00:00"/>
    <x v="135"/>
    <d v="2024-03-05T00:00:00"/>
    <x v="7"/>
    <x v="4"/>
    <x v="1"/>
    <n v="1293796"/>
    <x v="0"/>
    <x v="2"/>
    <s v="Kampala"/>
    <n v="11"/>
    <s v="Referred"/>
    <n v="48"/>
  </r>
  <r>
    <s v="P835"/>
    <s v="Clark Kent"/>
    <x v="1"/>
    <d v="1977-04-03T00:00:00"/>
    <x v="61"/>
    <d v="2024-06-17T00:00:00"/>
    <x v="6"/>
    <x v="0"/>
    <x v="0"/>
    <n v="3930500"/>
    <x v="0"/>
    <x v="1"/>
    <s v="Entebbe"/>
    <n v="10"/>
    <s v="Referred"/>
    <n v="47"/>
  </r>
  <r>
    <s v="P836"/>
    <s v="Sarah Connor"/>
    <x v="1"/>
    <d v="2002-09-03T00:00:00"/>
    <x v="4"/>
    <d v="2024-07-01T00:00:00"/>
    <x v="10"/>
    <x v="6"/>
    <x v="0"/>
    <n v="3752000"/>
    <x v="1"/>
    <x v="1"/>
    <s v="Kampala"/>
    <n v="7"/>
    <s v="not stated"/>
    <n v="22"/>
  </r>
  <r>
    <s v="P837"/>
    <s v="Sarah Connor"/>
    <x v="1"/>
    <d v="1984-01-29T00:00:00"/>
    <x v="79"/>
    <s v="still admitted"/>
    <x v="5"/>
    <x v="5"/>
    <x v="2"/>
    <n v="3862528"/>
    <x v="1"/>
    <x v="2"/>
    <s v="Kampala"/>
    <s v="Still Admitted"/>
    <s v="Recovered"/>
    <n v="40"/>
  </r>
  <r>
    <s v="P838"/>
    <s v="John Doe"/>
    <x v="0"/>
    <d v="1989-11-15T00:00:00"/>
    <x v="77"/>
    <d v="2024-05-20T00:00:00"/>
    <x v="2"/>
    <x v="2"/>
    <x v="3"/>
    <n v="696500"/>
    <x v="1"/>
    <x v="1"/>
    <s v="Jinja"/>
    <n v="12"/>
    <s v="Referred"/>
    <n v="35"/>
  </r>
  <r>
    <s v="P839"/>
    <s v="Linda White"/>
    <x v="0"/>
    <d v="1976-01-17T00:00:00"/>
    <x v="57"/>
    <d v="2024-05-03T00:00:00"/>
    <x v="4"/>
    <x v="4"/>
    <x v="1"/>
    <n v="2300920"/>
    <x v="2"/>
    <x v="0"/>
    <s v="Entebbe"/>
    <n v="14"/>
    <s v="Recovered"/>
    <n v="48"/>
  </r>
  <r>
    <s v="P840"/>
    <s v="Bruce Wayne"/>
    <x v="2"/>
    <d v="2002-05-10T00:00:00"/>
    <x v="172"/>
    <d v="2024-03-14T00:00:00"/>
    <x v="7"/>
    <x v="4"/>
    <x v="0"/>
    <n v="1395640"/>
    <x v="2"/>
    <x v="2"/>
    <s v="Entebbe"/>
    <n v="15"/>
    <s v="Recovered"/>
    <n v="22"/>
  </r>
  <r>
    <s v="P841"/>
    <s v="Wanda Maximoff"/>
    <x v="1"/>
    <d v="1983-01-16T00:00:00"/>
    <x v="154"/>
    <s v="still admitted"/>
    <x v="1"/>
    <x v="1"/>
    <x v="3"/>
    <n v="3636208"/>
    <x v="0"/>
    <x v="1"/>
    <s v="Entebbe"/>
    <s v="Still Admitted"/>
    <s v="Referred"/>
    <n v="41"/>
  </r>
  <r>
    <s v="P842"/>
    <s v="Diana Prince"/>
    <x v="0"/>
    <d v="1971-10-28T00:00:00"/>
    <x v="13"/>
    <d v="2024-02-10T00:00:00"/>
    <x v="6"/>
    <x v="0"/>
    <x v="1"/>
    <n v="5078500"/>
    <x v="1"/>
    <x v="2"/>
    <s v="Entebbe"/>
    <n v="10"/>
    <s v="not stated"/>
    <n v="53"/>
  </r>
  <r>
    <s v="P843"/>
    <s v="TChalla"/>
    <x v="1"/>
    <d v="1960-05-24T00:00:00"/>
    <x v="181"/>
    <s v="still admitted"/>
    <x v="3"/>
    <x v="3"/>
    <x v="3"/>
    <n v="3394800"/>
    <x v="0"/>
    <x v="1"/>
    <s v="Jinja"/>
    <s v="Still Admitted"/>
    <s v="not stated"/>
    <n v="64"/>
  </r>
  <r>
    <s v="P844"/>
    <s v="Chris Evans"/>
    <x v="0"/>
    <d v="1997-08-06T00:00:00"/>
    <x v="123"/>
    <d v="2024-03-22T00:00:00"/>
    <x v="4"/>
    <x v="4"/>
    <x v="3"/>
    <n v="4043584"/>
    <x v="2"/>
    <x v="0"/>
    <s v="Kampala"/>
    <n v="4"/>
    <s v="not stated"/>
    <n v="27"/>
  </r>
  <r>
    <s v="P845"/>
    <s v="Stephen Strange"/>
    <x v="2"/>
    <d v="1956-05-12T00:00:00"/>
    <x v="176"/>
    <d v="2024-06-22T00:00:00"/>
    <x v="10"/>
    <x v="6"/>
    <x v="0"/>
    <n v="4748948"/>
    <x v="0"/>
    <x v="2"/>
    <s v="Jinja"/>
    <n v="3"/>
    <s v="Referred"/>
    <n v="68"/>
  </r>
  <r>
    <s v="P846"/>
    <s v="Jane Smith"/>
    <x v="2"/>
    <d v="1988-09-29T00:00:00"/>
    <x v="67"/>
    <s v="still admitted"/>
    <x v="6"/>
    <x v="0"/>
    <x v="1"/>
    <n v="3394800"/>
    <x v="1"/>
    <x v="0"/>
    <s v="Jinja"/>
    <s v="Still Admitted"/>
    <s v="not stated"/>
    <n v="36"/>
  </r>
  <r>
    <s v="P847"/>
    <s v="Tony Stark"/>
    <x v="1"/>
    <d v="2006-12-31T00:00:00"/>
    <x v="79"/>
    <d v="2024-03-04T00:00:00"/>
    <x v="0"/>
    <x v="0"/>
    <x v="1"/>
    <n v="886420"/>
    <x v="0"/>
    <x v="1"/>
    <s v="Entebbe"/>
    <n v="2"/>
    <s v="Referred"/>
    <n v="18"/>
  </r>
  <r>
    <s v="P848"/>
    <s v="Bruce Wayne"/>
    <x v="0"/>
    <d v="1998-01-09T00:00:00"/>
    <x v="94"/>
    <d v="2024-03-26T00:00:00"/>
    <x v="10"/>
    <x v="6"/>
    <x v="0"/>
    <n v="3857000"/>
    <x v="1"/>
    <x v="1"/>
    <s v="Entebbe"/>
    <n v="7"/>
    <s v="Referred"/>
    <n v="26"/>
  </r>
  <r>
    <s v="P849"/>
    <s v="Scott Lang"/>
    <x v="0"/>
    <d v="1970-06-10T00:00:00"/>
    <x v="67"/>
    <d v="2024-03-29T00:00:00"/>
    <x v="4"/>
    <x v="4"/>
    <x v="1"/>
    <n v="4375520"/>
    <x v="0"/>
    <x v="2"/>
    <s v="Jinja"/>
    <n v="6"/>
    <s v="Recovered"/>
    <n v="54"/>
  </r>
  <r>
    <s v="P850"/>
    <s v="David Kim"/>
    <x v="2"/>
    <d v="1976-06-20T00:00:00"/>
    <x v="4"/>
    <d v="2024-07-03T00:00:00"/>
    <x v="4"/>
    <x v="4"/>
    <x v="1"/>
    <n v="4869652"/>
    <x v="0"/>
    <x v="2"/>
    <s v="Jinja"/>
    <n v="9"/>
    <s v="not stated"/>
    <n v="48"/>
  </r>
  <r>
    <s v="P851"/>
    <s v="Bruce Wayne"/>
    <x v="1"/>
    <d v="2008-02-02T00:00:00"/>
    <x v="177"/>
    <d v="2024-04-17T00:00:00"/>
    <x v="0"/>
    <x v="0"/>
    <x v="4"/>
    <n v="3013828"/>
    <x v="0"/>
    <x v="1"/>
    <s v="Entebbe"/>
    <n v="12"/>
    <s v="Referred"/>
    <n v="16"/>
  </r>
  <r>
    <s v="P852"/>
    <s v="Diana Prince"/>
    <x v="0"/>
    <d v="1955-12-21T00:00:00"/>
    <x v="20"/>
    <d v="2024-03-15T00:00:00"/>
    <x v="2"/>
    <x v="2"/>
    <x v="1"/>
    <n v="1774500"/>
    <x v="0"/>
    <x v="2"/>
    <s v="Jinja"/>
    <n v="9"/>
    <s v="Recovered"/>
    <n v="69"/>
  </r>
  <r>
    <s v="P853"/>
    <s v="Tony Stark"/>
    <x v="1"/>
    <d v="1978-02-04T00:00:00"/>
    <x v="52"/>
    <s v="still admitted"/>
    <x v="9"/>
    <x v="5"/>
    <x v="2"/>
    <n v="850500"/>
    <x v="0"/>
    <x v="2"/>
    <s v="Kampala"/>
    <s v="Still Admitted"/>
    <s v="not stated"/>
    <n v="46"/>
  </r>
  <r>
    <s v="P854"/>
    <s v="Tony Stark"/>
    <x v="1"/>
    <d v="1953-08-01T00:00:00"/>
    <x v="151"/>
    <d v="2024-01-13T00:00:00"/>
    <x v="5"/>
    <x v="5"/>
    <x v="0"/>
    <n v="2157584"/>
    <x v="1"/>
    <x v="2"/>
    <s v="Jinja"/>
    <n v="10"/>
    <s v="Recovered"/>
    <n v="71"/>
  </r>
  <r>
    <s v="P855"/>
    <s v="Stephen Strange"/>
    <x v="0"/>
    <d v="1978-06-01T00:00:00"/>
    <x v="163"/>
    <d v="2024-02-23T00:00:00"/>
    <x v="3"/>
    <x v="3"/>
    <x v="4"/>
    <n v="4749500"/>
    <x v="2"/>
    <x v="1"/>
    <s v="Kampala"/>
    <n v="10"/>
    <s v="Referred"/>
    <n v="46"/>
  </r>
  <r>
    <s v="P856"/>
    <s v="Nancy Drew"/>
    <x v="1"/>
    <d v="2004-09-09T00:00:00"/>
    <x v="39"/>
    <d v="2024-02-15T00:00:00"/>
    <x v="6"/>
    <x v="0"/>
    <x v="1"/>
    <n v="4854564"/>
    <x v="2"/>
    <x v="0"/>
    <s v="Kampala"/>
    <n v="1"/>
    <s v="Recovered"/>
    <n v="20"/>
  </r>
  <r>
    <s v="P857"/>
    <s v="Steve Rogers"/>
    <x v="1"/>
    <d v="1963-06-29T00:00:00"/>
    <x v="31"/>
    <s v="still admitted"/>
    <x v="5"/>
    <x v="5"/>
    <x v="3"/>
    <n v="4171832"/>
    <x v="1"/>
    <x v="2"/>
    <s v="Entebbe"/>
    <s v="Still Admitted"/>
    <s v="not stated"/>
    <n v="61"/>
  </r>
  <r>
    <s v="P858"/>
    <s v="Diana Prince"/>
    <x v="2"/>
    <d v="1989-09-02T00:00:00"/>
    <x v="177"/>
    <d v="2024-04-15T00:00:00"/>
    <x v="3"/>
    <x v="3"/>
    <x v="1"/>
    <n v="1976528"/>
    <x v="0"/>
    <x v="2"/>
    <s v="Entebbe"/>
    <n v="10"/>
    <s v="not stated"/>
    <n v="35"/>
  </r>
  <r>
    <s v="P859"/>
    <s v="Nancy Drew"/>
    <x v="1"/>
    <d v="2003-11-14T00:00:00"/>
    <x v="71"/>
    <d v="2024-01-09T00:00:00"/>
    <x v="9"/>
    <x v="5"/>
    <x v="4"/>
    <n v="2821000"/>
    <x v="2"/>
    <x v="1"/>
    <s v="Entebbe"/>
    <n v="2"/>
    <s v="Referred"/>
    <n v="21"/>
  </r>
  <r>
    <s v="P860"/>
    <s v="Tony Stark"/>
    <x v="0"/>
    <d v="1981-03-29T00:00:00"/>
    <x v="165"/>
    <d v="2024-03-14T00:00:00"/>
    <x v="3"/>
    <x v="3"/>
    <x v="0"/>
    <n v="4899828"/>
    <x v="0"/>
    <x v="2"/>
    <s v="Entebbe"/>
    <n v="5"/>
    <s v="Recovered"/>
    <n v="43"/>
  </r>
  <r>
    <s v="P861"/>
    <s v="Linda White"/>
    <x v="0"/>
    <d v="2005-03-20T00:00:00"/>
    <x v="140"/>
    <d v="2024-03-10T00:00:00"/>
    <x v="3"/>
    <x v="3"/>
    <x v="0"/>
    <n v="3472000"/>
    <x v="0"/>
    <x v="0"/>
    <s v="Entebbe"/>
    <n v="5"/>
    <s v="Recovered"/>
    <n v="19"/>
  </r>
  <r>
    <s v="P862"/>
    <s v="Michael Brown"/>
    <x v="0"/>
    <d v="1954-09-05T00:00:00"/>
    <x v="40"/>
    <d v="2024-03-29T00:00:00"/>
    <x v="4"/>
    <x v="4"/>
    <x v="2"/>
    <n v="1886000"/>
    <x v="0"/>
    <x v="1"/>
    <s v="Entebbe"/>
    <n v="15"/>
    <s v="not stated"/>
    <n v="70"/>
  </r>
  <r>
    <s v="P863"/>
    <s v="Steve Rogers"/>
    <x v="0"/>
    <d v="1983-02-06T00:00:00"/>
    <x v="6"/>
    <d v="2024-02-10T00:00:00"/>
    <x v="3"/>
    <x v="3"/>
    <x v="1"/>
    <n v="4341572"/>
    <x v="1"/>
    <x v="1"/>
    <s v="Entebbe"/>
    <n v="1"/>
    <s v="Recovered"/>
    <n v="41"/>
  </r>
  <r>
    <s v="P864"/>
    <s v="David Kim"/>
    <x v="2"/>
    <d v="1961-11-13T00:00:00"/>
    <x v="78"/>
    <d v="2024-06-09T00:00:00"/>
    <x v="4"/>
    <x v="4"/>
    <x v="0"/>
    <n v="1225900"/>
    <x v="0"/>
    <x v="1"/>
    <s v="Kampala"/>
    <n v="5"/>
    <s v="Recovered"/>
    <n v="63"/>
  </r>
  <r>
    <s v="P865"/>
    <s v="Steve Rogers"/>
    <x v="0"/>
    <d v="1993-12-15T00:00:00"/>
    <x v="103"/>
    <d v="2024-05-28T00:00:00"/>
    <x v="0"/>
    <x v="0"/>
    <x v="3"/>
    <n v="3251500"/>
    <x v="1"/>
    <x v="2"/>
    <s v="Kampala"/>
    <n v="8"/>
    <s v="Recovered"/>
    <n v="31"/>
  </r>
  <r>
    <s v="P866"/>
    <s v="James Bond"/>
    <x v="0"/>
    <d v="2003-10-24T00:00:00"/>
    <x v="114"/>
    <d v="2024-03-24T00:00:00"/>
    <x v="1"/>
    <x v="1"/>
    <x v="1"/>
    <n v="518000"/>
    <x v="2"/>
    <x v="0"/>
    <s v="Kampala"/>
    <n v="7"/>
    <s v="not stated"/>
    <n v="21"/>
  </r>
  <r>
    <s v="P867"/>
    <s v="Steve Rogers"/>
    <x v="2"/>
    <d v="2002-12-21T00:00:00"/>
    <x v="83"/>
    <d v="2024-06-18T00:00:00"/>
    <x v="4"/>
    <x v="4"/>
    <x v="1"/>
    <n v="4134112"/>
    <x v="2"/>
    <x v="2"/>
    <s v="Entebbe"/>
    <n v="3"/>
    <s v="Recovered"/>
    <n v="22"/>
  </r>
  <r>
    <s v="P868"/>
    <s v="Jane Smith"/>
    <x v="1"/>
    <d v="1963-01-21T00:00:00"/>
    <x v="34"/>
    <s v="still admitted"/>
    <x v="10"/>
    <x v="6"/>
    <x v="3"/>
    <n v="3722964"/>
    <x v="1"/>
    <x v="2"/>
    <s v="Entebbe"/>
    <s v="Still Admitted"/>
    <s v="Referred"/>
    <n v="61"/>
  </r>
  <r>
    <s v="P869"/>
    <s v="Natasha Romanoff"/>
    <x v="0"/>
    <d v="1981-08-16T00:00:00"/>
    <x v="121"/>
    <d v="2024-02-22T00:00:00"/>
    <x v="7"/>
    <x v="4"/>
    <x v="3"/>
    <n v="4375000"/>
    <x v="0"/>
    <x v="1"/>
    <s v="Jinja"/>
    <n v="3"/>
    <s v="not stated"/>
    <n v="43"/>
  </r>
  <r>
    <s v="P870"/>
    <s v="John Doe"/>
    <x v="1"/>
    <d v="1986-03-12T00:00:00"/>
    <x v="23"/>
    <d v="2024-06-11T00:00:00"/>
    <x v="8"/>
    <x v="5"/>
    <x v="2"/>
    <n v="4367976"/>
    <x v="2"/>
    <x v="2"/>
    <s v="Entebbe"/>
    <n v="6"/>
    <s v="not stated"/>
    <n v="38"/>
  </r>
  <r>
    <s v="P871"/>
    <s v="TChalla"/>
    <x v="0"/>
    <d v="1956-01-14T00:00:00"/>
    <x v="89"/>
    <d v="2024-04-14T00:00:00"/>
    <x v="3"/>
    <x v="3"/>
    <x v="2"/>
    <n v="1893544"/>
    <x v="1"/>
    <x v="2"/>
    <s v="Entebbe"/>
    <n v="8"/>
    <s v="Recovered"/>
    <n v="68"/>
  </r>
  <r>
    <s v="P872"/>
    <s v="John Doe"/>
    <x v="1"/>
    <d v="1967-06-14T00:00:00"/>
    <x v="97"/>
    <d v="2024-06-08T00:00:00"/>
    <x v="1"/>
    <x v="1"/>
    <x v="4"/>
    <n v="2346184"/>
    <x v="0"/>
    <x v="1"/>
    <s v="Kampala"/>
    <n v="14"/>
    <s v="not stated"/>
    <n v="57"/>
  </r>
  <r>
    <s v="P873"/>
    <s v="Michael Brown"/>
    <x v="1"/>
    <d v="1992-01-06T00:00:00"/>
    <x v="131"/>
    <s v="still admitted"/>
    <x v="6"/>
    <x v="0"/>
    <x v="2"/>
    <n v="2803500"/>
    <x v="2"/>
    <x v="2"/>
    <s v="Jinja"/>
    <s v="Still Admitted"/>
    <s v="not stated"/>
    <n v="32"/>
  </r>
  <r>
    <s v="P874"/>
    <s v="Bruce Wayne"/>
    <x v="0"/>
    <d v="1963-12-17T00:00:00"/>
    <x v="91"/>
    <d v="2024-06-02T00:00:00"/>
    <x v="10"/>
    <x v="6"/>
    <x v="1"/>
    <n v="3997000"/>
    <x v="2"/>
    <x v="2"/>
    <s v="Kampala"/>
    <n v="1"/>
    <s v="Referred"/>
    <n v="61"/>
  </r>
  <r>
    <s v="P875"/>
    <s v="David Kim"/>
    <x v="0"/>
    <d v="1970-01-23T00:00:00"/>
    <x v="87"/>
    <d v="2024-03-19T00:00:00"/>
    <x v="2"/>
    <x v="2"/>
    <x v="1"/>
    <n v="3564540"/>
    <x v="2"/>
    <x v="2"/>
    <s v="Entebbe"/>
    <n v="15"/>
    <s v="Recovered"/>
    <n v="54"/>
  </r>
  <r>
    <s v="P876"/>
    <s v="Natasha Romanoff"/>
    <x v="1"/>
    <d v="1955-12-14T00:00:00"/>
    <x v="120"/>
    <d v="2024-01-22T00:00:00"/>
    <x v="1"/>
    <x v="1"/>
    <x v="0"/>
    <n v="2740500"/>
    <x v="0"/>
    <x v="2"/>
    <s v="Kampala"/>
    <n v="7"/>
    <s v="Referred"/>
    <n v="69"/>
  </r>
  <r>
    <s v="P877"/>
    <s v="James Bond"/>
    <x v="1"/>
    <d v="1988-08-02T00:00:00"/>
    <x v="40"/>
    <d v="2024-03-17T00:00:00"/>
    <x v="3"/>
    <x v="3"/>
    <x v="1"/>
    <n v="4960180"/>
    <x v="0"/>
    <x v="1"/>
    <s v="Kampala"/>
    <n v="3"/>
    <s v="not stated"/>
    <n v="36"/>
  </r>
  <r>
    <s v="P878"/>
    <s v="David Kim"/>
    <x v="0"/>
    <d v="1988-06-12T00:00:00"/>
    <x v="12"/>
    <d v="2024-01-25T00:00:00"/>
    <x v="3"/>
    <x v="3"/>
    <x v="0"/>
    <n v="2436000"/>
    <x v="0"/>
    <x v="1"/>
    <s v="Kampala"/>
    <n v="1"/>
    <s v="Referred"/>
    <n v="36"/>
  </r>
  <r>
    <s v="P879"/>
    <s v="Sarah Connor"/>
    <x v="0"/>
    <d v="2002-04-17T00:00:00"/>
    <x v="155"/>
    <d v="2024-01-15T00:00:00"/>
    <x v="1"/>
    <x v="1"/>
    <x v="1"/>
    <n v="1120000"/>
    <x v="1"/>
    <x v="2"/>
    <s v="Jinja"/>
    <n v="4"/>
    <s v="not stated"/>
    <n v="22"/>
  </r>
  <r>
    <s v="P880"/>
    <s v="David Kim"/>
    <x v="0"/>
    <d v="1991-06-24T00:00:00"/>
    <x v="7"/>
    <d v="2024-02-14T00:00:00"/>
    <x v="9"/>
    <x v="5"/>
    <x v="2"/>
    <n v="2991196"/>
    <x v="2"/>
    <x v="2"/>
    <s v="Entebbe"/>
    <n v="4"/>
    <s v="Referred"/>
    <n v="33"/>
  </r>
  <r>
    <s v="P881"/>
    <s v="Diana Prince"/>
    <x v="1"/>
    <d v="1971-02-04T00:00:00"/>
    <x v="176"/>
    <d v="2024-06-27T00:00:00"/>
    <x v="3"/>
    <x v="3"/>
    <x v="0"/>
    <n v="829840"/>
    <x v="0"/>
    <x v="1"/>
    <s v="Entebbe"/>
    <n v="8"/>
    <s v="not stated"/>
    <n v="53"/>
  </r>
  <r>
    <s v="P882"/>
    <s v="Peter Parker"/>
    <x v="2"/>
    <d v="1979-11-07T00:00:00"/>
    <x v="88"/>
    <d v="2024-06-04T00:00:00"/>
    <x v="7"/>
    <x v="4"/>
    <x v="3"/>
    <n v="5162500"/>
    <x v="0"/>
    <x v="2"/>
    <s v="Jinja"/>
    <n v="7"/>
    <s v="Recovered"/>
    <n v="45"/>
  </r>
  <r>
    <s v="P883"/>
    <s v="James Bond"/>
    <x v="0"/>
    <d v="1955-12-05T00:00:00"/>
    <x v="75"/>
    <d v="2024-01-23T00:00:00"/>
    <x v="10"/>
    <x v="6"/>
    <x v="1"/>
    <n v="2874264"/>
    <x v="0"/>
    <x v="2"/>
    <s v="Jinja"/>
    <n v="14"/>
    <s v="not stated"/>
    <n v="69"/>
  </r>
  <r>
    <s v="P884"/>
    <s v="TChalla"/>
    <x v="2"/>
    <d v="1966-07-04T00:00:00"/>
    <x v="111"/>
    <d v="2024-02-20T00:00:00"/>
    <x v="3"/>
    <x v="3"/>
    <x v="0"/>
    <n v="2229252"/>
    <x v="0"/>
    <x v="0"/>
    <s v="Jinja"/>
    <n v="8"/>
    <s v="Recovered"/>
    <n v="58"/>
  </r>
  <r>
    <s v="P885"/>
    <s v="Clark Kent"/>
    <x v="1"/>
    <d v="1980-10-08T00:00:00"/>
    <x v="85"/>
    <s v="still admitted"/>
    <x v="2"/>
    <x v="2"/>
    <x v="0"/>
    <n v="1407000"/>
    <x v="1"/>
    <x v="2"/>
    <s v="Jinja"/>
    <s v="Still Admitted"/>
    <s v="not stated"/>
    <n v="44"/>
  </r>
  <r>
    <s v="P886"/>
    <s v="Scott Lang"/>
    <x v="1"/>
    <d v="1989-01-08T00:00:00"/>
    <x v="106"/>
    <d v="2024-05-09T00:00:00"/>
    <x v="9"/>
    <x v="5"/>
    <x v="1"/>
    <n v="512992"/>
    <x v="1"/>
    <x v="1"/>
    <s v="Entebbe"/>
    <n v="13"/>
    <s v="Referred"/>
    <n v="35"/>
  </r>
  <r>
    <s v="P887"/>
    <s v="TChalla"/>
    <x v="1"/>
    <d v="1978-04-11T00:00:00"/>
    <x v="147"/>
    <d v="2024-05-06T00:00:00"/>
    <x v="4"/>
    <x v="4"/>
    <x v="4"/>
    <n v="2338640"/>
    <x v="0"/>
    <x v="1"/>
    <s v="Jinja"/>
    <n v="11"/>
    <s v="Recovered"/>
    <n v="46"/>
  </r>
  <r>
    <s v="P888"/>
    <s v="Nancy Drew"/>
    <x v="1"/>
    <d v="1950-03-15T00:00:00"/>
    <x v="118"/>
    <d v="2024-01-18T00:00:00"/>
    <x v="9"/>
    <x v="5"/>
    <x v="2"/>
    <n v="4935000"/>
    <x v="1"/>
    <x v="1"/>
    <s v="Entebbe"/>
    <n v="5"/>
    <s v="not stated"/>
    <n v="74"/>
  </r>
  <r>
    <s v="P889"/>
    <s v="Stephen Strange"/>
    <x v="0"/>
    <d v="1960-05-24T00:00:00"/>
    <x v="116"/>
    <d v="2024-04-20T00:00:00"/>
    <x v="9"/>
    <x v="5"/>
    <x v="1"/>
    <n v="920500"/>
    <x v="0"/>
    <x v="2"/>
    <s v="Kampala"/>
    <n v="11"/>
    <s v="not stated"/>
    <n v="64"/>
  </r>
  <r>
    <s v="P890"/>
    <s v="Chris Evans"/>
    <x v="1"/>
    <d v="2008-12-25T00:00:00"/>
    <x v="58"/>
    <d v="2024-07-05T00:00:00"/>
    <x v="4"/>
    <x v="4"/>
    <x v="0"/>
    <n v="3168480"/>
    <x v="0"/>
    <x v="2"/>
    <s v="Jinja"/>
    <n v="15"/>
    <s v="Recovered"/>
    <n v="16"/>
  </r>
  <r>
    <s v="P891"/>
    <s v="David Kim"/>
    <x v="2"/>
    <d v="1960-11-23T00:00:00"/>
    <x v="79"/>
    <d v="2024-03-15T00:00:00"/>
    <x v="3"/>
    <x v="3"/>
    <x v="2"/>
    <n v="3584000"/>
    <x v="0"/>
    <x v="2"/>
    <s v="Jinja"/>
    <n v="13"/>
    <s v="not stated"/>
    <n v="64"/>
  </r>
  <r>
    <s v="P892"/>
    <s v="Chris Evans"/>
    <x v="2"/>
    <d v="1957-06-21T00:00:00"/>
    <x v="12"/>
    <d v="2024-02-06T00:00:00"/>
    <x v="2"/>
    <x v="2"/>
    <x v="3"/>
    <n v="516764"/>
    <x v="0"/>
    <x v="0"/>
    <s v="Kampala"/>
    <n v="13"/>
    <s v="not stated"/>
    <n v="67"/>
  </r>
  <r>
    <s v="P893"/>
    <s v="James Bond"/>
    <x v="1"/>
    <d v="2006-08-30T00:00:00"/>
    <x v="167"/>
    <d v="2024-01-21T00:00:00"/>
    <x v="7"/>
    <x v="4"/>
    <x v="4"/>
    <n v="3485328"/>
    <x v="0"/>
    <x v="0"/>
    <s v="Jinja"/>
    <n v="13"/>
    <s v="not stated"/>
    <n v="18"/>
  </r>
  <r>
    <s v="P894"/>
    <s v="Michael Brown"/>
    <x v="1"/>
    <d v="1970-05-06T00:00:00"/>
    <x v="99"/>
    <d v="2024-06-02T00:00:00"/>
    <x v="4"/>
    <x v="4"/>
    <x v="0"/>
    <n v="3873844"/>
    <x v="0"/>
    <x v="2"/>
    <s v="Kampala"/>
    <n v="11"/>
    <s v="Referred"/>
    <n v="54"/>
  </r>
  <r>
    <s v="P895"/>
    <s v="Bruce Wayne"/>
    <x v="1"/>
    <d v="1950-09-01T00:00:00"/>
    <x v="90"/>
    <s v="still admitted"/>
    <x v="7"/>
    <x v="4"/>
    <x v="4"/>
    <n v="4711228"/>
    <x v="1"/>
    <x v="0"/>
    <s v="Entebbe"/>
    <s v="Still Admitted"/>
    <s v="not stated"/>
    <n v="74"/>
  </r>
  <r>
    <s v="P896"/>
    <s v="Sarah Connor"/>
    <x v="0"/>
    <d v="1952-11-30T00:00:00"/>
    <x v="10"/>
    <d v="2024-03-10T00:00:00"/>
    <x v="9"/>
    <x v="5"/>
    <x v="0"/>
    <n v="742000"/>
    <x v="0"/>
    <x v="2"/>
    <s v="Entebbe"/>
    <n v="7"/>
    <s v="Referred"/>
    <n v="72"/>
  </r>
  <r>
    <s v="P897"/>
    <s v="Michael Brown"/>
    <x v="0"/>
    <d v="1982-08-21T00:00:00"/>
    <x v="139"/>
    <d v="2024-05-14T00:00:00"/>
    <x v="9"/>
    <x v="5"/>
    <x v="1"/>
    <n v="1803016"/>
    <x v="0"/>
    <x v="1"/>
    <s v="Entebbe"/>
    <n v="7"/>
    <s v="Referred"/>
    <n v="42"/>
  </r>
  <r>
    <s v="P898"/>
    <s v="Bruce Wayne"/>
    <x v="0"/>
    <d v="1966-05-21T00:00:00"/>
    <x v="51"/>
    <d v="2024-06-03T00:00:00"/>
    <x v="2"/>
    <x v="2"/>
    <x v="4"/>
    <n v="920500"/>
    <x v="1"/>
    <x v="2"/>
    <s v="Kampala"/>
    <n v="5"/>
    <s v="Recovered"/>
    <n v="58"/>
  </r>
  <r>
    <s v="P899"/>
    <s v="Tony Stark"/>
    <x v="0"/>
    <d v="2009-01-08T00:00:00"/>
    <x v="165"/>
    <s v="still admitted"/>
    <x v="7"/>
    <x v="4"/>
    <x v="0"/>
    <n v="1199496"/>
    <x v="0"/>
    <x v="2"/>
    <s v="Entebbe"/>
    <s v="Still Admitted"/>
    <s v="Referred"/>
    <n v="15"/>
  </r>
  <r>
    <s v="P900"/>
    <s v="TChalla"/>
    <x v="0"/>
    <d v="1972-03-18T00:00:00"/>
    <x v="84"/>
    <d v="2024-04-10T00:00:00"/>
    <x v="6"/>
    <x v="0"/>
    <x v="0"/>
    <n v="4009636"/>
    <x v="0"/>
    <x v="0"/>
    <s v="Jinja"/>
    <n v="15"/>
    <s v="not stated"/>
    <n v="52"/>
  </r>
  <r>
    <s v="P901"/>
    <s v="Nancy Drew"/>
    <x v="1"/>
    <d v="1950-06-23T00:00:00"/>
    <x v="76"/>
    <d v="2024-05-31T00:00:00"/>
    <x v="1"/>
    <x v="1"/>
    <x v="4"/>
    <n v="5525980"/>
    <x v="0"/>
    <x v="2"/>
    <s v="Entebbe"/>
    <n v="4"/>
    <s v="not stated"/>
    <n v="74"/>
  </r>
  <r>
    <s v="P902"/>
    <s v="TChalla"/>
    <x v="0"/>
    <d v="1974-03-02T00:00:00"/>
    <x v="31"/>
    <d v="2024-06-11T00:00:00"/>
    <x v="9"/>
    <x v="5"/>
    <x v="1"/>
    <n v="4937548"/>
    <x v="0"/>
    <x v="0"/>
    <s v="Jinja"/>
    <n v="5"/>
    <s v="not stated"/>
    <n v="50"/>
  </r>
  <r>
    <s v="P903"/>
    <s v="Sarah Connor"/>
    <x v="1"/>
    <d v="1972-04-27T00:00:00"/>
    <x v="155"/>
    <d v="2024-01-23T00:00:00"/>
    <x v="7"/>
    <x v="4"/>
    <x v="1"/>
    <n v="1403184"/>
    <x v="0"/>
    <x v="1"/>
    <s v="Jinja"/>
    <n v="12"/>
    <s v="Recovered"/>
    <n v="52"/>
  </r>
  <r>
    <s v="P904"/>
    <s v="Sarah Connor"/>
    <x v="2"/>
    <d v="1951-03-27T00:00:00"/>
    <x v="11"/>
    <d v="2024-01-31T00:00:00"/>
    <x v="6"/>
    <x v="0"/>
    <x v="0"/>
    <n v="2992500"/>
    <x v="2"/>
    <x v="2"/>
    <s v="Jinja"/>
    <n v="3"/>
    <s v="Referred"/>
    <n v="73"/>
  </r>
  <r>
    <s v="P905"/>
    <s v="James Bond"/>
    <x v="2"/>
    <d v="2006-12-22T00:00:00"/>
    <x v="93"/>
    <d v="2024-03-07T00:00:00"/>
    <x v="10"/>
    <x v="6"/>
    <x v="1"/>
    <n v="3753140"/>
    <x v="0"/>
    <x v="1"/>
    <s v="Entebbe"/>
    <n v="14"/>
    <s v="Recovered"/>
    <n v="18"/>
  </r>
  <r>
    <s v="P906"/>
    <s v="Steve Rogers"/>
    <x v="0"/>
    <d v="1975-12-08T00:00:00"/>
    <x v="149"/>
    <d v="2024-04-18T00:00:00"/>
    <x v="5"/>
    <x v="5"/>
    <x v="1"/>
    <n v="482816"/>
    <x v="1"/>
    <x v="1"/>
    <s v="Jinja"/>
    <n v="3"/>
    <s v="not stated"/>
    <n v="49"/>
  </r>
  <r>
    <s v="P907"/>
    <s v="Steve Rogers"/>
    <x v="1"/>
    <d v="1974-09-23T00:00:00"/>
    <x v="116"/>
    <d v="2024-04-13T00:00:00"/>
    <x v="3"/>
    <x v="3"/>
    <x v="2"/>
    <n v="2187760"/>
    <x v="2"/>
    <x v="0"/>
    <s v="Jinja"/>
    <n v="4"/>
    <s v="Recovered"/>
    <n v="50"/>
  </r>
  <r>
    <s v="P908"/>
    <s v="Chris Evans"/>
    <x v="1"/>
    <d v="1983-04-09T00:00:00"/>
    <x v="74"/>
    <d v="2024-07-06T00:00:00"/>
    <x v="1"/>
    <x v="1"/>
    <x v="0"/>
    <n v="4756492"/>
    <x v="0"/>
    <x v="2"/>
    <s v="Entebbe"/>
    <n v="11"/>
    <s v="not stated"/>
    <n v="41"/>
  </r>
  <r>
    <s v="P909"/>
    <s v="Scott Lang"/>
    <x v="0"/>
    <d v="1997-07-17T00:00:00"/>
    <x v="37"/>
    <d v="2024-06-10T00:00:00"/>
    <x v="9"/>
    <x v="5"/>
    <x v="2"/>
    <n v="4654648"/>
    <x v="1"/>
    <x v="2"/>
    <s v="Kampala"/>
    <n v="1"/>
    <s v="Recovered"/>
    <n v="27"/>
  </r>
  <r>
    <s v="P910"/>
    <s v="Peter Parker"/>
    <x v="1"/>
    <d v="1988-02-12T00:00:00"/>
    <x v="173"/>
    <d v="2024-07-08T00:00:00"/>
    <x v="6"/>
    <x v="0"/>
    <x v="4"/>
    <n v="4399500"/>
    <x v="0"/>
    <x v="2"/>
    <s v="Entebbe"/>
    <n v="11"/>
    <s v="Recovered"/>
    <n v="36"/>
  </r>
  <r>
    <s v="P911"/>
    <s v="Jane Smith"/>
    <x v="2"/>
    <d v="1980-02-27T00:00:00"/>
    <x v="162"/>
    <d v="2024-05-08T00:00:00"/>
    <x v="1"/>
    <x v="1"/>
    <x v="0"/>
    <n v="965632"/>
    <x v="1"/>
    <x v="0"/>
    <s v="Kampala"/>
    <n v="8"/>
    <s v="Recovered"/>
    <n v="44"/>
  </r>
  <r>
    <s v="P912"/>
    <s v="Tony Stark"/>
    <x v="0"/>
    <d v="1956-07-07T00:00:00"/>
    <x v="100"/>
    <d v="2024-06-27T00:00:00"/>
    <x v="4"/>
    <x v="4"/>
    <x v="0"/>
    <n v="609000"/>
    <x v="0"/>
    <x v="2"/>
    <s v="Kampala"/>
    <n v="4"/>
    <s v="not stated"/>
    <n v="68"/>
  </r>
  <r>
    <s v="P913"/>
    <s v="James Bond"/>
    <x v="0"/>
    <d v="1980-07-29T00:00:00"/>
    <x v="23"/>
    <s v="still admitted"/>
    <x v="5"/>
    <x v="5"/>
    <x v="4"/>
    <n v="4522628"/>
    <x v="0"/>
    <x v="2"/>
    <s v="Jinja"/>
    <s v="Still Admitted"/>
    <s v="Recovered"/>
    <n v="44"/>
  </r>
  <r>
    <s v="P914"/>
    <s v="John Doe"/>
    <x v="2"/>
    <d v="1993-12-02T00:00:00"/>
    <x v="149"/>
    <s v="still admitted"/>
    <x v="2"/>
    <x v="2"/>
    <x v="0"/>
    <n v="4473000"/>
    <x v="0"/>
    <x v="2"/>
    <s v="Jinja"/>
    <s v="Still Admitted"/>
    <s v="Referred"/>
    <n v="31"/>
  </r>
  <r>
    <s v="P915"/>
    <s v="Linda White"/>
    <x v="0"/>
    <d v="1958-10-01T00:00:00"/>
    <x v="176"/>
    <d v="2024-07-03T00:00:00"/>
    <x v="4"/>
    <x v="4"/>
    <x v="0"/>
    <n v="1761524"/>
    <x v="0"/>
    <x v="0"/>
    <s v="Kampala"/>
    <n v="14"/>
    <s v="Recovered"/>
    <n v="66"/>
  </r>
  <r>
    <s v="P916"/>
    <s v="Steve Rogers"/>
    <x v="1"/>
    <d v="2005-07-02T00:00:00"/>
    <x v="75"/>
    <d v="2024-01-21T00:00:00"/>
    <x v="8"/>
    <x v="5"/>
    <x v="2"/>
    <n v="2689436"/>
    <x v="0"/>
    <x v="1"/>
    <s v="Kampala"/>
    <n v="12"/>
    <s v="Recovered"/>
    <n v="19"/>
  </r>
  <r>
    <s v="P917"/>
    <s v="Jane Smith"/>
    <x v="0"/>
    <d v="1965-09-16T00:00:00"/>
    <x v="11"/>
    <d v="2024-02-01T00:00:00"/>
    <x v="3"/>
    <x v="3"/>
    <x v="0"/>
    <n v="3734280"/>
    <x v="0"/>
    <x v="2"/>
    <s v="Jinja"/>
    <n v="4"/>
    <s v="not stated"/>
    <n v="59"/>
  </r>
  <r>
    <s v="P918"/>
    <s v="TChalla"/>
    <x v="0"/>
    <d v="1979-08-12T00:00:00"/>
    <x v="7"/>
    <d v="2024-02-17T00:00:00"/>
    <x v="0"/>
    <x v="0"/>
    <x v="2"/>
    <n v="3538500"/>
    <x v="0"/>
    <x v="2"/>
    <s v="Jinja"/>
    <n v="7"/>
    <s v="not stated"/>
    <n v="45"/>
  </r>
  <r>
    <s v="P919"/>
    <s v="James Bond"/>
    <x v="1"/>
    <d v="1976-07-07T00:00:00"/>
    <x v="2"/>
    <d v="2024-05-31T00:00:00"/>
    <x v="3"/>
    <x v="3"/>
    <x v="0"/>
    <n v="4496224"/>
    <x v="1"/>
    <x v="2"/>
    <s v="Entebbe"/>
    <n v="14"/>
    <s v="not stated"/>
    <n v="48"/>
  </r>
  <r>
    <s v="P920"/>
    <s v="David Kim"/>
    <x v="0"/>
    <d v="1996-06-20T00:00:00"/>
    <x v="2"/>
    <d v="2024-05-21T00:00:00"/>
    <x v="2"/>
    <x v="2"/>
    <x v="4"/>
    <n v="4575436"/>
    <x v="0"/>
    <x v="1"/>
    <s v="Entebbe"/>
    <n v="4"/>
    <s v="Referred"/>
    <n v="28"/>
  </r>
  <r>
    <s v="P921"/>
    <s v="Bruce Wayne"/>
    <x v="0"/>
    <d v="1962-03-21T00:00:00"/>
    <x v="80"/>
    <d v="2024-01-26T00:00:00"/>
    <x v="3"/>
    <x v="3"/>
    <x v="2"/>
    <n v="2078372"/>
    <x v="1"/>
    <x v="0"/>
    <s v="Jinja"/>
    <n v="14"/>
    <s v="not stated"/>
    <n v="62"/>
  </r>
  <r>
    <s v="P922"/>
    <s v="Stephen Strange"/>
    <x v="0"/>
    <d v="1978-11-16T00:00:00"/>
    <x v="111"/>
    <d v="2024-02-18T00:00:00"/>
    <x v="9"/>
    <x v="5"/>
    <x v="0"/>
    <n v="584660"/>
    <x v="0"/>
    <x v="1"/>
    <s v="Entebbe"/>
    <n v="6"/>
    <s v="not stated"/>
    <n v="46"/>
  </r>
  <r>
    <s v="P923"/>
    <s v="TChalla"/>
    <x v="0"/>
    <d v="1957-05-31T00:00:00"/>
    <x v="101"/>
    <d v="2024-05-18T00:00:00"/>
    <x v="9"/>
    <x v="5"/>
    <x v="3"/>
    <n v="5046936"/>
    <x v="0"/>
    <x v="2"/>
    <s v="Entebbe"/>
    <n v="15"/>
    <s v="not stated"/>
    <n v="67"/>
  </r>
  <r>
    <s v="P924"/>
    <s v="Peter Parker"/>
    <x v="2"/>
    <d v="1976-03-17T00:00:00"/>
    <x v="7"/>
    <d v="2024-02-13T00:00:00"/>
    <x v="5"/>
    <x v="5"/>
    <x v="4"/>
    <n v="965632"/>
    <x v="0"/>
    <x v="2"/>
    <s v="Jinja"/>
    <n v="3"/>
    <s v="Referred"/>
    <n v="48"/>
  </r>
  <r>
    <s v="P925"/>
    <s v="Natasha Romanoff"/>
    <x v="0"/>
    <d v="1995-07-02T00:00:00"/>
    <x v="29"/>
    <s v="still admitted"/>
    <x v="9"/>
    <x v="5"/>
    <x v="3"/>
    <n v="2395220"/>
    <x v="2"/>
    <x v="2"/>
    <s v="Jinja"/>
    <s v="Still Admitted"/>
    <s v="not stated"/>
    <n v="29"/>
  </r>
  <r>
    <s v="P926"/>
    <s v="Chris Evans"/>
    <x v="0"/>
    <d v="1963-06-15T00:00:00"/>
    <x v="89"/>
    <d v="2024-04-09T00:00:00"/>
    <x v="2"/>
    <x v="2"/>
    <x v="1"/>
    <n v="3228832"/>
    <x v="0"/>
    <x v="2"/>
    <s v="Kampala"/>
    <n v="3"/>
    <s v="not stated"/>
    <n v="61"/>
  </r>
  <r>
    <s v="P927"/>
    <s v="Stephen Strange"/>
    <x v="1"/>
    <d v="1953-07-14T00:00:00"/>
    <x v="143"/>
    <d v="2024-01-21T00:00:00"/>
    <x v="0"/>
    <x v="0"/>
    <x v="2"/>
    <n v="505448"/>
    <x v="0"/>
    <x v="1"/>
    <s v="Kampala"/>
    <n v="7"/>
    <s v="Recovered"/>
    <n v="71"/>
  </r>
  <r>
    <s v="P928"/>
    <s v="Diana Prince"/>
    <x v="0"/>
    <d v="1997-06-03T00:00:00"/>
    <x v="99"/>
    <d v="2024-06-03T00:00:00"/>
    <x v="6"/>
    <x v="0"/>
    <x v="4"/>
    <n v="4036040"/>
    <x v="0"/>
    <x v="0"/>
    <s v="Entebbe"/>
    <n v="12"/>
    <s v="not stated"/>
    <n v="27"/>
  </r>
  <r>
    <s v="P929"/>
    <s v="Michael Brown"/>
    <x v="1"/>
    <d v="1974-01-10T00:00:00"/>
    <x v="6"/>
    <s v="still admitted"/>
    <x v="1"/>
    <x v="1"/>
    <x v="3"/>
    <n v="2655488"/>
    <x v="1"/>
    <x v="2"/>
    <s v="Entebbe"/>
    <s v="Still Admitted"/>
    <s v="Recovered"/>
    <n v="50"/>
  </r>
  <r>
    <s v="P930"/>
    <s v="Tony Stark"/>
    <x v="2"/>
    <d v="1961-09-16T00:00:00"/>
    <x v="9"/>
    <d v="2024-05-20T00:00:00"/>
    <x v="7"/>
    <x v="4"/>
    <x v="2"/>
    <n v="690276"/>
    <x v="0"/>
    <x v="2"/>
    <s v="Kampala"/>
    <n v="5"/>
    <s v="Referred"/>
    <n v="63"/>
  </r>
  <r>
    <s v="P931"/>
    <s v="Jane Smith"/>
    <x v="1"/>
    <d v="1986-03-07T00:00:00"/>
    <x v="131"/>
    <d v="2024-07-02T00:00:00"/>
    <x v="5"/>
    <x v="5"/>
    <x v="2"/>
    <n v="554484"/>
    <x v="2"/>
    <x v="2"/>
    <s v="Entebbe"/>
    <n v="11"/>
    <s v="Referred"/>
    <n v="38"/>
  </r>
  <r>
    <s v="P932"/>
    <s v="TChalla"/>
    <x v="2"/>
    <d v="1997-07-31T00:00:00"/>
    <x v="0"/>
    <d v="2024-03-07T00:00:00"/>
    <x v="5"/>
    <x v="5"/>
    <x v="3"/>
    <n v="1410728"/>
    <x v="1"/>
    <x v="1"/>
    <s v="Jinja"/>
    <n v="9"/>
    <s v="Referred"/>
    <n v="27"/>
  </r>
  <r>
    <s v="P933"/>
    <s v="Jane Smith"/>
    <x v="2"/>
    <d v="1976-02-21T00:00:00"/>
    <x v="93"/>
    <d v="2024-03-06T00:00:00"/>
    <x v="4"/>
    <x v="4"/>
    <x v="4"/>
    <n v="2194500"/>
    <x v="0"/>
    <x v="2"/>
    <s v="Jinja"/>
    <n v="13"/>
    <s v="Recovered"/>
    <n v="48"/>
  </r>
  <r>
    <s v="P934"/>
    <s v="Michael Brown"/>
    <x v="0"/>
    <d v="2003-10-26T00:00:00"/>
    <x v="62"/>
    <d v="2024-05-27T00:00:00"/>
    <x v="2"/>
    <x v="2"/>
    <x v="4"/>
    <n v="1908632"/>
    <x v="1"/>
    <x v="1"/>
    <s v="Jinja"/>
    <n v="13"/>
    <s v="Recovered"/>
    <n v="21"/>
  </r>
  <r>
    <s v="P935"/>
    <s v="Diana Prince"/>
    <x v="1"/>
    <d v="1978-12-24T00:00:00"/>
    <x v="155"/>
    <d v="2024-01-23T00:00:00"/>
    <x v="7"/>
    <x v="4"/>
    <x v="4"/>
    <n v="4277448"/>
    <x v="0"/>
    <x v="2"/>
    <s v="Kampala"/>
    <n v="12"/>
    <s v="Referred"/>
    <n v="46"/>
  </r>
  <r>
    <s v="P936"/>
    <s v="Wanda Maximoff"/>
    <x v="0"/>
    <d v="1950-12-16T00:00:00"/>
    <x v="135"/>
    <d v="2024-02-24T00:00:00"/>
    <x v="8"/>
    <x v="5"/>
    <x v="1"/>
    <n v="1240988"/>
    <x v="1"/>
    <x v="1"/>
    <s v="Kampala"/>
    <n v="1"/>
    <s v="Referred"/>
    <n v="74"/>
  </r>
  <r>
    <s v="P937"/>
    <s v="Natasha Romanoff"/>
    <x v="0"/>
    <d v="1975-06-13T00:00:00"/>
    <x v="145"/>
    <d v="2024-04-27T00:00:00"/>
    <x v="1"/>
    <x v="1"/>
    <x v="4"/>
    <n v="3047776"/>
    <x v="0"/>
    <x v="1"/>
    <s v="Entebbe"/>
    <n v="11"/>
    <s v="Recovered"/>
    <n v="49"/>
  </r>
  <r>
    <s v="P938"/>
    <s v="TChalla"/>
    <x v="0"/>
    <d v="1959-10-07T00:00:00"/>
    <x v="0"/>
    <d v="2024-03-06T00:00:00"/>
    <x v="9"/>
    <x v="5"/>
    <x v="0"/>
    <n v="3523048"/>
    <x v="0"/>
    <x v="0"/>
    <s v="Kampala"/>
    <n v="8"/>
    <s v="Recovered"/>
    <n v="65"/>
  </r>
  <r>
    <s v="P939"/>
    <s v="Nancy Drew"/>
    <x v="1"/>
    <d v="1974-09-03T00:00:00"/>
    <x v="85"/>
    <s v="still admitted"/>
    <x v="5"/>
    <x v="5"/>
    <x v="3"/>
    <n v="2647944"/>
    <x v="1"/>
    <x v="2"/>
    <s v="Jinja"/>
    <s v="Still Admitted"/>
    <s v="Referred"/>
    <n v="50"/>
  </r>
  <r>
    <s v="P940"/>
    <s v="John Doe"/>
    <x v="2"/>
    <d v="1980-04-11T00:00:00"/>
    <x v="105"/>
    <d v="2024-05-19T00:00:00"/>
    <x v="2"/>
    <x v="2"/>
    <x v="0"/>
    <n v="1274936"/>
    <x v="2"/>
    <x v="1"/>
    <s v="Kampala"/>
    <n v="13"/>
    <s v="Recovered"/>
    <n v="44"/>
  </r>
  <r>
    <s v="P941"/>
    <s v="James Bond"/>
    <x v="0"/>
    <d v="1985-01-15T00:00:00"/>
    <x v="78"/>
    <d v="2024-06-17T00:00:00"/>
    <x v="1"/>
    <x v="1"/>
    <x v="3"/>
    <n v="3896476"/>
    <x v="0"/>
    <x v="0"/>
    <s v="Kampala"/>
    <n v="13"/>
    <s v="Recovered"/>
    <n v="39"/>
  </r>
  <r>
    <s v="P942"/>
    <s v="Bruce Wayne"/>
    <x v="0"/>
    <d v="1954-09-02T00:00:00"/>
    <x v="70"/>
    <d v="2024-05-12T00:00:00"/>
    <x v="6"/>
    <x v="0"/>
    <x v="1"/>
    <n v="3655068"/>
    <x v="1"/>
    <x v="0"/>
    <s v="Jinja"/>
    <n v="2"/>
    <s v="not stated"/>
    <n v="70"/>
  </r>
  <r>
    <s v="P943"/>
    <s v="Sarah Connor"/>
    <x v="1"/>
    <d v="1977-04-10T00:00:00"/>
    <x v="9"/>
    <d v="2024-05-21T00:00:00"/>
    <x v="4"/>
    <x v="4"/>
    <x v="2"/>
    <n v="5529752"/>
    <x v="2"/>
    <x v="1"/>
    <s v="Kampala"/>
    <n v="6"/>
    <s v="Referred"/>
    <n v="47"/>
  </r>
  <r>
    <s v="P944"/>
    <s v="Sarah Connor"/>
    <x v="0"/>
    <d v="1959-03-12T00:00:00"/>
    <x v="147"/>
    <d v="2024-04-26T00:00:00"/>
    <x v="0"/>
    <x v="0"/>
    <x v="3"/>
    <n v="812000"/>
    <x v="0"/>
    <x v="0"/>
    <s v="Kampala"/>
    <n v="1"/>
    <s v="Referred"/>
    <n v="65"/>
  </r>
  <r>
    <s v="P945"/>
    <s v="Linda White"/>
    <x v="1"/>
    <d v="2003-08-21T00:00:00"/>
    <x v="46"/>
    <d v="2024-06-19T00:00:00"/>
    <x v="2"/>
    <x v="2"/>
    <x v="4"/>
    <n v="5012988"/>
    <x v="0"/>
    <x v="2"/>
    <s v="Kampala"/>
    <n v="11"/>
    <s v="not stated"/>
    <n v="21"/>
  </r>
  <r>
    <s v="P946"/>
    <s v="TChalla"/>
    <x v="1"/>
    <d v="1963-03-08T00:00:00"/>
    <x v="30"/>
    <d v="2024-06-06T00:00:00"/>
    <x v="0"/>
    <x v="0"/>
    <x v="2"/>
    <n v="1878456"/>
    <x v="0"/>
    <x v="1"/>
    <s v="Kampala"/>
    <n v="13"/>
    <s v="Recovered"/>
    <n v="61"/>
  </r>
  <r>
    <s v="P947"/>
    <s v="David Kim"/>
    <x v="2"/>
    <d v="1988-07-26T00:00:00"/>
    <x v="30"/>
    <d v="2024-06-05T00:00:00"/>
    <x v="2"/>
    <x v="2"/>
    <x v="0"/>
    <n v="3451380"/>
    <x v="2"/>
    <x v="2"/>
    <s v="Kampala"/>
    <n v="12"/>
    <s v="not stated"/>
    <n v="36"/>
  </r>
  <r>
    <s v="P948"/>
    <s v="Peter Parker"/>
    <x v="0"/>
    <d v="1970-06-19T00:00:00"/>
    <x v="98"/>
    <d v="2024-04-08T00:00:00"/>
    <x v="6"/>
    <x v="0"/>
    <x v="2"/>
    <n v="472500"/>
    <x v="0"/>
    <x v="2"/>
    <s v="Entebbe"/>
    <n v="15"/>
    <s v="Recovered"/>
    <n v="54"/>
  </r>
  <r>
    <s v="P949"/>
    <s v="TChalla"/>
    <x v="0"/>
    <d v="1988-12-13T00:00:00"/>
    <x v="167"/>
    <d v="2024-01-21T00:00:00"/>
    <x v="2"/>
    <x v="2"/>
    <x v="0"/>
    <n v="3461500"/>
    <x v="0"/>
    <x v="2"/>
    <s v="Jinja"/>
    <n v="13"/>
    <s v="not stated"/>
    <n v="36"/>
  </r>
  <r>
    <s v="P950"/>
    <s v="James Bond"/>
    <x v="0"/>
    <d v="2000-05-26T00:00:00"/>
    <x v="57"/>
    <d v="2024-04-30T00:00:00"/>
    <x v="4"/>
    <x v="4"/>
    <x v="4"/>
    <n v="2597000"/>
    <x v="0"/>
    <x v="2"/>
    <s v="Kampala"/>
    <n v="11"/>
    <s v="not stated"/>
    <n v="24"/>
  </r>
  <r>
    <s v="P951"/>
    <s v="Nancy Drew"/>
    <x v="0"/>
    <d v="1977-11-17T00:00:00"/>
    <x v="37"/>
    <d v="2024-06-23T00:00:00"/>
    <x v="10"/>
    <x v="6"/>
    <x v="0"/>
    <n v="384744"/>
    <x v="1"/>
    <x v="2"/>
    <s v="Jinja"/>
    <n v="14"/>
    <s v="Referred"/>
    <n v="47"/>
  </r>
  <r>
    <s v="P952"/>
    <s v="Jane Smith"/>
    <x v="0"/>
    <d v="1984-09-26T00:00:00"/>
    <x v="178"/>
    <d v="2024-02-03T00:00:00"/>
    <x v="9"/>
    <x v="5"/>
    <x v="0"/>
    <n v="3274096"/>
    <x v="1"/>
    <x v="2"/>
    <s v="Kampala"/>
    <n v="14"/>
    <s v="not stated"/>
    <n v="40"/>
  </r>
  <r>
    <s v="P953"/>
    <s v="Bruce Wayne"/>
    <x v="0"/>
    <d v="1990-08-27T00:00:00"/>
    <x v="66"/>
    <d v="2024-02-23T00:00:00"/>
    <x v="6"/>
    <x v="0"/>
    <x v="0"/>
    <n v="3221288"/>
    <x v="0"/>
    <x v="2"/>
    <s v="Kampala"/>
    <n v="8"/>
    <s v="Referred"/>
    <n v="34"/>
  </r>
  <r>
    <s v="P954"/>
    <s v="Peter Parker"/>
    <x v="1"/>
    <d v="1964-07-24T00:00:00"/>
    <x v="44"/>
    <d v="2024-05-07T00:00:00"/>
    <x v="6"/>
    <x v="0"/>
    <x v="4"/>
    <n v="1330000"/>
    <x v="0"/>
    <x v="1"/>
    <s v="Jinja"/>
    <n v="13"/>
    <s v="not stated"/>
    <n v="60"/>
  </r>
  <r>
    <s v="P955"/>
    <s v="Diana Prince"/>
    <x v="0"/>
    <d v="1964-06-10T00:00:00"/>
    <x v="36"/>
    <d v="2024-03-17T00:00:00"/>
    <x v="7"/>
    <x v="4"/>
    <x v="0"/>
    <n v="1942580"/>
    <x v="0"/>
    <x v="1"/>
    <s v="Kampala"/>
    <n v="9"/>
    <s v="Referred"/>
    <n v="60"/>
  </r>
  <r>
    <s v="P956"/>
    <s v="Linda White"/>
    <x v="1"/>
    <d v="1980-12-05T00:00:00"/>
    <x v="11"/>
    <d v="2024-01-30T00:00:00"/>
    <x v="9"/>
    <x v="5"/>
    <x v="2"/>
    <n v="1644592"/>
    <x v="0"/>
    <x v="0"/>
    <s v="Kampala"/>
    <n v="2"/>
    <s v="Referred"/>
    <n v="44"/>
  </r>
  <r>
    <s v="P957"/>
    <s v="Wanda Maximoff"/>
    <x v="1"/>
    <d v="1978-07-05T00:00:00"/>
    <x v="29"/>
    <d v="2024-05-05T00:00:00"/>
    <x v="7"/>
    <x v="4"/>
    <x v="0"/>
    <n v="3832352"/>
    <x v="1"/>
    <x v="2"/>
    <s v="Entebbe"/>
    <n v="6"/>
    <s v="Recovered"/>
    <n v="46"/>
  </r>
  <r>
    <s v="P958"/>
    <s v="Linda White"/>
    <x v="2"/>
    <d v="2001-12-05T00:00:00"/>
    <x v="118"/>
    <d v="2024-01-18T00:00:00"/>
    <x v="7"/>
    <x v="4"/>
    <x v="1"/>
    <n v="2576276"/>
    <x v="0"/>
    <x v="2"/>
    <s v="Kampala"/>
    <n v="5"/>
    <s v="Recovered"/>
    <n v="23"/>
  </r>
  <r>
    <s v="P959"/>
    <s v="Natasha Romanoff"/>
    <x v="0"/>
    <d v="1959-09-19T00:00:00"/>
    <x v="90"/>
    <d v="2024-05-01T00:00:00"/>
    <x v="7"/>
    <x v="4"/>
    <x v="2"/>
    <n v="1621960"/>
    <x v="2"/>
    <x v="0"/>
    <s v="Kampala"/>
    <n v="3"/>
    <s v="not stated"/>
    <n v="65"/>
  </r>
  <r>
    <s v="P960"/>
    <s v="Linda White"/>
    <x v="0"/>
    <d v="1998-12-30T00:00:00"/>
    <x v="130"/>
    <d v="2024-05-12T00:00:00"/>
    <x v="2"/>
    <x v="2"/>
    <x v="0"/>
    <n v="4356660"/>
    <x v="1"/>
    <x v="2"/>
    <s v="Entebbe"/>
    <n v="7"/>
    <s v="Recovered"/>
    <n v="26"/>
  </r>
  <r>
    <s v="P961"/>
    <s v="Steve Rogers"/>
    <x v="1"/>
    <d v="1952-01-21T00:00:00"/>
    <x v="38"/>
    <d v="2024-07-13T00:00:00"/>
    <x v="10"/>
    <x v="6"/>
    <x v="3"/>
    <n v="848700"/>
    <x v="2"/>
    <x v="0"/>
    <s v="Entebbe"/>
    <n v="15"/>
    <s v="Recovered"/>
    <n v="72"/>
  </r>
  <r>
    <s v="P962"/>
    <s v="Clark Kent"/>
    <x v="2"/>
    <d v="1950-03-15T00:00:00"/>
    <x v="153"/>
    <s v="still admitted"/>
    <x v="3"/>
    <x v="3"/>
    <x v="0"/>
    <n v="4858000"/>
    <x v="0"/>
    <x v="0"/>
    <s v="Kampala"/>
    <s v="Still Admitted"/>
    <s v="not stated"/>
    <n v="74"/>
  </r>
  <r>
    <s v="P963"/>
    <s v="John Doe"/>
    <x v="2"/>
    <d v="1980-01-22T00:00:00"/>
    <x v="166"/>
    <d v="2024-01-30T00:00:00"/>
    <x v="2"/>
    <x v="2"/>
    <x v="2"/>
    <n v="1720032"/>
    <x v="1"/>
    <x v="0"/>
    <s v="Entebbe"/>
    <n v="3"/>
    <s v="not stated"/>
    <n v="44"/>
  </r>
  <r>
    <s v="P964"/>
    <s v="Stephen Strange"/>
    <x v="0"/>
    <d v="1997-12-06T00:00:00"/>
    <x v="55"/>
    <d v="2024-03-10T00:00:00"/>
    <x v="2"/>
    <x v="2"/>
    <x v="0"/>
    <n v="1599328"/>
    <x v="0"/>
    <x v="2"/>
    <s v="Kampala"/>
    <n v="9"/>
    <s v="not stated"/>
    <n v="27"/>
  </r>
  <r>
    <s v="P965"/>
    <s v="Stephen Strange"/>
    <x v="1"/>
    <d v="2003-09-02T00:00:00"/>
    <x v="117"/>
    <d v="2024-05-14T00:00:00"/>
    <x v="0"/>
    <x v="0"/>
    <x v="4"/>
    <n v="5239308"/>
    <x v="0"/>
    <x v="2"/>
    <s v="Entebbe"/>
    <n v="5"/>
    <s v="not stated"/>
    <n v="21"/>
  </r>
  <r>
    <s v="P966"/>
    <s v="Jane Smith"/>
    <x v="1"/>
    <d v="2008-09-30T00:00:00"/>
    <x v="12"/>
    <d v="2024-01-28T00:00:00"/>
    <x v="10"/>
    <x v="6"/>
    <x v="1"/>
    <n v="1889772"/>
    <x v="0"/>
    <x v="2"/>
    <s v="Entebbe"/>
    <n v="4"/>
    <s v="not stated"/>
    <n v="16"/>
  </r>
  <r>
    <s v="P967"/>
    <s v="Steve Rogers"/>
    <x v="1"/>
    <d v="2004-10-06T00:00:00"/>
    <x v="43"/>
    <d v="2024-04-18T00:00:00"/>
    <x v="2"/>
    <x v="2"/>
    <x v="3"/>
    <n v="1565380"/>
    <x v="0"/>
    <x v="0"/>
    <s v="Entebbe"/>
    <n v="10"/>
    <s v="not stated"/>
    <n v="20"/>
  </r>
  <r>
    <s v="P968"/>
    <s v="Bruce Wayne"/>
    <x v="1"/>
    <d v="1997-01-17T00:00:00"/>
    <x v="180"/>
    <d v="2024-04-25T00:00:00"/>
    <x v="8"/>
    <x v="5"/>
    <x v="3"/>
    <n v="2455572"/>
    <x v="0"/>
    <x v="2"/>
    <s v="Entebbe"/>
    <n v="13"/>
    <s v="not stated"/>
    <n v="27"/>
  </r>
  <r>
    <s v="P969"/>
    <s v="TChalla"/>
    <x v="0"/>
    <d v="1952-09-30T00:00:00"/>
    <x v="111"/>
    <d v="2024-02-15T00:00:00"/>
    <x v="8"/>
    <x v="5"/>
    <x v="1"/>
    <n v="1784156"/>
    <x v="2"/>
    <x v="2"/>
    <s v="Kampala"/>
    <n v="3"/>
    <s v="not stated"/>
    <n v="72"/>
  </r>
  <r>
    <s v="P970"/>
    <s v="Linda White"/>
    <x v="1"/>
    <d v="1972-02-16T00:00:00"/>
    <x v="100"/>
    <d v="2024-07-07T00:00:00"/>
    <x v="4"/>
    <x v="4"/>
    <x v="4"/>
    <n v="1088500"/>
    <x v="2"/>
    <x v="0"/>
    <s v="Entebbe"/>
    <n v="14"/>
    <s v="not stated"/>
    <n v="52"/>
  </r>
  <r>
    <s v="P971"/>
    <s v="Linda White"/>
    <x v="0"/>
    <d v="1980-04-24T00:00:00"/>
    <x v="66"/>
    <d v="2024-02-25T00:00:00"/>
    <x v="1"/>
    <x v="1"/>
    <x v="0"/>
    <n v="1942500"/>
    <x v="1"/>
    <x v="2"/>
    <s v="Kampala"/>
    <n v="10"/>
    <s v="not stated"/>
    <n v="44"/>
  </r>
  <r>
    <s v="P972"/>
    <s v="Stephen Strange"/>
    <x v="1"/>
    <d v="1985-02-05T00:00:00"/>
    <x v="68"/>
    <d v="2024-04-11T00:00:00"/>
    <x v="1"/>
    <x v="1"/>
    <x v="4"/>
    <n v="2881808"/>
    <x v="1"/>
    <x v="2"/>
    <s v="Entebbe"/>
    <n v="8"/>
    <s v="Referred"/>
    <n v="39"/>
  </r>
  <r>
    <s v="P973"/>
    <s v="John Doe"/>
    <x v="1"/>
    <d v="1977-07-05T00:00:00"/>
    <x v="131"/>
    <d v="2024-06-23T00:00:00"/>
    <x v="0"/>
    <x v="0"/>
    <x v="0"/>
    <n v="739312"/>
    <x v="1"/>
    <x v="2"/>
    <s v="Jinja"/>
    <n v="2"/>
    <s v="Recovered"/>
    <n v="47"/>
  </r>
  <r>
    <s v="P974"/>
    <s v="Clark Kent"/>
    <x v="1"/>
    <d v="1985-05-24T00:00:00"/>
    <x v="126"/>
    <d v="2024-01-25T00:00:00"/>
    <x v="8"/>
    <x v="5"/>
    <x v="0"/>
    <n v="2048196"/>
    <x v="0"/>
    <x v="0"/>
    <s v="Entebbe"/>
    <n v="2"/>
    <s v="not stated"/>
    <n v="39"/>
  </r>
  <r>
    <s v="P975"/>
    <s v="Nancy Drew"/>
    <x v="2"/>
    <d v="1988-03-29T00:00:00"/>
    <x v="102"/>
    <s v="still admitted"/>
    <x v="0"/>
    <x v="0"/>
    <x v="2"/>
    <n v="1531432"/>
    <x v="0"/>
    <x v="1"/>
    <s v="Kampala"/>
    <s v="Still Admitted"/>
    <s v="Referred"/>
    <n v="36"/>
  </r>
  <r>
    <s v="P976"/>
    <s v="Scott Lang"/>
    <x v="0"/>
    <d v="1960-12-12T00:00:00"/>
    <x v="17"/>
    <d v="2024-06-06T00:00:00"/>
    <x v="10"/>
    <x v="6"/>
    <x v="1"/>
    <n v="3164708"/>
    <x v="0"/>
    <x v="2"/>
    <s v="Entebbe"/>
    <n v="14"/>
    <s v="Recovered"/>
    <n v="64"/>
  </r>
  <r>
    <s v="P977"/>
    <s v="Stephen Strange"/>
    <x v="2"/>
    <d v="1988-05-30T00:00:00"/>
    <x v="120"/>
    <d v="2024-01-25T00:00:00"/>
    <x v="10"/>
    <x v="6"/>
    <x v="1"/>
    <n v="2352000"/>
    <x v="0"/>
    <x v="0"/>
    <s v="Entebbe"/>
    <n v="10"/>
    <s v="Referred"/>
    <n v="36"/>
  </r>
  <r>
    <s v="P978"/>
    <s v="Chris Evans"/>
    <x v="0"/>
    <d v="2006-09-19T00:00:00"/>
    <x v="1"/>
    <d v="2024-06-12T00:00:00"/>
    <x v="0"/>
    <x v="0"/>
    <x v="0"/>
    <n v="4254816"/>
    <x v="0"/>
    <x v="1"/>
    <s v="Kampala"/>
    <n v="13"/>
    <s v="Referred"/>
    <n v="18"/>
  </r>
  <r>
    <s v="P979"/>
    <s v="David Kim"/>
    <x v="2"/>
    <d v="1950-07-25T00:00:00"/>
    <x v="155"/>
    <d v="2024-01-17T00:00:00"/>
    <x v="0"/>
    <x v="0"/>
    <x v="0"/>
    <n v="935456"/>
    <x v="0"/>
    <x v="1"/>
    <s v="Entebbe"/>
    <n v="6"/>
    <s v="Recovered"/>
    <n v="74"/>
  </r>
  <r>
    <s v="P980"/>
    <s v="Bruce Wayne"/>
    <x v="0"/>
    <d v="1993-02-09T00:00:00"/>
    <x v="25"/>
    <d v="2024-05-20T00:00:00"/>
    <x v="6"/>
    <x v="0"/>
    <x v="1"/>
    <n v="2523500"/>
    <x v="1"/>
    <x v="2"/>
    <s v="Entebbe"/>
    <n v="7"/>
    <s v="Referred"/>
    <n v="31"/>
  </r>
  <r>
    <s v="P981"/>
    <s v="Natasha Romanoff"/>
    <x v="2"/>
    <d v="1969-12-04T00:00:00"/>
    <x v="44"/>
    <d v="2024-04-29T00:00:00"/>
    <x v="3"/>
    <x v="3"/>
    <x v="0"/>
    <n v="1277500"/>
    <x v="1"/>
    <x v="0"/>
    <s v="Entebbe"/>
    <n v="5"/>
    <s v="Recovered"/>
    <n v="55"/>
  </r>
  <r>
    <s v="P982"/>
    <s v="James Bond"/>
    <x v="2"/>
    <d v="1965-07-05T00:00:00"/>
    <x v="73"/>
    <d v="2024-02-07T00:00:00"/>
    <x v="0"/>
    <x v="0"/>
    <x v="2"/>
    <n v="5360012"/>
    <x v="0"/>
    <x v="1"/>
    <s v="Kampala"/>
    <n v="3"/>
    <s v="Recovered"/>
    <n v="59"/>
  </r>
  <r>
    <s v="P983"/>
    <s v="Nancy Drew"/>
    <x v="1"/>
    <d v="1973-07-17T00:00:00"/>
    <x v="7"/>
    <d v="2024-02-18T00:00:00"/>
    <x v="9"/>
    <x v="5"/>
    <x v="0"/>
    <n v="4017180"/>
    <x v="1"/>
    <x v="1"/>
    <s v="Jinja"/>
    <n v="8"/>
    <s v="Recovered"/>
    <n v="51"/>
  </r>
  <r>
    <s v="P984"/>
    <s v="Natasha Romanoff"/>
    <x v="1"/>
    <d v="1978-10-14T00:00:00"/>
    <x v="142"/>
    <d v="2024-04-09T00:00:00"/>
    <x v="0"/>
    <x v="0"/>
    <x v="1"/>
    <n v="1474852"/>
    <x v="1"/>
    <x v="2"/>
    <s v="Entebbe"/>
    <n v="7"/>
    <s v="Recovered"/>
    <n v="46"/>
  </r>
  <r>
    <s v="P985"/>
    <s v="Sarah Connor"/>
    <x v="1"/>
    <d v="1954-10-06T00:00:00"/>
    <x v="15"/>
    <d v="2024-04-25T00:00:00"/>
    <x v="10"/>
    <x v="6"/>
    <x v="0"/>
    <n v="1908632"/>
    <x v="0"/>
    <x v="0"/>
    <s v="Kampala"/>
    <n v="3"/>
    <s v="Recovered"/>
    <n v="70"/>
  </r>
  <r>
    <s v="P986"/>
    <s v="TChalla"/>
    <x v="0"/>
    <d v="1969-03-17T00:00:00"/>
    <x v="163"/>
    <d v="2024-02-26T00:00:00"/>
    <x v="6"/>
    <x v="0"/>
    <x v="4"/>
    <n v="889000"/>
    <x v="0"/>
    <x v="0"/>
    <s v="Kampala"/>
    <n v="13"/>
    <s v="not stated"/>
    <n v="55"/>
  </r>
  <r>
    <s v="P987"/>
    <s v="Nancy Drew"/>
    <x v="2"/>
    <d v="2001-10-26T00:00:00"/>
    <x v="102"/>
    <d v="2024-03-24T00:00:00"/>
    <x v="6"/>
    <x v="0"/>
    <x v="3"/>
    <n v="4183148"/>
    <x v="0"/>
    <x v="2"/>
    <s v="Entebbe"/>
    <n v="2"/>
    <s v="Recovered"/>
    <n v="23"/>
  </r>
  <r>
    <s v="P988"/>
    <s v="Bruce Wayne"/>
    <x v="0"/>
    <d v="1972-10-11T00:00:00"/>
    <x v="23"/>
    <d v="2024-06-13T00:00:00"/>
    <x v="9"/>
    <x v="5"/>
    <x v="4"/>
    <n v="1723804"/>
    <x v="0"/>
    <x v="0"/>
    <s v="Kampala"/>
    <n v="8"/>
    <s v="not stated"/>
    <n v="52"/>
  </r>
  <r>
    <s v="P989"/>
    <s v="Wanda Maximoff"/>
    <x v="1"/>
    <d v="1960-02-04T00:00:00"/>
    <x v="130"/>
    <s v="still admitted"/>
    <x v="2"/>
    <x v="2"/>
    <x v="0"/>
    <n v="1384324"/>
    <x v="0"/>
    <x v="1"/>
    <s v="Kampala"/>
    <s v="Still Admitted"/>
    <s v="not stated"/>
    <n v="64"/>
  </r>
  <r>
    <s v="P990"/>
    <s v="Jane Smith"/>
    <x v="0"/>
    <d v="1966-11-27T00:00:00"/>
    <x v="72"/>
    <d v="2024-01-19T00:00:00"/>
    <x v="0"/>
    <x v="0"/>
    <x v="3"/>
    <n v="3971916"/>
    <x v="0"/>
    <x v="0"/>
    <s v="Jinja"/>
    <n v="9"/>
    <s v="Referred"/>
    <n v="58"/>
  </r>
  <r>
    <s v="P991"/>
    <s v="Wanda Maximoff"/>
    <x v="0"/>
    <d v="1966-07-26T00:00:00"/>
    <x v="171"/>
    <d v="2024-06-25T00:00:00"/>
    <x v="4"/>
    <x v="4"/>
    <x v="1"/>
    <n v="2708296"/>
    <x v="2"/>
    <x v="1"/>
    <s v="Jinja"/>
    <n v="13"/>
    <s v="Referred"/>
    <n v="58"/>
  </r>
  <r>
    <s v="P992"/>
    <s v="Steve Rogers"/>
    <x v="0"/>
    <d v="1981-02-13T00:00:00"/>
    <x v="135"/>
    <s v="still admitted"/>
    <x v="3"/>
    <x v="3"/>
    <x v="4"/>
    <n v="1547000"/>
    <x v="0"/>
    <x v="1"/>
    <s v="Entebbe"/>
    <s v="Still Admitted"/>
    <s v="Referred"/>
    <n v="43"/>
  </r>
  <r>
    <s v="P993"/>
    <s v="Wanda Maximoff"/>
    <x v="1"/>
    <d v="1955-02-01T00:00:00"/>
    <x v="175"/>
    <d v="2024-01-04T00:00:00"/>
    <x v="6"/>
    <x v="0"/>
    <x v="1"/>
    <n v="1093880"/>
    <x v="0"/>
    <x v="2"/>
    <s v="Kampala"/>
    <n v="2"/>
    <s v="Recovered"/>
    <n v="69"/>
  </r>
  <r>
    <s v="P994"/>
    <s v="James Bond"/>
    <x v="1"/>
    <d v="1960-08-05T00:00:00"/>
    <x v="174"/>
    <d v="2024-04-17T00:00:00"/>
    <x v="7"/>
    <x v="4"/>
    <x v="2"/>
    <n v="5578788"/>
    <x v="0"/>
    <x v="1"/>
    <s v="Entebbe"/>
    <n v="3"/>
    <s v="Recovered"/>
    <n v="64"/>
  </r>
  <r>
    <s v="P995"/>
    <s v="Sarah Connor"/>
    <x v="0"/>
    <d v="1952-11-11T00:00:00"/>
    <x v="73"/>
    <d v="2024-02-19T00:00:00"/>
    <x v="4"/>
    <x v="4"/>
    <x v="4"/>
    <n v="2029336"/>
    <x v="0"/>
    <x v="0"/>
    <s v="Entebbe"/>
    <n v="15"/>
    <s v="not stated"/>
    <n v="72"/>
  </r>
  <r>
    <s v="P996"/>
    <s v="Linda White"/>
    <x v="1"/>
    <d v="2008-05-15T00:00:00"/>
    <x v="25"/>
    <s v="still admitted"/>
    <x v="5"/>
    <x v="5"/>
    <x v="0"/>
    <n v="994000"/>
    <x v="0"/>
    <x v="2"/>
    <s v="Jinja"/>
    <s v="Still Admitted"/>
    <s v="Referred"/>
    <n v="16"/>
  </r>
  <r>
    <s v="P997"/>
    <s v="TChalla"/>
    <x v="1"/>
    <d v="1979-04-22T00:00:00"/>
    <x v="92"/>
    <d v="2024-02-09T00:00:00"/>
    <x v="8"/>
    <x v="5"/>
    <x v="3"/>
    <n v="3315588"/>
    <x v="0"/>
    <x v="0"/>
    <s v="Jinja"/>
    <n v="1"/>
    <s v="Referred"/>
    <n v="45"/>
  </r>
  <r>
    <s v="P998"/>
    <s v="TChalla"/>
    <x v="1"/>
    <d v="1951-07-14T00:00:00"/>
    <x v="172"/>
    <s v="still admitted"/>
    <x v="5"/>
    <x v="5"/>
    <x v="1"/>
    <n v="2922500"/>
    <x v="1"/>
    <x v="2"/>
    <s v="Entebbe"/>
    <s v="Still Admitted"/>
    <s v="Recovered"/>
    <n v="73"/>
  </r>
  <r>
    <s v="P999"/>
    <s v="John Doe"/>
    <x v="0"/>
    <d v="1956-09-21T00:00:00"/>
    <x v="71"/>
    <d v="2024-01-22T00:00:00"/>
    <x v="1"/>
    <x v="1"/>
    <x v="1"/>
    <n v="5118604"/>
    <x v="2"/>
    <x v="0"/>
    <s v="Jinja"/>
    <n v="15"/>
    <s v="Recovered"/>
    <n v="68"/>
  </r>
  <r>
    <s v="P1000"/>
    <s v="Scott Lang"/>
    <x v="0"/>
    <d v="1989-10-02T00:00:00"/>
    <x v="146"/>
    <d v="2024-04-21T00:00:00"/>
    <x v="4"/>
    <x v="4"/>
    <x v="0"/>
    <n v="2549872"/>
    <x v="0"/>
    <x v="2"/>
    <s v="Entebbe"/>
    <n v="1"/>
    <s v="not stated"/>
    <n v="35"/>
  </r>
  <r>
    <s v="P1001"/>
    <s v="John Doe"/>
    <x v="1"/>
    <d v="1975-08-11T00:00:00"/>
    <x v="87"/>
    <s v="still admitted"/>
    <x v="0"/>
    <x v="0"/>
    <x v="1"/>
    <n v="4209552"/>
    <x v="0"/>
    <x v="2"/>
    <s v="Entebbe"/>
    <s v="Still Admitted"/>
    <s v="Referred"/>
    <n v="49"/>
  </r>
  <r>
    <s v="P1002"/>
    <s v="Clark Kent"/>
    <x v="0"/>
    <d v="1975-07-29T00:00:00"/>
    <x v="39"/>
    <d v="2024-02-28T00:00:00"/>
    <x v="3"/>
    <x v="3"/>
    <x v="2"/>
    <n v="2316008"/>
    <x v="2"/>
    <x v="1"/>
    <s v="Kampala"/>
    <n v="14"/>
    <s v="Recovered"/>
    <n v="49"/>
  </r>
  <r>
    <s v="P1003"/>
    <s v="Wanda Maximoff"/>
    <x v="0"/>
    <d v="1953-06-23T00:00:00"/>
    <x v="71"/>
    <d v="2024-01-09T00:00:00"/>
    <x v="1"/>
    <x v="1"/>
    <x v="2"/>
    <n v="1071248"/>
    <x v="0"/>
    <x v="2"/>
    <s v="Jinja"/>
    <n v="2"/>
    <s v="Recovered"/>
    <n v="71"/>
  </r>
  <r>
    <s v="P1004"/>
    <s v="Sarah Connor"/>
    <x v="2"/>
    <d v="1982-11-10T00:00:00"/>
    <x v="11"/>
    <d v="2024-02-11T00:00:00"/>
    <x v="8"/>
    <x v="5"/>
    <x v="0"/>
    <n v="3956828"/>
    <x v="0"/>
    <x v="1"/>
    <s v="Entebbe"/>
    <n v="14"/>
    <s v="Recovered"/>
    <n v="42"/>
  </r>
  <r>
    <s v="P1005"/>
    <s v="Nancy Drew"/>
    <x v="0"/>
    <d v="1957-02-24T00:00:00"/>
    <x v="40"/>
    <d v="2024-03-19T00:00:00"/>
    <x v="5"/>
    <x v="5"/>
    <x v="2"/>
    <n v="3470240"/>
    <x v="0"/>
    <x v="0"/>
    <s v="Kampala"/>
    <n v="5"/>
    <s v="Referred"/>
    <n v="67"/>
  </r>
  <r>
    <s v="P1006"/>
    <s v="Clark Kent"/>
    <x v="0"/>
    <d v="1997-05-19T00:00:00"/>
    <x v="44"/>
    <d v="2024-05-04T00:00:00"/>
    <x v="10"/>
    <x v="6"/>
    <x v="0"/>
    <n v="1305112"/>
    <x v="0"/>
    <x v="0"/>
    <s v="Jinja"/>
    <n v="10"/>
    <s v="Recovered"/>
    <n v="27"/>
  </r>
  <r>
    <s v="P1007"/>
    <s v="Diana Prince"/>
    <x v="1"/>
    <d v="1989-06-05T00:00:00"/>
    <x v="110"/>
    <d v="2024-04-24T00:00:00"/>
    <x v="8"/>
    <x v="5"/>
    <x v="0"/>
    <n v="4428328"/>
    <x v="0"/>
    <x v="2"/>
    <s v="Kampala"/>
    <n v="3"/>
    <s v="Referred"/>
    <n v="35"/>
  </r>
  <r>
    <s v="P1008"/>
    <s v="Tony Stark"/>
    <x v="1"/>
    <d v="1958-12-27T00:00:00"/>
    <x v="82"/>
    <d v="2024-04-07T00:00:00"/>
    <x v="9"/>
    <x v="5"/>
    <x v="4"/>
    <n v="4126568"/>
    <x v="0"/>
    <x v="2"/>
    <s v="Kampala"/>
    <n v="13"/>
    <s v="not stated"/>
    <n v="66"/>
  </r>
  <r>
    <s v="P1009"/>
    <s v="TChalla"/>
    <x v="1"/>
    <d v="1998-10-17T00:00:00"/>
    <x v="30"/>
    <d v="2024-05-30T00:00:00"/>
    <x v="6"/>
    <x v="0"/>
    <x v="0"/>
    <n v="2821456"/>
    <x v="0"/>
    <x v="2"/>
    <s v="Jinja"/>
    <n v="6"/>
    <s v="not stated"/>
    <n v="26"/>
  </r>
  <r>
    <s v="P1010"/>
    <s v="Scott Lang"/>
    <x v="2"/>
    <d v="1994-07-31T00:00:00"/>
    <x v="78"/>
    <d v="2024-06-15T00:00:00"/>
    <x v="4"/>
    <x v="4"/>
    <x v="4"/>
    <n v="3768228"/>
    <x v="2"/>
    <x v="2"/>
    <s v="Jinja"/>
    <n v="11"/>
    <s v="Recovered"/>
    <n v="30"/>
  </r>
  <r>
    <s v="P1011"/>
    <s v="Diana Prince"/>
    <x v="0"/>
    <d v="1963-04-27T00:00:00"/>
    <x v="27"/>
    <d v="2024-05-12T00:00:00"/>
    <x v="0"/>
    <x v="0"/>
    <x v="0"/>
    <n v="2176444"/>
    <x v="0"/>
    <x v="2"/>
    <s v="Kampala"/>
    <n v="8"/>
    <s v="not stated"/>
    <n v="61"/>
  </r>
  <r>
    <s v="P1012"/>
    <s v="TChalla"/>
    <x v="0"/>
    <d v="1975-12-09T00:00:00"/>
    <x v="23"/>
    <d v="2024-06-07T00:00:00"/>
    <x v="3"/>
    <x v="3"/>
    <x v="2"/>
    <n v="5476944"/>
    <x v="0"/>
    <x v="0"/>
    <s v="Entebbe"/>
    <n v="2"/>
    <s v="Referred"/>
    <n v="49"/>
  </r>
  <r>
    <s v="P1013"/>
    <s v="Linda White"/>
    <x v="0"/>
    <d v="1957-12-27T00:00:00"/>
    <x v="120"/>
    <d v="2024-01-26T00:00:00"/>
    <x v="6"/>
    <x v="0"/>
    <x v="3"/>
    <n v="4847500"/>
    <x v="0"/>
    <x v="1"/>
    <s v="Kampala"/>
    <n v="11"/>
    <s v="not stated"/>
    <n v="67"/>
  </r>
  <r>
    <s v="P1014"/>
    <s v="Wanda Maximoff"/>
    <x v="0"/>
    <d v="1995-04-05T00:00:00"/>
    <x v="150"/>
    <s v="still admitted"/>
    <x v="10"/>
    <x v="6"/>
    <x v="3"/>
    <n v="4200000"/>
    <x v="1"/>
    <x v="1"/>
    <s v="Kampala"/>
    <s v="Still Admitted"/>
    <s v="Referred"/>
    <n v="29"/>
  </r>
  <r>
    <s v="P1015"/>
    <s v="Peter Parker"/>
    <x v="0"/>
    <d v="1962-05-27T00:00:00"/>
    <x v="13"/>
    <d v="2024-02-15T00:00:00"/>
    <x v="2"/>
    <x v="2"/>
    <x v="3"/>
    <n v="2176444"/>
    <x v="1"/>
    <x v="2"/>
    <s v="Entebbe"/>
    <n v="15"/>
    <s v="Recovered"/>
    <n v="62"/>
  </r>
  <r>
    <s v="P1016"/>
    <s v="John Doe"/>
    <x v="0"/>
    <d v="1998-06-15T00:00:00"/>
    <x v="154"/>
    <d v="2024-04-28T00:00:00"/>
    <x v="3"/>
    <x v="3"/>
    <x v="0"/>
    <n v="3311816"/>
    <x v="0"/>
    <x v="2"/>
    <s v="Kampala"/>
    <n v="11"/>
    <s v="Recovered"/>
    <n v="26"/>
  </r>
  <r>
    <s v="P1017"/>
    <s v="Wanda Maximoff"/>
    <x v="1"/>
    <d v="2002-12-21T00:00:00"/>
    <x v="111"/>
    <d v="2024-02-21T00:00:00"/>
    <x v="10"/>
    <x v="6"/>
    <x v="2"/>
    <n v="3406116"/>
    <x v="0"/>
    <x v="2"/>
    <s v="Kampala"/>
    <n v="9"/>
    <s v="not stated"/>
    <n v="22"/>
  </r>
  <r>
    <s v="P1018"/>
    <s v="Chris Evans"/>
    <x v="2"/>
    <d v="1957-12-07T00:00:00"/>
    <x v="157"/>
    <d v="2024-02-06T00:00:00"/>
    <x v="3"/>
    <x v="3"/>
    <x v="1"/>
    <n v="5582560"/>
    <x v="0"/>
    <x v="2"/>
    <s v="Entebbe"/>
    <n v="8"/>
    <s v="Referred"/>
    <n v="67"/>
  </r>
  <r>
    <s v="P1019"/>
    <s v="Diana Prince"/>
    <x v="1"/>
    <d v="1976-04-10T00:00:00"/>
    <x v="179"/>
    <d v="2024-06-08T00:00:00"/>
    <x v="1"/>
    <x v="1"/>
    <x v="0"/>
    <n v="2421624"/>
    <x v="0"/>
    <x v="2"/>
    <s v="Entebbe"/>
    <n v="5"/>
    <s v="Recovered"/>
    <n v="48"/>
  </r>
  <r>
    <s v="P1020"/>
    <s v="John Doe"/>
    <x v="1"/>
    <d v="2000-04-25T00:00:00"/>
    <x v="166"/>
    <s v="still admitted"/>
    <x v="8"/>
    <x v="5"/>
    <x v="2"/>
    <n v="2251884"/>
    <x v="0"/>
    <x v="0"/>
    <s v="Kampala"/>
    <s v="Still Admitted"/>
    <s v="Recovered"/>
    <n v="24"/>
  </r>
  <r>
    <s v="P1021"/>
    <s v="Stephen Strange"/>
    <x v="1"/>
    <d v="1997-10-16T00:00:00"/>
    <x v="31"/>
    <d v="2024-06-09T00:00:00"/>
    <x v="1"/>
    <x v="1"/>
    <x v="0"/>
    <n v="4447188"/>
    <x v="1"/>
    <x v="1"/>
    <s v="Entebbe"/>
    <n v="3"/>
    <s v="Recovered"/>
    <n v="27"/>
  </r>
  <r>
    <s v="P1022"/>
    <s v="Peter Parker"/>
    <x v="0"/>
    <d v="1969-03-29T00:00:00"/>
    <x v="1"/>
    <d v="2024-06-12T00:00:00"/>
    <x v="4"/>
    <x v="4"/>
    <x v="1"/>
    <n v="1210812"/>
    <x v="0"/>
    <x v="2"/>
    <s v="Jinja"/>
    <n v="13"/>
    <s v="Referred"/>
    <n v="55"/>
  </r>
  <r>
    <s v="P1023"/>
    <s v="Nancy Drew"/>
    <x v="0"/>
    <d v="1972-10-31T00:00:00"/>
    <x v="99"/>
    <d v="2024-06-04T00:00:00"/>
    <x v="3"/>
    <x v="3"/>
    <x v="1"/>
    <n v="2708296"/>
    <x v="0"/>
    <x v="2"/>
    <s v="Kampala"/>
    <n v="13"/>
    <s v="Referred"/>
    <n v="52"/>
  </r>
  <r>
    <s v="P1024"/>
    <s v="Jane Smith"/>
    <x v="2"/>
    <d v="1967-05-04T00:00:00"/>
    <x v="49"/>
    <d v="2024-03-18T00:00:00"/>
    <x v="7"/>
    <x v="4"/>
    <x v="2"/>
    <n v="4115252"/>
    <x v="1"/>
    <x v="0"/>
    <s v="Jinja"/>
    <n v="7"/>
    <s v="not stated"/>
    <n v="57"/>
  </r>
  <r>
    <s v="P1025"/>
    <s v="Stephen Strange"/>
    <x v="1"/>
    <d v="1953-10-02T00:00:00"/>
    <x v="180"/>
    <d v="2024-04-15T00:00:00"/>
    <x v="5"/>
    <x v="5"/>
    <x v="1"/>
    <n v="2466888"/>
    <x v="1"/>
    <x v="1"/>
    <s v="Kampala"/>
    <n v="3"/>
    <s v="Recovered"/>
    <n v="71"/>
  </r>
  <r>
    <s v="P1026"/>
    <s v="Diana Prince"/>
    <x v="0"/>
    <d v="1998-12-23T00:00:00"/>
    <x v="31"/>
    <d v="2024-06-16T00:00:00"/>
    <x v="0"/>
    <x v="0"/>
    <x v="1"/>
    <n v="2783736"/>
    <x v="1"/>
    <x v="2"/>
    <s v="Jinja"/>
    <n v="10"/>
    <s v="Referred"/>
    <n v="26"/>
  </r>
  <r>
    <s v="P1027"/>
    <s v="TChalla"/>
    <x v="0"/>
    <d v="1978-02-17T00:00:00"/>
    <x v="157"/>
    <d v="2024-02-10T00:00:00"/>
    <x v="9"/>
    <x v="5"/>
    <x v="3"/>
    <n v="3773000"/>
    <x v="0"/>
    <x v="2"/>
    <s v="Jinja"/>
    <n v="12"/>
    <s v="Recovered"/>
    <n v="46"/>
  </r>
  <r>
    <s v="P1028"/>
    <s v="Natasha Romanoff"/>
    <x v="0"/>
    <d v="1987-11-26T00:00:00"/>
    <x v="172"/>
    <d v="2024-03-05T00:00:00"/>
    <x v="1"/>
    <x v="1"/>
    <x v="3"/>
    <n v="1346604"/>
    <x v="1"/>
    <x v="2"/>
    <s v="Entebbe"/>
    <n v="6"/>
    <s v="Referred"/>
    <n v="37"/>
  </r>
  <r>
    <s v="P1029"/>
    <s v="John Doe"/>
    <x v="0"/>
    <d v="1952-03-22T00:00:00"/>
    <x v="73"/>
    <d v="2024-02-14T00:00:00"/>
    <x v="3"/>
    <x v="3"/>
    <x v="1"/>
    <n v="3281640"/>
    <x v="0"/>
    <x v="2"/>
    <s v="Entebbe"/>
    <n v="10"/>
    <s v="Referred"/>
    <n v="72"/>
  </r>
  <r>
    <s v="P1030"/>
    <s v="Chris Evans"/>
    <x v="1"/>
    <d v="1951-04-16T00:00:00"/>
    <x v="133"/>
    <d v="2024-03-29T00:00:00"/>
    <x v="8"/>
    <x v="5"/>
    <x v="0"/>
    <n v="4786668"/>
    <x v="0"/>
    <x v="2"/>
    <s v="Kampala"/>
    <n v="8"/>
    <s v="not stated"/>
    <n v="73"/>
  </r>
  <r>
    <s v="P1031"/>
    <s v="John Doe"/>
    <x v="1"/>
    <d v="1961-09-27T00:00:00"/>
    <x v="115"/>
    <d v="2024-04-19T00:00:00"/>
    <x v="3"/>
    <x v="3"/>
    <x v="3"/>
    <n v="1799244"/>
    <x v="0"/>
    <x v="2"/>
    <s v="Kampala"/>
    <n v="15"/>
    <s v="not stated"/>
    <n v="63"/>
  </r>
  <r>
    <s v="P1032"/>
    <s v="Scott Lang"/>
    <x v="0"/>
    <d v="1981-02-18T00:00:00"/>
    <x v="143"/>
    <d v="2024-01-25T00:00:00"/>
    <x v="3"/>
    <x v="3"/>
    <x v="0"/>
    <n v="1290024"/>
    <x v="0"/>
    <x v="2"/>
    <s v="Kampala"/>
    <n v="11"/>
    <s v="Referred"/>
    <n v="43"/>
  </r>
  <r>
    <s v="P1033"/>
    <s v="Natasha Romanoff"/>
    <x v="1"/>
    <d v="2008-11-28T00:00:00"/>
    <x v="50"/>
    <s v="still admitted"/>
    <x v="8"/>
    <x v="5"/>
    <x v="0"/>
    <n v="3391028"/>
    <x v="0"/>
    <x v="1"/>
    <s v="Kampala"/>
    <s v="Still Admitted"/>
    <s v="Recovered"/>
    <n v="16"/>
  </r>
  <r>
    <s v="P1034"/>
    <s v="Clark Kent"/>
    <x v="2"/>
    <d v="1995-02-28T00:00:00"/>
    <x v="141"/>
    <d v="2024-05-17T00:00:00"/>
    <x v="7"/>
    <x v="4"/>
    <x v="4"/>
    <n v="4364204"/>
    <x v="2"/>
    <x v="2"/>
    <s v="Jinja"/>
    <n v="1"/>
    <s v="Recovered"/>
    <n v="29"/>
  </r>
  <r>
    <s v="P1035"/>
    <s v="TChalla"/>
    <x v="0"/>
    <d v="1982-02-24T00:00:00"/>
    <x v="129"/>
    <d v="2024-01-16T00:00:00"/>
    <x v="5"/>
    <x v="5"/>
    <x v="0"/>
    <n v="5307204"/>
    <x v="0"/>
    <x v="0"/>
    <s v="Jinja"/>
    <n v="12"/>
    <s v="Recovered"/>
    <n v="42"/>
  </r>
  <r>
    <s v="P1036"/>
    <s v="James Bond"/>
    <x v="0"/>
    <d v="1972-07-16T00:00:00"/>
    <x v="35"/>
    <d v="2024-05-08T00:00:00"/>
    <x v="2"/>
    <x v="2"/>
    <x v="1"/>
    <n v="4319000"/>
    <x v="0"/>
    <x v="2"/>
    <s v="Entebbe"/>
    <n v="6"/>
    <s v="Referred"/>
    <n v="52"/>
  </r>
  <r>
    <s v="P1037"/>
    <s v="Sarah Connor"/>
    <x v="1"/>
    <d v="2000-01-06T00:00:00"/>
    <x v="77"/>
    <d v="2024-05-14T00:00:00"/>
    <x v="9"/>
    <x v="5"/>
    <x v="3"/>
    <n v="3426500"/>
    <x v="0"/>
    <x v="2"/>
    <s v="Entebbe"/>
    <n v="6"/>
    <s v="not stated"/>
    <n v="24"/>
  </r>
  <r>
    <s v="P1038"/>
    <s v="James Bond"/>
    <x v="2"/>
    <d v="1956-11-18T00:00:00"/>
    <x v="52"/>
    <d v="2024-02-17T00:00:00"/>
    <x v="5"/>
    <x v="5"/>
    <x v="4"/>
    <n v="5126148"/>
    <x v="1"/>
    <x v="1"/>
    <s v="Entebbe"/>
    <n v="12"/>
    <s v="Referred"/>
    <n v="68"/>
  </r>
  <r>
    <s v="P1039"/>
    <s v="Nancy Drew"/>
    <x v="1"/>
    <d v="1976-04-30T00:00:00"/>
    <x v="130"/>
    <s v="still admitted"/>
    <x v="2"/>
    <x v="2"/>
    <x v="1"/>
    <n v="1686084"/>
    <x v="2"/>
    <x v="2"/>
    <s v="Jinja"/>
    <s v="Still Admitted"/>
    <s v="not stated"/>
    <n v="48"/>
  </r>
  <r>
    <s v="P1040"/>
    <s v="Michael Brown"/>
    <x v="0"/>
    <d v="1984-09-21T00:00:00"/>
    <x v="155"/>
    <d v="2024-01-22T00:00:00"/>
    <x v="9"/>
    <x v="5"/>
    <x v="4"/>
    <n v="1995000"/>
    <x v="1"/>
    <x v="0"/>
    <s v="Entebbe"/>
    <n v="11"/>
    <s v="Referred"/>
    <n v="40"/>
  </r>
  <r>
    <s v="P1041"/>
    <s v="Peter Parker"/>
    <x v="0"/>
    <d v="1953-03-17T00:00:00"/>
    <x v="160"/>
    <d v="2024-05-18T00:00:00"/>
    <x v="10"/>
    <x v="6"/>
    <x v="1"/>
    <n v="4349116"/>
    <x v="2"/>
    <x v="2"/>
    <s v="Kampala"/>
    <n v="7"/>
    <s v="Referred"/>
    <n v="71"/>
  </r>
  <r>
    <s v="P1042"/>
    <s v="Clark Kent"/>
    <x v="0"/>
    <d v="1973-06-30T00:00:00"/>
    <x v="143"/>
    <d v="2024-01-29T00:00:00"/>
    <x v="7"/>
    <x v="4"/>
    <x v="4"/>
    <n v="5160096"/>
    <x v="2"/>
    <x v="1"/>
    <s v="Kampala"/>
    <n v="15"/>
    <s v="not stated"/>
    <n v="51"/>
  </r>
  <r>
    <s v="P1043"/>
    <s v="Bruce Wayne"/>
    <x v="1"/>
    <d v="2007-09-30T00:00:00"/>
    <x v="150"/>
    <d v="2024-02-16T00:00:00"/>
    <x v="2"/>
    <x v="2"/>
    <x v="1"/>
    <n v="5182728"/>
    <x v="1"/>
    <x v="0"/>
    <s v="Jinja"/>
    <n v="9"/>
    <s v="Referred"/>
    <n v="17"/>
  </r>
  <r>
    <s v="P1044"/>
    <s v="TChalla"/>
    <x v="1"/>
    <d v="1961-12-02T00:00:00"/>
    <x v="166"/>
    <d v="2024-02-07T00:00:00"/>
    <x v="5"/>
    <x v="5"/>
    <x v="0"/>
    <n v="656328"/>
    <x v="1"/>
    <x v="2"/>
    <s v="Jinja"/>
    <n v="11"/>
    <s v="Referred"/>
    <n v="63"/>
  </r>
  <r>
    <s v="P1045"/>
    <s v="James Bond"/>
    <x v="2"/>
    <d v="1999-12-13T00:00:00"/>
    <x v="134"/>
    <d v="2024-06-04T00:00:00"/>
    <x v="0"/>
    <x v="0"/>
    <x v="0"/>
    <n v="1542748"/>
    <x v="1"/>
    <x v="2"/>
    <s v="Kampala"/>
    <n v="4"/>
    <s v="Recovered"/>
    <n v="25"/>
  </r>
  <r>
    <s v="P1046"/>
    <s v="James Bond"/>
    <x v="1"/>
    <d v="1996-05-22T00:00:00"/>
    <x v="76"/>
    <d v="2024-05-29T00:00:00"/>
    <x v="7"/>
    <x v="4"/>
    <x v="0"/>
    <n v="2153812"/>
    <x v="0"/>
    <x v="1"/>
    <s v="Kampala"/>
    <n v="2"/>
    <s v="Referred"/>
    <n v="28"/>
  </r>
  <r>
    <s v="P1047"/>
    <s v="Diana Prince"/>
    <x v="0"/>
    <d v="1954-01-24T00:00:00"/>
    <x v="70"/>
    <d v="2024-05-12T00:00:00"/>
    <x v="2"/>
    <x v="2"/>
    <x v="2"/>
    <n v="2659260"/>
    <x v="0"/>
    <x v="2"/>
    <s v="Kampala"/>
    <n v="2"/>
    <s v="not stated"/>
    <n v="70"/>
  </r>
  <r>
    <s v="P1048"/>
    <s v="Stephen Strange"/>
    <x v="0"/>
    <d v="1978-08-25T00:00:00"/>
    <x v="5"/>
    <d v="2024-06-26T00:00:00"/>
    <x v="10"/>
    <x v="6"/>
    <x v="1"/>
    <n v="4628244"/>
    <x v="0"/>
    <x v="2"/>
    <s v="Entebbe"/>
    <n v="13"/>
    <s v="Referred"/>
    <n v="46"/>
  </r>
  <r>
    <s v="P1049"/>
    <s v="Sarah Connor"/>
    <x v="0"/>
    <d v="1950-04-30T00:00:00"/>
    <x v="8"/>
    <d v="2024-01-12T00:00:00"/>
    <x v="9"/>
    <x v="5"/>
    <x v="2"/>
    <n v="2348500"/>
    <x v="1"/>
    <x v="2"/>
    <s v="Entebbe"/>
    <n v="7"/>
    <s v="Recovered"/>
    <n v="74"/>
  </r>
  <r>
    <s v="P1050"/>
    <s v="Jane Smith"/>
    <x v="1"/>
    <d v="1988-10-31T00:00:00"/>
    <x v="127"/>
    <s v="still admitted"/>
    <x v="9"/>
    <x v="5"/>
    <x v="1"/>
    <n v="3006500"/>
    <x v="0"/>
    <x v="1"/>
    <s v="Jinja"/>
    <s v="Still Admitted"/>
    <s v="Referred"/>
    <n v="36"/>
  </r>
  <r>
    <s v="P1051"/>
    <s v="Steve Rogers"/>
    <x v="0"/>
    <d v="1979-01-23T00:00:00"/>
    <x v="180"/>
    <d v="2024-04-20T00:00:00"/>
    <x v="2"/>
    <x v="2"/>
    <x v="0"/>
    <n v="3213744"/>
    <x v="2"/>
    <x v="2"/>
    <s v="Jinja"/>
    <n v="8"/>
    <s v="not stated"/>
    <n v="45"/>
  </r>
  <r>
    <s v="P1052"/>
    <s v="Diana Prince"/>
    <x v="0"/>
    <d v="2000-11-28T00:00:00"/>
    <x v="7"/>
    <d v="2024-02-23T00:00:00"/>
    <x v="2"/>
    <x v="2"/>
    <x v="4"/>
    <n v="3722964"/>
    <x v="2"/>
    <x v="2"/>
    <s v="Jinja"/>
    <n v="13"/>
    <s v="Recovered"/>
    <n v="24"/>
  </r>
  <r>
    <s v="P1053"/>
    <s v="TChalla"/>
    <x v="1"/>
    <d v="1966-03-16T00:00:00"/>
    <x v="106"/>
    <d v="2024-05-11T00:00:00"/>
    <x v="9"/>
    <x v="5"/>
    <x v="4"/>
    <n v="2202848"/>
    <x v="0"/>
    <x v="1"/>
    <s v="Kampala"/>
    <n v="15"/>
    <s v="Referred"/>
    <n v="58"/>
  </r>
  <r>
    <s v="P1054"/>
    <s v="Wanda Maximoff"/>
    <x v="0"/>
    <d v="2000-02-27T00:00:00"/>
    <x v="3"/>
    <d v="2024-04-09T00:00:00"/>
    <x v="0"/>
    <x v="0"/>
    <x v="0"/>
    <n v="939228"/>
    <x v="0"/>
    <x v="2"/>
    <s v="Jinja"/>
    <n v="2"/>
    <s v="Referred"/>
    <n v="24"/>
  </r>
  <r>
    <s v="P1055"/>
    <s v="Steve Rogers"/>
    <x v="0"/>
    <d v="1958-02-04T00:00:00"/>
    <x v="27"/>
    <d v="2024-05-07T00:00:00"/>
    <x v="7"/>
    <x v="4"/>
    <x v="3"/>
    <n v="5356240"/>
    <x v="0"/>
    <x v="1"/>
    <s v="Jinja"/>
    <n v="3"/>
    <s v="Recovered"/>
    <n v="66"/>
  </r>
  <r>
    <s v="P1056"/>
    <s v="Chris Evans"/>
    <x v="1"/>
    <d v="1964-08-06T00:00:00"/>
    <x v="179"/>
    <d v="2024-06-13T00:00:00"/>
    <x v="10"/>
    <x v="6"/>
    <x v="2"/>
    <n v="2243500"/>
    <x v="0"/>
    <x v="0"/>
    <s v="Kampala"/>
    <n v="10"/>
    <s v="not stated"/>
    <n v="60"/>
  </r>
  <r>
    <s v="P1057"/>
    <s v="Clark Kent"/>
    <x v="1"/>
    <d v="1954-01-26T00:00:00"/>
    <x v="110"/>
    <s v="still admitted"/>
    <x v="0"/>
    <x v="0"/>
    <x v="0"/>
    <n v="3209972"/>
    <x v="0"/>
    <x v="1"/>
    <s v="Jinja"/>
    <s v="Still Admitted"/>
    <s v="not stated"/>
    <n v="70"/>
  </r>
  <r>
    <s v="P1058"/>
    <s v="Nancy Drew"/>
    <x v="1"/>
    <d v="1980-09-12T00:00:00"/>
    <x v="49"/>
    <d v="2024-03-15T00:00:00"/>
    <x v="5"/>
    <x v="5"/>
    <x v="2"/>
    <n v="4005864"/>
    <x v="1"/>
    <x v="0"/>
    <s v="Jinja"/>
    <n v="4"/>
    <s v="not stated"/>
    <n v="44"/>
  </r>
  <r>
    <s v="P1059"/>
    <s v="John Doe"/>
    <x v="0"/>
    <d v="1957-12-25T00:00:00"/>
    <x v="25"/>
    <d v="2024-05-18T00:00:00"/>
    <x v="4"/>
    <x v="4"/>
    <x v="0"/>
    <n v="3617348"/>
    <x v="2"/>
    <x v="2"/>
    <s v="Kampala"/>
    <n v="5"/>
    <s v="Referred"/>
    <n v="67"/>
  </r>
  <r>
    <s v="P1060"/>
    <s v="Jane Smith"/>
    <x v="0"/>
    <d v="1960-06-03T00:00:00"/>
    <x v="148"/>
    <d v="2024-01-16T00:00:00"/>
    <x v="6"/>
    <x v="0"/>
    <x v="1"/>
    <n v="1810560"/>
    <x v="0"/>
    <x v="1"/>
    <s v="Jinja"/>
    <n v="15"/>
    <s v="Referred"/>
    <n v="64"/>
  </r>
  <r>
    <s v="P1061"/>
    <s v="TChalla"/>
    <x v="1"/>
    <d v="1967-11-28T00:00:00"/>
    <x v="75"/>
    <s v="still admitted"/>
    <x v="1"/>
    <x v="1"/>
    <x v="1"/>
    <n v="5631596"/>
    <x v="0"/>
    <x v="2"/>
    <s v="Entebbe"/>
    <s v="Still Admitted"/>
    <s v="not stated"/>
    <n v="57"/>
  </r>
  <r>
    <s v="P1062"/>
    <s v="Wanda Maximoff"/>
    <x v="0"/>
    <d v="1978-01-06T00:00:00"/>
    <x v="173"/>
    <d v="2024-07-08T00:00:00"/>
    <x v="0"/>
    <x v="0"/>
    <x v="1"/>
    <n v="3568312"/>
    <x v="2"/>
    <x v="2"/>
    <s v="Kampala"/>
    <n v="11"/>
    <s v="Referred"/>
    <n v="46"/>
  </r>
  <r>
    <s v="P1063"/>
    <s v="Tony Stark"/>
    <x v="2"/>
    <d v="1957-11-26T00:00:00"/>
    <x v="136"/>
    <d v="2024-05-14T00:00:00"/>
    <x v="4"/>
    <x v="4"/>
    <x v="3"/>
    <n v="920368"/>
    <x v="0"/>
    <x v="2"/>
    <s v="Kampala"/>
    <n v="13"/>
    <s v="not stated"/>
    <n v="67"/>
  </r>
  <r>
    <s v="P1064"/>
    <s v="Scott Lang"/>
    <x v="1"/>
    <d v="1969-11-24T00:00:00"/>
    <x v="60"/>
    <d v="2024-01-22T00:00:00"/>
    <x v="10"/>
    <x v="6"/>
    <x v="4"/>
    <n v="2082500"/>
    <x v="0"/>
    <x v="2"/>
    <s v="Jinja"/>
    <n v="4"/>
    <s v="Referred"/>
    <n v="55"/>
  </r>
  <r>
    <s v="P1065"/>
    <s v="Tony Stark"/>
    <x v="0"/>
    <d v="1988-07-06T00:00:00"/>
    <x v="121"/>
    <d v="2024-02-24T00:00:00"/>
    <x v="2"/>
    <x v="2"/>
    <x v="0"/>
    <n v="4270000"/>
    <x v="0"/>
    <x v="2"/>
    <s v="Kampala"/>
    <n v="5"/>
    <s v="not stated"/>
    <n v="36"/>
  </r>
  <r>
    <s v="P1066"/>
    <s v="Diana Prince"/>
    <x v="1"/>
    <d v="1998-06-19T00:00:00"/>
    <x v="82"/>
    <s v="still admitted"/>
    <x v="10"/>
    <x v="6"/>
    <x v="3"/>
    <n v="761944"/>
    <x v="0"/>
    <x v="2"/>
    <s v="Jinja"/>
    <s v="Still Admitted"/>
    <s v="Referred"/>
    <n v="26"/>
  </r>
  <r>
    <s v="P1067"/>
    <s v="Linda White"/>
    <x v="1"/>
    <d v="2000-08-25T00:00:00"/>
    <x v="151"/>
    <d v="2024-01-09T00:00:00"/>
    <x v="7"/>
    <x v="4"/>
    <x v="1"/>
    <n v="4858000"/>
    <x v="0"/>
    <x v="1"/>
    <s v="Kampala"/>
    <n v="6"/>
    <s v="Recovered"/>
    <n v="24"/>
  </r>
  <r>
    <s v="P1068"/>
    <s v="Steve Rogers"/>
    <x v="2"/>
    <d v="1995-07-14T00:00:00"/>
    <x v="96"/>
    <s v="still admitted"/>
    <x v="5"/>
    <x v="5"/>
    <x v="1"/>
    <n v="5642912"/>
    <x v="0"/>
    <x v="0"/>
    <s v="Kampala"/>
    <s v="Still Admitted"/>
    <s v="not stated"/>
    <n v="29"/>
  </r>
  <r>
    <s v="P1069"/>
    <s v="Clark Kent"/>
    <x v="1"/>
    <d v="1978-04-10T00:00:00"/>
    <x v="173"/>
    <d v="2024-06-28T00:00:00"/>
    <x v="6"/>
    <x v="0"/>
    <x v="0"/>
    <n v="3486000"/>
    <x v="1"/>
    <x v="2"/>
    <s v="Kampala"/>
    <n v="1"/>
    <s v="Referred"/>
    <n v="46"/>
  </r>
  <r>
    <s v="P1070"/>
    <s v="Jane Smith"/>
    <x v="0"/>
    <d v="1978-08-31T00:00:00"/>
    <x v="85"/>
    <d v="2024-04-11T00:00:00"/>
    <x v="8"/>
    <x v="5"/>
    <x v="3"/>
    <n v="4564000"/>
    <x v="2"/>
    <x v="2"/>
    <s v="Kampala"/>
    <n v="15"/>
    <s v="Referred"/>
    <n v="46"/>
  </r>
  <r>
    <s v="P1071"/>
    <s v="Steve Rogers"/>
    <x v="1"/>
    <d v="1967-02-28T00:00:00"/>
    <x v="90"/>
    <d v="2024-05-10T00:00:00"/>
    <x v="6"/>
    <x v="0"/>
    <x v="0"/>
    <n v="5522208"/>
    <x v="0"/>
    <x v="1"/>
    <s v="Entebbe"/>
    <n v="12"/>
    <s v="not stated"/>
    <n v="57"/>
  </r>
  <r>
    <s v="P1072"/>
    <s v="James Bond"/>
    <x v="0"/>
    <d v="1951-02-04T00:00:00"/>
    <x v="74"/>
    <s v="still admitted"/>
    <x v="8"/>
    <x v="5"/>
    <x v="0"/>
    <n v="2033108"/>
    <x v="0"/>
    <x v="2"/>
    <s v="Kampala"/>
    <s v="Still Admitted"/>
    <s v="Referred"/>
    <n v="73"/>
  </r>
  <r>
    <s v="P1073"/>
    <s v="Scott Lang"/>
    <x v="0"/>
    <d v="1969-11-11T00:00:00"/>
    <x v="31"/>
    <d v="2024-06-12T00:00:00"/>
    <x v="4"/>
    <x v="4"/>
    <x v="3"/>
    <n v="4413500"/>
    <x v="0"/>
    <x v="1"/>
    <s v="Entebbe"/>
    <n v="6"/>
    <s v="Recovered"/>
    <n v="55"/>
  </r>
  <r>
    <s v="P1074"/>
    <s v="Natasha Romanoff"/>
    <x v="0"/>
    <d v="2001-10-27T00:00:00"/>
    <x v="5"/>
    <d v="2024-06-20T00:00:00"/>
    <x v="7"/>
    <x v="4"/>
    <x v="1"/>
    <n v="3768228"/>
    <x v="0"/>
    <x v="1"/>
    <s v="Jinja"/>
    <n v="7"/>
    <s v="not stated"/>
    <n v="23"/>
  </r>
  <r>
    <s v="P1075"/>
    <s v="David Kim"/>
    <x v="1"/>
    <d v="1969-07-17T00:00:00"/>
    <x v="97"/>
    <d v="2024-06-06T00:00:00"/>
    <x v="4"/>
    <x v="4"/>
    <x v="0"/>
    <n v="3409888"/>
    <x v="2"/>
    <x v="2"/>
    <s v="Kampala"/>
    <n v="12"/>
    <s v="Recovered"/>
    <n v="55"/>
  </r>
  <r>
    <s v="P1076"/>
    <s v="Clark Kent"/>
    <x v="2"/>
    <d v="1950-12-29T00:00:00"/>
    <x v="105"/>
    <d v="2024-05-12T00:00:00"/>
    <x v="3"/>
    <x v="3"/>
    <x v="0"/>
    <n v="2583820"/>
    <x v="2"/>
    <x v="2"/>
    <s v="Kampala"/>
    <n v="6"/>
    <s v="Recovered"/>
    <n v="74"/>
  </r>
  <r>
    <s v="P1077"/>
    <s v="TChalla"/>
    <x v="1"/>
    <d v="1963-05-30T00:00:00"/>
    <x v="65"/>
    <d v="2024-02-28T00:00:00"/>
    <x v="9"/>
    <x v="5"/>
    <x v="2"/>
    <n v="622380"/>
    <x v="2"/>
    <x v="1"/>
    <s v="Entebbe"/>
    <n v="2"/>
    <s v="not stated"/>
    <n v="61"/>
  </r>
  <r>
    <s v="P1078"/>
    <s v="Stephen Strange"/>
    <x v="1"/>
    <d v="1995-10-17T00:00:00"/>
    <x v="10"/>
    <d v="2024-03-18T00:00:00"/>
    <x v="7"/>
    <x v="4"/>
    <x v="1"/>
    <n v="3805948"/>
    <x v="0"/>
    <x v="1"/>
    <s v="Entebbe"/>
    <n v="15"/>
    <s v="Referred"/>
    <n v="29"/>
  </r>
  <r>
    <s v="P1079"/>
    <s v="TChalla"/>
    <x v="0"/>
    <d v="1998-09-20T00:00:00"/>
    <x v="67"/>
    <s v="still admitted"/>
    <x v="0"/>
    <x v="0"/>
    <x v="4"/>
    <n v="3384500"/>
    <x v="0"/>
    <x v="2"/>
    <s v="Kampala"/>
    <s v="Still Admitted"/>
    <s v="Recovered"/>
    <n v="26"/>
  </r>
  <r>
    <s v="P1080"/>
    <s v="Linda White"/>
    <x v="2"/>
    <d v="1950-10-05T00:00:00"/>
    <x v="14"/>
    <d v="2024-04-30T00:00:00"/>
    <x v="5"/>
    <x v="5"/>
    <x v="1"/>
    <n v="565800"/>
    <x v="0"/>
    <x v="2"/>
    <s v="Kampala"/>
    <n v="3"/>
    <s v="Referred"/>
    <n v="74"/>
  </r>
  <r>
    <s v="P1081"/>
    <s v="Nancy Drew"/>
    <x v="1"/>
    <d v="1999-05-30T00:00:00"/>
    <x v="125"/>
    <d v="2024-02-19T00:00:00"/>
    <x v="6"/>
    <x v="0"/>
    <x v="4"/>
    <n v="5476944"/>
    <x v="0"/>
    <x v="2"/>
    <s v="Jinja"/>
    <n v="3"/>
    <s v="not stated"/>
    <n v="25"/>
  </r>
  <r>
    <s v="P1082"/>
    <s v="John Doe"/>
    <x v="1"/>
    <d v="1982-11-03T00:00:00"/>
    <x v="110"/>
    <d v="2024-04-30T00:00:00"/>
    <x v="4"/>
    <x v="4"/>
    <x v="1"/>
    <n v="2942160"/>
    <x v="1"/>
    <x v="2"/>
    <s v="Jinja"/>
    <n v="9"/>
    <s v="Referred"/>
    <n v="42"/>
  </r>
  <r>
    <s v="P1083"/>
    <s v="Sarah Connor"/>
    <x v="1"/>
    <d v="1999-11-19T00:00:00"/>
    <x v="169"/>
    <d v="2024-07-13T00:00:00"/>
    <x v="4"/>
    <x v="4"/>
    <x v="4"/>
    <n v="5039392"/>
    <x v="0"/>
    <x v="2"/>
    <s v="Jinja"/>
    <n v="13"/>
    <s v="not stated"/>
    <n v="25"/>
  </r>
  <r>
    <s v="P1084"/>
    <s v="Linda White"/>
    <x v="2"/>
    <d v="1995-09-03T00:00:00"/>
    <x v="82"/>
    <d v="2024-04-05T00:00:00"/>
    <x v="2"/>
    <x v="2"/>
    <x v="0"/>
    <n v="4058672"/>
    <x v="0"/>
    <x v="1"/>
    <s v="Kampala"/>
    <n v="11"/>
    <s v="Referred"/>
    <n v="29"/>
  </r>
  <r>
    <s v="P1085"/>
    <s v="David Kim"/>
    <x v="1"/>
    <d v="1970-07-07T00:00:00"/>
    <x v="45"/>
    <s v="still admitted"/>
    <x v="7"/>
    <x v="4"/>
    <x v="1"/>
    <n v="3839500"/>
    <x v="0"/>
    <x v="0"/>
    <s v="Jinja"/>
    <s v="Still Admitted"/>
    <s v="Recovered"/>
    <n v="54"/>
  </r>
  <r>
    <s v="P1086"/>
    <s v="Tony Stark"/>
    <x v="0"/>
    <d v="2001-10-16T00:00:00"/>
    <x v="38"/>
    <d v="2024-07-10T00:00:00"/>
    <x v="3"/>
    <x v="3"/>
    <x v="3"/>
    <n v="1980300"/>
    <x v="0"/>
    <x v="0"/>
    <s v="Kampala"/>
    <n v="12"/>
    <s v="not stated"/>
    <n v="23"/>
  </r>
  <r>
    <s v="P1087"/>
    <s v="Natasha Romanoff"/>
    <x v="0"/>
    <d v="1961-05-30T00:00:00"/>
    <x v="10"/>
    <d v="2024-03-04T00:00:00"/>
    <x v="2"/>
    <x v="2"/>
    <x v="1"/>
    <n v="2968564"/>
    <x v="2"/>
    <x v="2"/>
    <s v="Entebbe"/>
    <n v="1"/>
    <s v="not stated"/>
    <n v="63"/>
  </r>
  <r>
    <s v="P1088"/>
    <s v="Clark Kent"/>
    <x v="1"/>
    <d v="2003-05-15T00:00:00"/>
    <x v="15"/>
    <d v="2024-04-29T00:00:00"/>
    <x v="0"/>
    <x v="0"/>
    <x v="0"/>
    <n v="1395640"/>
    <x v="0"/>
    <x v="0"/>
    <s v="Jinja"/>
    <n v="7"/>
    <s v="not stated"/>
    <n v="21"/>
  </r>
  <r>
    <s v="P1089"/>
    <s v="Michael Brown"/>
    <x v="1"/>
    <d v="1976-10-13T00:00:00"/>
    <x v="78"/>
    <d v="2024-06-07T00:00:00"/>
    <x v="7"/>
    <x v="4"/>
    <x v="0"/>
    <n v="2410308"/>
    <x v="1"/>
    <x v="2"/>
    <s v="Kampala"/>
    <n v="3"/>
    <s v="Recovered"/>
    <n v="48"/>
  </r>
  <r>
    <s v="P1090"/>
    <s v="TChalla"/>
    <x v="0"/>
    <d v="1968-03-19T00:00:00"/>
    <x v="154"/>
    <s v="still admitted"/>
    <x v="9"/>
    <x v="5"/>
    <x v="1"/>
    <n v="4343500"/>
    <x v="2"/>
    <x v="2"/>
    <s v="Entebbe"/>
    <s v="Still Admitted"/>
    <s v="Recovered"/>
    <n v="56"/>
  </r>
  <r>
    <s v="P1091"/>
    <s v="Nancy Drew"/>
    <x v="1"/>
    <d v="1985-05-07T00:00:00"/>
    <x v="28"/>
    <d v="2024-01-23T00:00:00"/>
    <x v="0"/>
    <x v="0"/>
    <x v="2"/>
    <n v="2173500"/>
    <x v="0"/>
    <x v="2"/>
    <s v="Entebbe"/>
    <n v="1"/>
    <s v="not stated"/>
    <n v="39"/>
  </r>
  <r>
    <s v="P1092"/>
    <s v="Scott Lang"/>
    <x v="2"/>
    <d v="1966-12-01T00:00:00"/>
    <x v="97"/>
    <d v="2024-05-30T00:00:00"/>
    <x v="3"/>
    <x v="3"/>
    <x v="0"/>
    <n v="1376780"/>
    <x v="2"/>
    <x v="0"/>
    <s v="Entebbe"/>
    <n v="5"/>
    <s v="Recovered"/>
    <n v="58"/>
  </r>
  <r>
    <s v="P1093"/>
    <s v="David Kim"/>
    <x v="0"/>
    <d v="1969-06-02T00:00:00"/>
    <x v="176"/>
    <d v="2024-07-01T00:00:00"/>
    <x v="6"/>
    <x v="0"/>
    <x v="3"/>
    <n v="2646000"/>
    <x v="0"/>
    <x v="1"/>
    <s v="Jinja"/>
    <n v="12"/>
    <s v="not stated"/>
    <n v="55"/>
  </r>
  <r>
    <s v="P1094"/>
    <s v="Stephen Strange"/>
    <x v="1"/>
    <d v="1994-03-25T00:00:00"/>
    <x v="46"/>
    <s v="still admitted"/>
    <x v="4"/>
    <x v="4"/>
    <x v="1"/>
    <n v="1029756"/>
    <x v="0"/>
    <x v="0"/>
    <s v="Kampala"/>
    <s v="Still Admitted"/>
    <s v="Recovered"/>
    <n v="30"/>
  </r>
  <r>
    <s v="P1095"/>
    <s v="Peter Parker"/>
    <x v="1"/>
    <d v="1966-09-30T00:00:00"/>
    <x v="176"/>
    <d v="2024-06-23T00:00:00"/>
    <x v="4"/>
    <x v="4"/>
    <x v="0"/>
    <n v="645012"/>
    <x v="0"/>
    <x v="1"/>
    <s v="Jinja"/>
    <n v="4"/>
    <s v="not stated"/>
    <n v="58"/>
  </r>
  <r>
    <s v="P1096"/>
    <s v="Natasha Romanoff"/>
    <x v="1"/>
    <d v="1952-07-06T00:00:00"/>
    <x v="165"/>
    <d v="2024-03-22T00:00:00"/>
    <x v="0"/>
    <x v="0"/>
    <x v="1"/>
    <n v="3927000"/>
    <x v="2"/>
    <x v="2"/>
    <s v="Jinja"/>
    <n v="13"/>
    <s v="Referred"/>
    <n v="72"/>
  </r>
  <r>
    <s v="P1097"/>
    <s v="Bruce Wayne"/>
    <x v="1"/>
    <d v="1982-05-05T00:00:00"/>
    <x v="110"/>
    <d v="2024-05-05T00:00:00"/>
    <x v="1"/>
    <x v="1"/>
    <x v="3"/>
    <n v="4967724"/>
    <x v="0"/>
    <x v="2"/>
    <s v="Kampala"/>
    <n v="14"/>
    <s v="Recovered"/>
    <n v="42"/>
  </r>
  <r>
    <s v="P1098"/>
    <s v="Bruce Wayne"/>
    <x v="0"/>
    <d v="1983-03-11T00:00:00"/>
    <x v="2"/>
    <d v="2024-06-01T00:00:00"/>
    <x v="2"/>
    <x v="2"/>
    <x v="2"/>
    <n v="3013828"/>
    <x v="2"/>
    <x v="0"/>
    <s v="Entebbe"/>
    <n v="15"/>
    <s v="not stated"/>
    <n v="41"/>
  </r>
  <r>
    <s v="P1099"/>
    <s v="Diana Prince"/>
    <x v="0"/>
    <d v="1990-01-27T00:00:00"/>
    <x v="157"/>
    <s v="still admitted"/>
    <x v="5"/>
    <x v="5"/>
    <x v="0"/>
    <n v="3217516"/>
    <x v="0"/>
    <x v="0"/>
    <s v="Entebbe"/>
    <s v="Still Admitted"/>
    <s v="Referred"/>
    <n v="34"/>
  </r>
  <r>
    <s v="P1100"/>
    <s v="Chris Evans"/>
    <x v="1"/>
    <d v="1998-11-05T00:00:00"/>
    <x v="87"/>
    <d v="2024-03-18T00:00:00"/>
    <x v="5"/>
    <x v="5"/>
    <x v="1"/>
    <n v="2761104"/>
    <x v="0"/>
    <x v="2"/>
    <s v="Jinja"/>
    <n v="14"/>
    <s v="Referred"/>
    <n v="26"/>
  </r>
  <r>
    <s v="P1101"/>
    <s v="Sarah Connor"/>
    <x v="1"/>
    <d v="1951-08-16T00:00:00"/>
    <x v="141"/>
    <d v="2024-05-25T00:00:00"/>
    <x v="3"/>
    <x v="3"/>
    <x v="0"/>
    <n v="917000"/>
    <x v="1"/>
    <x v="2"/>
    <s v="Kampala"/>
    <n v="9"/>
    <s v="Referred"/>
    <n v="73"/>
  </r>
  <r>
    <s v="P1102"/>
    <s v="Linda White"/>
    <x v="1"/>
    <d v="1982-07-18T00:00:00"/>
    <x v="66"/>
    <d v="2024-02-24T00:00:00"/>
    <x v="5"/>
    <x v="5"/>
    <x v="2"/>
    <n v="5631596"/>
    <x v="0"/>
    <x v="1"/>
    <s v="Entebbe"/>
    <n v="9"/>
    <s v="Recovered"/>
    <n v="42"/>
  </r>
  <r>
    <s v="P1103"/>
    <s v="John Doe"/>
    <x v="1"/>
    <d v="1997-06-18T00:00:00"/>
    <x v="16"/>
    <d v="2024-04-05T00:00:00"/>
    <x v="10"/>
    <x v="6"/>
    <x v="4"/>
    <n v="3696560"/>
    <x v="0"/>
    <x v="2"/>
    <s v="Kampala"/>
    <n v="8"/>
    <s v="Recovered"/>
    <n v="27"/>
  </r>
  <r>
    <s v="P1104"/>
    <s v="Chris Evans"/>
    <x v="0"/>
    <d v="2007-12-06T00:00:00"/>
    <x v="152"/>
    <d v="2024-06-24T00:00:00"/>
    <x v="2"/>
    <x v="2"/>
    <x v="0"/>
    <n v="2982000"/>
    <x v="1"/>
    <x v="1"/>
    <s v="Kampala"/>
    <n v="14"/>
    <s v="Recovered"/>
    <n v="17"/>
  </r>
  <r>
    <s v="P1105"/>
    <s v="Linda White"/>
    <x v="1"/>
    <d v="1961-06-27T00:00:00"/>
    <x v="50"/>
    <d v="2024-03-31T00:00:00"/>
    <x v="7"/>
    <x v="4"/>
    <x v="0"/>
    <n v="4679500"/>
    <x v="0"/>
    <x v="1"/>
    <s v="Kampala"/>
    <n v="11"/>
    <s v="not stated"/>
    <n v="63"/>
  </r>
  <r>
    <s v="P1106"/>
    <s v="Michael Brown"/>
    <x v="1"/>
    <d v="1964-10-03T00:00:00"/>
    <x v="144"/>
    <d v="2024-03-01T00:00:00"/>
    <x v="8"/>
    <x v="5"/>
    <x v="0"/>
    <n v="4379292"/>
    <x v="0"/>
    <x v="1"/>
    <s v="Jinja"/>
    <n v="10"/>
    <s v="not stated"/>
    <n v="60"/>
  </r>
  <r>
    <s v="P1107"/>
    <s v="Natasha Romanoff"/>
    <x v="2"/>
    <d v="1972-01-31T00:00:00"/>
    <x v="161"/>
    <d v="2024-02-08T00:00:00"/>
    <x v="4"/>
    <x v="4"/>
    <x v="0"/>
    <n v="1538976"/>
    <x v="0"/>
    <x v="0"/>
    <s v="Jinja"/>
    <n v="6"/>
    <s v="Recovered"/>
    <n v="52"/>
  </r>
  <r>
    <s v="P1108"/>
    <s v="Clark Kent"/>
    <x v="2"/>
    <d v="1992-06-30T00:00:00"/>
    <x v="18"/>
    <s v="still admitted"/>
    <x v="1"/>
    <x v="1"/>
    <x v="0"/>
    <n v="3983000"/>
    <x v="0"/>
    <x v="2"/>
    <s v="Entebbe"/>
    <s v="Still Admitted"/>
    <s v="Recovered"/>
    <n v="32"/>
  </r>
  <r>
    <s v="P1109"/>
    <s v="Steve Rogers"/>
    <x v="0"/>
    <d v="1995-11-20T00:00:00"/>
    <x v="116"/>
    <d v="2024-04-11T00:00:00"/>
    <x v="4"/>
    <x v="4"/>
    <x v="0"/>
    <n v="1139144"/>
    <x v="2"/>
    <x v="1"/>
    <s v="Kampala"/>
    <n v="2"/>
    <s v="not stated"/>
    <n v="29"/>
  </r>
  <r>
    <s v="P1110"/>
    <s v="Nancy Drew"/>
    <x v="0"/>
    <d v="2000-04-05T00:00:00"/>
    <x v="156"/>
    <d v="2024-07-07T00:00:00"/>
    <x v="5"/>
    <x v="5"/>
    <x v="2"/>
    <n v="2368816"/>
    <x v="2"/>
    <x v="0"/>
    <s v="Entebbe"/>
    <n v="8"/>
    <s v="Recovered"/>
    <n v="24"/>
  </r>
  <r>
    <s v="P1111"/>
    <s v="James Bond"/>
    <x v="1"/>
    <d v="1963-09-15T00:00:00"/>
    <x v="132"/>
    <d v="2024-02-24T00:00:00"/>
    <x v="5"/>
    <x v="5"/>
    <x v="1"/>
    <n v="4703684"/>
    <x v="0"/>
    <x v="0"/>
    <s v="Jinja"/>
    <n v="13"/>
    <s v="Recovered"/>
    <n v="61"/>
  </r>
  <r>
    <s v="P1112"/>
    <s v="Linda White"/>
    <x v="2"/>
    <d v="2005-06-09T00:00:00"/>
    <x v="168"/>
    <d v="2024-03-10T00:00:00"/>
    <x v="4"/>
    <x v="4"/>
    <x v="3"/>
    <n v="4073760"/>
    <x v="0"/>
    <x v="1"/>
    <s v="Jinja"/>
    <n v="15"/>
    <s v="Referred"/>
    <n v="19"/>
  </r>
  <r>
    <s v="P1113"/>
    <s v="Natasha Romanoff"/>
    <x v="0"/>
    <d v="1959-05-19T00:00:00"/>
    <x v="175"/>
    <d v="2024-01-06T00:00:00"/>
    <x v="7"/>
    <x v="4"/>
    <x v="4"/>
    <n v="2878036"/>
    <x v="0"/>
    <x v="1"/>
    <s v="Kampala"/>
    <n v="4"/>
    <s v="Referred"/>
    <n v="65"/>
  </r>
  <r>
    <s v="P1114"/>
    <s v="Jane Smith"/>
    <x v="0"/>
    <d v="1975-09-25T00:00:00"/>
    <x v="172"/>
    <d v="2024-03-06T00:00:00"/>
    <x v="8"/>
    <x v="5"/>
    <x v="1"/>
    <n v="4054900"/>
    <x v="0"/>
    <x v="2"/>
    <s v="Entebbe"/>
    <n v="7"/>
    <s v="Recovered"/>
    <n v="49"/>
  </r>
  <r>
    <s v="P1115"/>
    <s v="Michael Brown"/>
    <x v="0"/>
    <d v="1957-10-04T00:00:00"/>
    <x v="165"/>
    <s v="still admitted"/>
    <x v="6"/>
    <x v="0"/>
    <x v="1"/>
    <n v="3419500"/>
    <x v="0"/>
    <x v="1"/>
    <s v="Jinja"/>
    <s v="Still Admitted"/>
    <s v="Recovered"/>
    <n v="67"/>
  </r>
  <r>
    <s v="P1116"/>
    <s v="Bruce Wayne"/>
    <x v="1"/>
    <d v="1999-02-01T00:00:00"/>
    <x v="128"/>
    <s v="still admitted"/>
    <x v="9"/>
    <x v="5"/>
    <x v="0"/>
    <n v="479500"/>
    <x v="0"/>
    <x v="2"/>
    <s v="Kampala"/>
    <s v="Still Admitted"/>
    <s v="not stated"/>
    <n v="25"/>
  </r>
  <r>
    <s v="P1117"/>
    <s v="Natasha Romanoff"/>
    <x v="0"/>
    <d v="1962-03-13T00:00:00"/>
    <x v="92"/>
    <s v="still admitted"/>
    <x v="4"/>
    <x v="4"/>
    <x v="0"/>
    <n v="3696560"/>
    <x v="2"/>
    <x v="2"/>
    <s v="Entebbe"/>
    <s v="Still Admitted"/>
    <s v="not stated"/>
    <n v="62"/>
  </r>
  <r>
    <s v="P1118"/>
    <s v="James Bond"/>
    <x v="0"/>
    <d v="1964-10-19T00:00:00"/>
    <x v="130"/>
    <d v="2024-05-18T00:00:00"/>
    <x v="3"/>
    <x v="3"/>
    <x v="3"/>
    <n v="3383484"/>
    <x v="2"/>
    <x v="2"/>
    <s v="Jinja"/>
    <n v="13"/>
    <s v="not stated"/>
    <n v="60"/>
  </r>
  <r>
    <s v="P1119"/>
    <s v="Natasha Romanoff"/>
    <x v="1"/>
    <d v="1998-11-13T00:00:00"/>
    <x v="18"/>
    <d v="2024-04-15T00:00:00"/>
    <x v="6"/>
    <x v="0"/>
    <x v="4"/>
    <n v="2761104"/>
    <x v="0"/>
    <x v="1"/>
    <s v="Jinja"/>
    <n v="15"/>
    <s v="Referred"/>
    <n v="26"/>
  </r>
  <r>
    <s v="P1120"/>
    <s v="John Doe"/>
    <x v="0"/>
    <d v="2001-11-16T00:00:00"/>
    <x v="125"/>
    <s v="still admitted"/>
    <x v="9"/>
    <x v="5"/>
    <x v="0"/>
    <n v="4903600"/>
    <x v="0"/>
    <x v="1"/>
    <s v="Entebbe"/>
    <s v="Still Admitted"/>
    <s v="Referred"/>
    <n v="23"/>
  </r>
  <r>
    <s v="P1121"/>
    <s v="TChalla"/>
    <x v="1"/>
    <d v="1990-12-02T00:00:00"/>
    <x v="35"/>
    <d v="2024-05-03T00:00:00"/>
    <x v="1"/>
    <x v="1"/>
    <x v="1"/>
    <n v="3185000"/>
    <x v="0"/>
    <x v="2"/>
    <s v="Entebbe"/>
    <n v="1"/>
    <s v="Referred"/>
    <n v="34"/>
  </r>
  <r>
    <s v="P1122"/>
    <s v="Steve Rogers"/>
    <x v="0"/>
    <d v="1957-12-27T00:00:00"/>
    <x v="159"/>
    <d v="2024-02-28T00:00:00"/>
    <x v="5"/>
    <x v="5"/>
    <x v="1"/>
    <n v="629924"/>
    <x v="2"/>
    <x v="0"/>
    <s v="Entebbe"/>
    <n v="7"/>
    <s v="Referred"/>
    <n v="67"/>
  </r>
  <r>
    <s v="P1123"/>
    <s v="Jane Smith"/>
    <x v="0"/>
    <d v="1984-08-22T00:00:00"/>
    <x v="30"/>
    <d v="2024-06-01T00:00:00"/>
    <x v="7"/>
    <x v="4"/>
    <x v="3"/>
    <n v="4403000"/>
    <x v="0"/>
    <x v="2"/>
    <s v="Kampala"/>
    <n v="8"/>
    <s v="not stated"/>
    <n v="40"/>
  </r>
  <r>
    <s v="P1124"/>
    <s v="TChalla"/>
    <x v="1"/>
    <d v="1950-09-18T00:00:00"/>
    <x v="115"/>
    <s v="still admitted"/>
    <x v="2"/>
    <x v="2"/>
    <x v="1"/>
    <n v="3568312"/>
    <x v="2"/>
    <x v="2"/>
    <s v="Kampala"/>
    <s v="Still Admitted"/>
    <s v="Referred"/>
    <n v="74"/>
  </r>
  <r>
    <s v="P1125"/>
    <s v="Peter Parker"/>
    <x v="0"/>
    <d v="2005-09-10T00:00:00"/>
    <x v="23"/>
    <d v="2024-06-10T00:00:00"/>
    <x v="6"/>
    <x v="0"/>
    <x v="0"/>
    <n v="2488500"/>
    <x v="0"/>
    <x v="2"/>
    <s v="Jinja"/>
    <n v="5"/>
    <s v="not stated"/>
    <n v="19"/>
  </r>
  <r>
    <s v="P1126"/>
    <s v="Michael Brown"/>
    <x v="2"/>
    <d v="1977-05-24T00:00:00"/>
    <x v="54"/>
    <d v="2024-04-15T00:00:00"/>
    <x v="5"/>
    <x v="5"/>
    <x v="1"/>
    <n v="2576276"/>
    <x v="1"/>
    <x v="2"/>
    <s v="Entebbe"/>
    <n v="4"/>
    <s v="not stated"/>
    <n v="47"/>
  </r>
  <r>
    <s v="P1127"/>
    <s v="Stephen Strange"/>
    <x v="1"/>
    <d v="1963-02-09T00:00:00"/>
    <x v="118"/>
    <d v="2024-01-16T00:00:00"/>
    <x v="4"/>
    <x v="4"/>
    <x v="3"/>
    <n v="4168500"/>
    <x v="0"/>
    <x v="0"/>
    <s v="Kampala"/>
    <n v="3"/>
    <s v="Recovered"/>
    <n v="61"/>
  </r>
  <r>
    <s v="P1128"/>
    <s v="Steve Rogers"/>
    <x v="1"/>
    <d v="1955-06-29T00:00:00"/>
    <x v="124"/>
    <d v="2024-02-07T00:00:00"/>
    <x v="5"/>
    <x v="5"/>
    <x v="4"/>
    <n v="3062864"/>
    <x v="0"/>
    <x v="2"/>
    <s v="Entebbe"/>
    <n v="8"/>
    <s v="not stated"/>
    <n v="69"/>
  </r>
  <r>
    <s v="P1129"/>
    <s v="David Kim"/>
    <x v="0"/>
    <d v="1971-12-06T00:00:00"/>
    <x v="155"/>
    <d v="2024-01-18T00:00:00"/>
    <x v="1"/>
    <x v="1"/>
    <x v="0"/>
    <n v="5095972"/>
    <x v="1"/>
    <x v="1"/>
    <s v="Kampala"/>
    <n v="7"/>
    <s v="not stated"/>
    <n v="53"/>
  </r>
  <r>
    <s v="P1130"/>
    <s v="Sarah Connor"/>
    <x v="1"/>
    <d v="1960-04-19T00:00:00"/>
    <x v="90"/>
    <d v="2024-05-12T00:00:00"/>
    <x v="2"/>
    <x v="2"/>
    <x v="4"/>
    <n v="3402344"/>
    <x v="0"/>
    <x v="2"/>
    <s v="Jinja"/>
    <n v="14"/>
    <s v="Recovered"/>
    <n v="64"/>
  </r>
  <r>
    <s v="P1131"/>
    <s v="Tony Stark"/>
    <x v="2"/>
    <d v="1957-01-28T00:00:00"/>
    <x v="60"/>
    <d v="2024-01-27T00:00:00"/>
    <x v="4"/>
    <x v="4"/>
    <x v="3"/>
    <n v="2904440"/>
    <x v="2"/>
    <x v="0"/>
    <s v="Kampala"/>
    <n v="9"/>
    <s v="not stated"/>
    <n v="67"/>
  </r>
  <r>
    <s v="P1132"/>
    <s v="Clark Kent"/>
    <x v="0"/>
    <d v="1968-05-13T00:00:00"/>
    <x v="125"/>
    <d v="2024-02-19T00:00:00"/>
    <x v="9"/>
    <x v="5"/>
    <x v="0"/>
    <n v="1746500"/>
    <x v="2"/>
    <x v="2"/>
    <s v="Kampala"/>
    <n v="3"/>
    <s v="Recovered"/>
    <n v="56"/>
  </r>
  <r>
    <s v="P1133"/>
    <s v="Sarah Connor"/>
    <x v="0"/>
    <d v="1977-01-10T00:00:00"/>
    <x v="45"/>
    <d v="2024-06-25T00:00:00"/>
    <x v="2"/>
    <x v="2"/>
    <x v="0"/>
    <n v="581000"/>
    <x v="0"/>
    <x v="2"/>
    <s v="Entebbe"/>
    <n v="7"/>
    <s v="Recovered"/>
    <n v="47"/>
  </r>
  <r>
    <s v="P1134"/>
    <s v="Michael Brown"/>
    <x v="1"/>
    <d v="2009-06-14T00:00:00"/>
    <x v="15"/>
    <s v="still admitted"/>
    <x v="5"/>
    <x v="5"/>
    <x v="0"/>
    <n v="2708296"/>
    <x v="0"/>
    <x v="1"/>
    <s v="Kampala"/>
    <s v="Still Admitted"/>
    <s v="Referred"/>
    <n v="15"/>
  </r>
  <r>
    <s v="P1135"/>
    <s v="Linda White"/>
    <x v="1"/>
    <d v="2000-02-28T00:00:00"/>
    <x v="127"/>
    <d v="2024-04-26T00:00:00"/>
    <x v="3"/>
    <x v="3"/>
    <x v="0"/>
    <n v="1406956"/>
    <x v="1"/>
    <x v="0"/>
    <s v="Kampala"/>
    <n v="8"/>
    <s v="Recovered"/>
    <n v="24"/>
  </r>
  <r>
    <s v="P1136"/>
    <s v="Diana Prince"/>
    <x v="0"/>
    <d v="1959-09-03T00:00:00"/>
    <x v="93"/>
    <d v="2024-02-26T00:00:00"/>
    <x v="5"/>
    <x v="5"/>
    <x v="1"/>
    <n v="3783316"/>
    <x v="0"/>
    <x v="2"/>
    <s v="Entebbe"/>
    <n v="4"/>
    <s v="Recovered"/>
    <n v="65"/>
  </r>
  <r>
    <s v="P1137"/>
    <s v="Tony Stark"/>
    <x v="1"/>
    <d v="1992-12-01T00:00:00"/>
    <x v="133"/>
    <d v="2024-03-22T00:00:00"/>
    <x v="5"/>
    <x v="5"/>
    <x v="1"/>
    <n v="2002932"/>
    <x v="0"/>
    <x v="0"/>
    <s v="Kampala"/>
    <n v="1"/>
    <s v="Referred"/>
    <n v="32"/>
  </r>
  <r>
    <s v="P1138"/>
    <s v="Linda White"/>
    <x v="1"/>
    <d v="1952-08-09T00:00:00"/>
    <x v="33"/>
    <s v="still admitted"/>
    <x v="2"/>
    <x v="2"/>
    <x v="1"/>
    <n v="901508"/>
    <x v="0"/>
    <x v="2"/>
    <s v="Jinja"/>
    <s v="Still Admitted"/>
    <s v="Recovered"/>
    <n v="72"/>
  </r>
  <r>
    <s v="P1139"/>
    <s v="David Kim"/>
    <x v="0"/>
    <d v="1954-09-04T00:00:00"/>
    <x v="120"/>
    <d v="2024-01-27T00:00:00"/>
    <x v="5"/>
    <x v="5"/>
    <x v="4"/>
    <n v="3949284"/>
    <x v="2"/>
    <x v="2"/>
    <s v="Entebbe"/>
    <n v="12"/>
    <s v="Recovered"/>
    <n v="70"/>
  </r>
  <r>
    <s v="P1140"/>
    <s v="Scott Lang"/>
    <x v="2"/>
    <d v="1966-05-29T00:00:00"/>
    <x v="118"/>
    <d v="2024-01-22T00:00:00"/>
    <x v="2"/>
    <x v="2"/>
    <x v="1"/>
    <n v="1565380"/>
    <x v="0"/>
    <x v="2"/>
    <s v="Jinja"/>
    <n v="9"/>
    <s v="Recovered"/>
    <n v="58"/>
  </r>
  <r>
    <s v="P1141"/>
    <s v="Bruce Wayne"/>
    <x v="0"/>
    <d v="1953-08-07T00:00:00"/>
    <x v="43"/>
    <d v="2024-04-13T00:00:00"/>
    <x v="2"/>
    <x v="2"/>
    <x v="3"/>
    <n v="1512572"/>
    <x v="2"/>
    <x v="0"/>
    <s v="Jinja"/>
    <n v="5"/>
    <s v="not stated"/>
    <n v="71"/>
  </r>
  <r>
    <s v="P1142"/>
    <s v="Linda White"/>
    <x v="0"/>
    <d v="1961-08-30T00:00:00"/>
    <x v="126"/>
    <s v="still admitted"/>
    <x v="10"/>
    <x v="6"/>
    <x v="0"/>
    <n v="2037000"/>
    <x v="1"/>
    <x v="2"/>
    <s v="Jinja"/>
    <s v="Still Admitted"/>
    <s v="Recovered"/>
    <n v="63"/>
  </r>
  <r>
    <s v="P1143"/>
    <s v="Jane Smith"/>
    <x v="2"/>
    <d v="1993-06-27T00:00:00"/>
    <x v="107"/>
    <d v="2024-07-11T00:00:00"/>
    <x v="0"/>
    <x v="0"/>
    <x v="1"/>
    <n v="1092000"/>
    <x v="0"/>
    <x v="0"/>
    <s v="Jinja"/>
    <n v="15"/>
    <s v="Recovered"/>
    <n v="31"/>
  </r>
  <r>
    <s v="P1144"/>
    <s v="Sarah Connor"/>
    <x v="1"/>
    <d v="1965-09-29T00:00:00"/>
    <x v="105"/>
    <d v="2024-05-10T00:00:00"/>
    <x v="2"/>
    <x v="2"/>
    <x v="0"/>
    <n v="1637048"/>
    <x v="0"/>
    <x v="2"/>
    <s v="Kampala"/>
    <n v="4"/>
    <s v="Referred"/>
    <n v="59"/>
  </r>
  <r>
    <s v="P1145"/>
    <s v="Diana Prince"/>
    <x v="1"/>
    <d v="1978-10-03T00:00:00"/>
    <x v="134"/>
    <d v="2024-06-04T00:00:00"/>
    <x v="9"/>
    <x v="5"/>
    <x v="4"/>
    <n v="1886000"/>
    <x v="0"/>
    <x v="2"/>
    <s v="Entebbe"/>
    <n v="4"/>
    <s v="Recovered"/>
    <n v="46"/>
  </r>
  <r>
    <s v="P1146"/>
    <s v="Wanda Maximoff"/>
    <x v="2"/>
    <d v="1996-07-10T00:00:00"/>
    <x v="70"/>
    <s v="still admitted"/>
    <x v="10"/>
    <x v="6"/>
    <x v="2"/>
    <n v="1659680"/>
    <x v="0"/>
    <x v="2"/>
    <s v="Jinja"/>
    <s v="Still Admitted"/>
    <s v="not stated"/>
    <n v="28"/>
  </r>
  <r>
    <s v="P1147"/>
    <s v="James Bond"/>
    <x v="2"/>
    <d v="1990-03-18T00:00:00"/>
    <x v="20"/>
    <d v="2024-03-17T00:00:00"/>
    <x v="3"/>
    <x v="3"/>
    <x v="3"/>
    <n v="2821456"/>
    <x v="0"/>
    <x v="2"/>
    <s v="Kampala"/>
    <n v="11"/>
    <s v="Referred"/>
    <n v="34"/>
  </r>
  <r>
    <s v="P1148"/>
    <s v="Linda White"/>
    <x v="1"/>
    <d v="1982-03-07T00:00:00"/>
    <x v="8"/>
    <s v="still admitted"/>
    <x v="1"/>
    <x v="1"/>
    <x v="4"/>
    <n v="1022212"/>
    <x v="1"/>
    <x v="0"/>
    <s v="Kampala"/>
    <s v="Still Admitted"/>
    <s v="not stated"/>
    <n v="42"/>
  </r>
  <r>
    <s v="P1149"/>
    <s v="David Kim"/>
    <x v="0"/>
    <d v="1975-08-24T00:00:00"/>
    <x v="108"/>
    <d v="2024-02-03T00:00:00"/>
    <x v="4"/>
    <x v="4"/>
    <x v="0"/>
    <n v="4588500"/>
    <x v="0"/>
    <x v="2"/>
    <s v="Kampala"/>
    <n v="15"/>
    <s v="not stated"/>
    <n v="49"/>
  </r>
  <r>
    <s v="P1150"/>
    <s v="David Kim"/>
    <x v="1"/>
    <d v="1986-08-29T00:00:00"/>
    <x v="46"/>
    <d v="2024-06-11T00:00:00"/>
    <x v="1"/>
    <x v="1"/>
    <x v="0"/>
    <n v="2751000"/>
    <x v="1"/>
    <x v="1"/>
    <s v="Jinja"/>
    <n v="3"/>
    <s v="Recovered"/>
    <n v="38"/>
  </r>
  <r>
    <s v="P1151"/>
    <s v="James Bond"/>
    <x v="1"/>
    <d v="1959-08-07T00:00:00"/>
    <x v="53"/>
    <s v="still admitted"/>
    <x v="0"/>
    <x v="0"/>
    <x v="2"/>
    <n v="2108548"/>
    <x v="0"/>
    <x v="1"/>
    <s v="Kampala"/>
    <s v="Still Admitted"/>
    <s v="Recovered"/>
    <n v="65"/>
  </r>
  <r>
    <s v="P1152"/>
    <s v="Clark Kent"/>
    <x v="1"/>
    <d v="1976-07-24T00:00:00"/>
    <x v="177"/>
    <d v="2024-04-14T00:00:00"/>
    <x v="2"/>
    <x v="2"/>
    <x v="1"/>
    <n v="2678120"/>
    <x v="0"/>
    <x v="1"/>
    <s v="Jinja"/>
    <n v="9"/>
    <s v="not stated"/>
    <n v="48"/>
  </r>
  <r>
    <s v="P1153"/>
    <s v="Diana Prince"/>
    <x v="0"/>
    <d v="1977-06-01T00:00:00"/>
    <x v="131"/>
    <s v="still admitted"/>
    <x v="1"/>
    <x v="1"/>
    <x v="4"/>
    <n v="4258588"/>
    <x v="2"/>
    <x v="2"/>
    <s v="Kampala"/>
    <s v="Still Admitted"/>
    <s v="Referred"/>
    <n v="47"/>
  </r>
  <r>
    <s v="P1154"/>
    <s v="Diana Prince"/>
    <x v="1"/>
    <d v="1986-01-15T00:00:00"/>
    <x v="180"/>
    <d v="2024-04-14T00:00:00"/>
    <x v="3"/>
    <x v="3"/>
    <x v="1"/>
    <n v="5461856"/>
    <x v="0"/>
    <x v="0"/>
    <s v="Jinja"/>
    <n v="2"/>
    <s v="Recovered"/>
    <n v="38"/>
  </r>
  <r>
    <s v="P1155"/>
    <s v="Michael Brown"/>
    <x v="1"/>
    <d v="1966-06-03T00:00:00"/>
    <x v="94"/>
    <s v="still admitted"/>
    <x v="3"/>
    <x v="3"/>
    <x v="1"/>
    <n v="4484908"/>
    <x v="0"/>
    <x v="2"/>
    <s v="Jinja"/>
    <s v="Still Admitted"/>
    <s v="not stated"/>
    <n v="58"/>
  </r>
  <r>
    <s v="P1156"/>
    <s v="Sarah Connor"/>
    <x v="0"/>
    <d v="1992-04-05T00:00:00"/>
    <x v="6"/>
    <d v="2024-02-19T00:00:00"/>
    <x v="0"/>
    <x v="0"/>
    <x v="4"/>
    <n v="1120284"/>
    <x v="1"/>
    <x v="0"/>
    <s v="Kampala"/>
    <n v="10"/>
    <s v="Recovered"/>
    <n v="32"/>
  </r>
  <r>
    <s v="P1157"/>
    <s v="Tony Stark"/>
    <x v="1"/>
    <d v="1986-10-08T00:00:00"/>
    <x v="74"/>
    <d v="2024-06-26T00:00:00"/>
    <x v="8"/>
    <x v="5"/>
    <x v="3"/>
    <n v="1505000"/>
    <x v="0"/>
    <x v="2"/>
    <s v="Kampala"/>
    <n v="1"/>
    <s v="Referred"/>
    <n v="38"/>
  </r>
  <r>
    <s v="P1158"/>
    <s v="Jane Smith"/>
    <x v="0"/>
    <d v="1966-02-06T00:00:00"/>
    <x v="10"/>
    <d v="2024-03-04T00:00:00"/>
    <x v="2"/>
    <x v="2"/>
    <x v="0"/>
    <n v="3602260"/>
    <x v="1"/>
    <x v="1"/>
    <s v="Kampala"/>
    <n v="1"/>
    <s v="not stated"/>
    <n v="58"/>
  </r>
  <r>
    <s v="P1159"/>
    <s v="Linda White"/>
    <x v="2"/>
    <d v="1991-01-13T00:00:00"/>
    <x v="10"/>
    <d v="2024-03-12T00:00:00"/>
    <x v="2"/>
    <x v="2"/>
    <x v="1"/>
    <n v="5575016"/>
    <x v="0"/>
    <x v="2"/>
    <s v="Entebbe"/>
    <n v="9"/>
    <s v="not stated"/>
    <n v="33"/>
  </r>
  <r>
    <s v="P1160"/>
    <s v="Sarah Connor"/>
    <x v="1"/>
    <d v="1998-08-28T00:00:00"/>
    <x v="66"/>
    <d v="2024-02-19T00:00:00"/>
    <x v="2"/>
    <x v="2"/>
    <x v="2"/>
    <n v="1214584"/>
    <x v="0"/>
    <x v="0"/>
    <s v="Kampala"/>
    <n v="4"/>
    <s v="Recovered"/>
    <n v="26"/>
  </r>
  <r>
    <s v="P1161"/>
    <s v="Nancy Drew"/>
    <x v="1"/>
    <d v="2004-08-13T00:00:00"/>
    <x v="47"/>
    <d v="2024-01-29T00:00:00"/>
    <x v="0"/>
    <x v="0"/>
    <x v="2"/>
    <n v="863788"/>
    <x v="0"/>
    <x v="1"/>
    <s v="Entebbe"/>
    <n v="3"/>
    <s v="Referred"/>
    <n v="20"/>
  </r>
  <r>
    <s v="P1162"/>
    <s v="Sarah Connor"/>
    <x v="1"/>
    <d v="1953-11-24T00:00:00"/>
    <x v="152"/>
    <d v="2024-06-13T00:00:00"/>
    <x v="6"/>
    <x v="0"/>
    <x v="4"/>
    <n v="1067500"/>
    <x v="0"/>
    <x v="1"/>
    <s v="Jinja"/>
    <n v="3"/>
    <s v="not stated"/>
    <n v="71"/>
  </r>
  <r>
    <s v="P1163"/>
    <s v="Tony Stark"/>
    <x v="0"/>
    <d v="1991-04-30T00:00:00"/>
    <x v="18"/>
    <d v="2024-04-09T00:00:00"/>
    <x v="2"/>
    <x v="2"/>
    <x v="1"/>
    <n v="3077952"/>
    <x v="0"/>
    <x v="1"/>
    <s v="Jinja"/>
    <n v="9"/>
    <s v="not stated"/>
    <n v="33"/>
  </r>
  <r>
    <s v="P1164"/>
    <s v="Diana Prince"/>
    <x v="0"/>
    <d v="1985-10-26T00:00:00"/>
    <x v="163"/>
    <d v="2024-02-15T00:00:00"/>
    <x v="8"/>
    <x v="5"/>
    <x v="0"/>
    <n v="2753560"/>
    <x v="0"/>
    <x v="2"/>
    <s v="Kampala"/>
    <n v="2"/>
    <s v="Referred"/>
    <n v="39"/>
  </r>
  <r>
    <s v="P1165"/>
    <s v="John Doe"/>
    <x v="2"/>
    <d v="1989-11-12T00:00:00"/>
    <x v="73"/>
    <d v="2024-02-15T00:00:00"/>
    <x v="3"/>
    <x v="3"/>
    <x v="4"/>
    <n v="3556996"/>
    <x v="1"/>
    <x v="2"/>
    <s v="Kampala"/>
    <n v="11"/>
    <s v="not stated"/>
    <n v="35"/>
  </r>
  <r>
    <s v="P1166"/>
    <s v="Natasha Romanoff"/>
    <x v="0"/>
    <d v="2000-06-16T00:00:00"/>
    <x v="42"/>
    <d v="2024-06-01T00:00:00"/>
    <x v="5"/>
    <x v="5"/>
    <x v="1"/>
    <n v="4777500"/>
    <x v="2"/>
    <x v="2"/>
    <s v="Kampala"/>
    <n v="11"/>
    <s v="not stated"/>
    <n v="24"/>
  </r>
  <r>
    <s v="P1167"/>
    <s v="Peter Parker"/>
    <x v="0"/>
    <d v="1986-11-14T00:00:00"/>
    <x v="10"/>
    <d v="2024-03-12T00:00:00"/>
    <x v="4"/>
    <x v="4"/>
    <x v="3"/>
    <n v="4865880"/>
    <x v="2"/>
    <x v="2"/>
    <s v="Jinja"/>
    <n v="9"/>
    <s v="Referred"/>
    <n v="38"/>
  </r>
  <r>
    <s v="P1168"/>
    <s v="John Doe"/>
    <x v="2"/>
    <d v="2004-04-09T00:00:00"/>
    <x v="45"/>
    <d v="2024-06-24T00:00:00"/>
    <x v="7"/>
    <x v="4"/>
    <x v="0"/>
    <n v="1640820"/>
    <x v="0"/>
    <x v="2"/>
    <s v="Kampala"/>
    <n v="6"/>
    <s v="not stated"/>
    <n v="20"/>
  </r>
  <r>
    <s v="P1169"/>
    <s v="Jane Smith"/>
    <x v="0"/>
    <d v="1998-11-02T00:00:00"/>
    <x v="33"/>
    <d v="2024-03-12T00:00:00"/>
    <x v="9"/>
    <x v="5"/>
    <x v="4"/>
    <n v="4801756"/>
    <x v="0"/>
    <x v="2"/>
    <s v="Entebbe"/>
    <n v="2"/>
    <s v="not stated"/>
    <n v="26"/>
  </r>
  <r>
    <s v="P1170"/>
    <s v="Nancy Drew"/>
    <x v="0"/>
    <d v="2003-05-20T00:00:00"/>
    <x v="36"/>
    <d v="2024-03-15T00:00:00"/>
    <x v="9"/>
    <x v="5"/>
    <x v="1"/>
    <n v="3236376"/>
    <x v="0"/>
    <x v="1"/>
    <s v="Kampala"/>
    <n v="7"/>
    <s v="Referred"/>
    <n v="21"/>
  </r>
  <r>
    <s v="P1171"/>
    <s v="Diana Prince"/>
    <x v="2"/>
    <d v="1986-03-08T00:00:00"/>
    <x v="134"/>
    <d v="2024-06-01T00:00:00"/>
    <x v="1"/>
    <x v="1"/>
    <x v="0"/>
    <n v="4347000"/>
    <x v="1"/>
    <x v="0"/>
    <s v="Entebbe"/>
    <n v="1"/>
    <s v="Referred"/>
    <n v="38"/>
  </r>
  <r>
    <s v="P1172"/>
    <s v="Steve Rogers"/>
    <x v="0"/>
    <d v="1954-08-24T00:00:00"/>
    <x v="8"/>
    <d v="2024-01-08T00:00:00"/>
    <x v="6"/>
    <x v="0"/>
    <x v="0"/>
    <n v="614836"/>
    <x v="0"/>
    <x v="2"/>
    <s v="Entebbe"/>
    <n v="3"/>
    <s v="Recovered"/>
    <n v="70"/>
  </r>
  <r>
    <s v="P1173"/>
    <s v="Chris Evans"/>
    <x v="0"/>
    <d v="1977-03-09T00:00:00"/>
    <x v="63"/>
    <d v="2024-02-08T00:00:00"/>
    <x v="1"/>
    <x v="1"/>
    <x v="1"/>
    <n v="3266552"/>
    <x v="0"/>
    <x v="1"/>
    <s v="Entebbe"/>
    <n v="5"/>
    <s v="Recovered"/>
    <n v="47"/>
  </r>
  <r>
    <s v="P1174"/>
    <s v="Bruce Wayne"/>
    <x v="0"/>
    <d v="2004-11-03T00:00:00"/>
    <x v="35"/>
    <d v="2024-05-09T00:00:00"/>
    <x v="3"/>
    <x v="3"/>
    <x v="0"/>
    <n v="1339060"/>
    <x v="0"/>
    <x v="0"/>
    <s v="Kampala"/>
    <n v="7"/>
    <s v="not stated"/>
    <n v="20"/>
  </r>
  <r>
    <s v="P1175"/>
    <s v="Steve Rogers"/>
    <x v="2"/>
    <d v="1952-08-21T00:00:00"/>
    <x v="139"/>
    <d v="2024-05-14T00:00:00"/>
    <x v="2"/>
    <x v="2"/>
    <x v="3"/>
    <n v="2681000"/>
    <x v="1"/>
    <x v="0"/>
    <s v="Jinja"/>
    <n v="7"/>
    <s v="Recovered"/>
    <n v="72"/>
  </r>
  <r>
    <s v="P1176"/>
    <s v="Stephen Strange"/>
    <x v="1"/>
    <d v="1978-01-15T00:00:00"/>
    <x v="130"/>
    <d v="2024-05-10T00:00:00"/>
    <x v="8"/>
    <x v="5"/>
    <x v="0"/>
    <n v="1659680"/>
    <x v="0"/>
    <x v="0"/>
    <s v="Entebbe"/>
    <n v="5"/>
    <s v="Recovered"/>
    <n v="46"/>
  </r>
  <r>
    <s v="P1177"/>
    <s v="Michael Brown"/>
    <x v="1"/>
    <d v="1992-05-16T00:00:00"/>
    <x v="171"/>
    <d v="2024-06-20T00:00:00"/>
    <x v="3"/>
    <x v="3"/>
    <x v="2"/>
    <n v="2466888"/>
    <x v="1"/>
    <x v="2"/>
    <s v="Jinja"/>
    <n v="8"/>
    <s v="Referred"/>
    <n v="32"/>
  </r>
  <r>
    <s v="P1178"/>
    <s v="Bruce Wayne"/>
    <x v="1"/>
    <d v="1966-03-27T00:00:00"/>
    <x v="163"/>
    <s v="still admitted"/>
    <x v="8"/>
    <x v="5"/>
    <x v="1"/>
    <n v="1176000"/>
    <x v="2"/>
    <x v="2"/>
    <s v="Jinja"/>
    <s v="Still Admitted"/>
    <s v="Recovered"/>
    <n v="58"/>
  </r>
  <r>
    <s v="P1179"/>
    <s v="Bruce Wayne"/>
    <x v="0"/>
    <d v="1997-06-20T00:00:00"/>
    <x v="142"/>
    <d v="2024-04-07T00:00:00"/>
    <x v="10"/>
    <x v="6"/>
    <x v="1"/>
    <n v="4017180"/>
    <x v="0"/>
    <x v="0"/>
    <s v="Entebbe"/>
    <n v="5"/>
    <s v="Referred"/>
    <n v="27"/>
  </r>
  <r>
    <s v="P1180"/>
    <s v="Peter Parker"/>
    <x v="0"/>
    <d v="1991-05-20T00:00:00"/>
    <x v="128"/>
    <d v="2024-04-11T00:00:00"/>
    <x v="4"/>
    <x v="4"/>
    <x v="1"/>
    <n v="5035620"/>
    <x v="0"/>
    <x v="2"/>
    <s v="Kampala"/>
    <n v="10"/>
    <s v="Recovered"/>
    <n v="33"/>
  </r>
  <r>
    <s v="P1181"/>
    <s v="James Bond"/>
    <x v="0"/>
    <d v="1997-07-15T00:00:00"/>
    <x v="154"/>
    <d v="2024-04-19T00:00:00"/>
    <x v="4"/>
    <x v="4"/>
    <x v="3"/>
    <n v="4401924"/>
    <x v="2"/>
    <x v="1"/>
    <s v="Jinja"/>
    <n v="2"/>
    <s v="Recovered"/>
    <n v="27"/>
  </r>
  <r>
    <s v="P1182"/>
    <s v="Michael Brown"/>
    <x v="0"/>
    <d v="1965-08-14T00:00:00"/>
    <x v="158"/>
    <d v="2024-05-24T00:00:00"/>
    <x v="3"/>
    <x v="3"/>
    <x v="3"/>
    <n v="798000"/>
    <x v="0"/>
    <x v="1"/>
    <s v="Entebbe"/>
    <n v="5"/>
    <s v="Referred"/>
    <n v="59"/>
  </r>
  <r>
    <s v="P1183"/>
    <s v="James Bond"/>
    <x v="0"/>
    <d v="1970-04-25T00:00:00"/>
    <x v="160"/>
    <s v="still admitted"/>
    <x v="0"/>
    <x v="0"/>
    <x v="0"/>
    <n v="3126988"/>
    <x v="2"/>
    <x v="0"/>
    <s v="Entebbe"/>
    <s v="Still Admitted"/>
    <s v="Referred"/>
    <n v="54"/>
  </r>
  <r>
    <s v="P1184"/>
    <s v="Michael Brown"/>
    <x v="1"/>
    <d v="1992-12-28T00:00:00"/>
    <x v="89"/>
    <d v="2024-04-13T00:00:00"/>
    <x v="5"/>
    <x v="5"/>
    <x v="0"/>
    <n v="3436292"/>
    <x v="1"/>
    <x v="2"/>
    <s v="Entebbe"/>
    <n v="7"/>
    <s v="Referred"/>
    <n v="32"/>
  </r>
  <r>
    <s v="P1185"/>
    <s v="Jane Smith"/>
    <x v="0"/>
    <d v="2002-09-17T00:00:00"/>
    <x v="74"/>
    <s v="still admitted"/>
    <x v="2"/>
    <x v="2"/>
    <x v="4"/>
    <n v="3002512"/>
    <x v="0"/>
    <x v="1"/>
    <s v="Jinja"/>
    <s v="Still Admitted"/>
    <s v="not stated"/>
    <n v="22"/>
  </r>
  <r>
    <s v="P1186"/>
    <s v="Bruce Wayne"/>
    <x v="1"/>
    <d v="1958-07-17T00:00:00"/>
    <x v="153"/>
    <d v="2024-05-23T00:00:00"/>
    <x v="3"/>
    <x v="3"/>
    <x v="1"/>
    <n v="3143000"/>
    <x v="1"/>
    <x v="2"/>
    <s v="Jinja"/>
    <n v="5"/>
    <s v="not stated"/>
    <n v="66"/>
  </r>
  <r>
    <s v="P1187"/>
    <s v="Steve Rogers"/>
    <x v="0"/>
    <d v="1983-04-05T00:00:00"/>
    <x v="163"/>
    <d v="2024-02-28T00:00:00"/>
    <x v="8"/>
    <x v="5"/>
    <x v="3"/>
    <n v="4441500"/>
    <x v="1"/>
    <x v="0"/>
    <s v="Jinja"/>
    <n v="15"/>
    <s v="not stated"/>
    <n v="41"/>
  </r>
  <r>
    <s v="P1188"/>
    <s v="Linda White"/>
    <x v="1"/>
    <d v="1956-05-30T00:00:00"/>
    <x v="51"/>
    <d v="2024-06-08T00:00:00"/>
    <x v="3"/>
    <x v="3"/>
    <x v="4"/>
    <n v="4549032"/>
    <x v="1"/>
    <x v="2"/>
    <s v="Kampala"/>
    <n v="10"/>
    <s v="Referred"/>
    <n v="68"/>
  </r>
  <r>
    <s v="P1189"/>
    <s v="Wanda Maximoff"/>
    <x v="0"/>
    <d v="1973-07-26T00:00:00"/>
    <x v="47"/>
    <d v="2024-01-30T00:00:00"/>
    <x v="10"/>
    <x v="6"/>
    <x v="2"/>
    <n v="1610644"/>
    <x v="1"/>
    <x v="1"/>
    <s v="Kampala"/>
    <n v="4"/>
    <s v="Recovered"/>
    <n v="51"/>
  </r>
  <r>
    <s v="P1190"/>
    <s v="John Doe"/>
    <x v="1"/>
    <d v="1997-05-20T00:00:00"/>
    <x v="110"/>
    <d v="2024-05-01T00:00:00"/>
    <x v="0"/>
    <x v="0"/>
    <x v="2"/>
    <n v="4537716"/>
    <x v="0"/>
    <x v="2"/>
    <s v="Jinja"/>
    <n v="10"/>
    <s v="Recovered"/>
    <n v="27"/>
  </r>
  <r>
    <s v="P1191"/>
    <s v="Scott Lang"/>
    <x v="1"/>
    <d v="2001-05-24T00:00:00"/>
    <x v="166"/>
    <d v="2024-01-28T00:00:00"/>
    <x v="8"/>
    <x v="5"/>
    <x v="4"/>
    <n v="3658840"/>
    <x v="1"/>
    <x v="0"/>
    <s v="Kampala"/>
    <n v="1"/>
    <s v="Recovered"/>
    <n v="23"/>
  </r>
  <r>
    <s v="P1192"/>
    <s v="Bruce Wayne"/>
    <x v="1"/>
    <d v="1995-04-09T00:00:00"/>
    <x v="90"/>
    <d v="2024-05-09T00:00:00"/>
    <x v="4"/>
    <x v="4"/>
    <x v="3"/>
    <n v="3424976"/>
    <x v="0"/>
    <x v="1"/>
    <s v="Jinja"/>
    <n v="11"/>
    <s v="not stated"/>
    <n v="29"/>
  </r>
  <r>
    <s v="P1193"/>
    <s v="John Doe"/>
    <x v="1"/>
    <d v="1997-10-14T00:00:00"/>
    <x v="59"/>
    <d v="2024-06-06T00:00:00"/>
    <x v="8"/>
    <x v="5"/>
    <x v="0"/>
    <n v="3670156"/>
    <x v="1"/>
    <x v="1"/>
    <s v="Jinja"/>
    <n v="11"/>
    <s v="not stated"/>
    <n v="27"/>
  </r>
  <r>
    <s v="P1194"/>
    <s v="Wanda Maximoff"/>
    <x v="1"/>
    <d v="1961-01-14T00:00:00"/>
    <x v="164"/>
    <s v="still admitted"/>
    <x v="3"/>
    <x v="3"/>
    <x v="0"/>
    <n v="3937968"/>
    <x v="2"/>
    <x v="1"/>
    <s v="Entebbe"/>
    <s v="Still Admitted"/>
    <s v="not stated"/>
    <n v="63"/>
  </r>
  <r>
    <s v="P1195"/>
    <s v="James Bond"/>
    <x v="1"/>
    <d v="1986-01-26T00:00:00"/>
    <x v="15"/>
    <d v="2024-04-28T00:00:00"/>
    <x v="0"/>
    <x v="0"/>
    <x v="0"/>
    <n v="3104356"/>
    <x v="1"/>
    <x v="1"/>
    <s v="Jinja"/>
    <n v="6"/>
    <s v="Referred"/>
    <n v="38"/>
  </r>
  <r>
    <s v="P1196"/>
    <s v="Bruce Wayne"/>
    <x v="2"/>
    <d v="1988-08-05T00:00:00"/>
    <x v="68"/>
    <d v="2024-04-07T00:00:00"/>
    <x v="6"/>
    <x v="0"/>
    <x v="2"/>
    <n v="3357080"/>
    <x v="0"/>
    <x v="2"/>
    <s v="Jinja"/>
    <n v="4"/>
    <s v="Referred"/>
    <n v="36"/>
  </r>
  <r>
    <s v="P1197"/>
    <s v="Sarah Connor"/>
    <x v="1"/>
    <d v="1976-01-13T00:00:00"/>
    <x v="81"/>
    <d v="2024-04-24T00:00:00"/>
    <x v="10"/>
    <x v="6"/>
    <x v="0"/>
    <n v="3904020"/>
    <x v="0"/>
    <x v="2"/>
    <s v="Jinja"/>
    <n v="14"/>
    <s v="Referred"/>
    <n v="48"/>
  </r>
  <r>
    <s v="P1198"/>
    <s v="Peter Parker"/>
    <x v="1"/>
    <d v="1996-10-05T00:00:00"/>
    <x v="89"/>
    <d v="2024-04-20T00:00:00"/>
    <x v="7"/>
    <x v="4"/>
    <x v="0"/>
    <n v="5190272"/>
    <x v="0"/>
    <x v="0"/>
    <s v="Entebbe"/>
    <n v="14"/>
    <s v="not stated"/>
    <n v="28"/>
  </r>
  <r>
    <s v="P1199"/>
    <s v="Tony Stark"/>
    <x v="2"/>
    <d v="1973-10-30T00:00:00"/>
    <x v="177"/>
    <s v="still admitted"/>
    <x v="6"/>
    <x v="0"/>
    <x v="4"/>
    <n v="384744"/>
    <x v="2"/>
    <x v="0"/>
    <s v="Kampala"/>
    <s v="Still Admitted"/>
    <s v="Referred"/>
    <n v="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0323E3-AFE9-3242-B8DC-665D805700A6}" name="PivotTable6"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7:B59" firstHeaderRow="1" firstDataRow="1" firstDataCol="1"/>
  <pivotFields count="16">
    <pivotField showAll="0"/>
    <pivotField showAll="0"/>
    <pivotField showAll="0"/>
    <pivotField numFmtId="164" showAll="0"/>
    <pivotField numFmtId="164" showAll="0">
      <items count="183">
        <item x="148"/>
        <item x="175"/>
        <item x="151"/>
        <item x="129"/>
        <item x="8"/>
        <item x="113"/>
        <item x="71"/>
        <item x="167"/>
        <item x="75"/>
        <item x="72"/>
        <item x="155"/>
        <item x="80"/>
        <item x="118"/>
        <item x="143"/>
        <item x="120"/>
        <item x="104"/>
        <item x="26"/>
        <item x="60"/>
        <item x="108"/>
        <item x="178"/>
        <item x="69"/>
        <item x="28"/>
        <item x="126"/>
        <item x="12"/>
        <item x="96"/>
        <item x="47"/>
        <item x="166"/>
        <item x="11"/>
        <item x="157"/>
        <item x="124"/>
        <item x="13"/>
        <item x="24"/>
        <item x="161"/>
        <item x="63"/>
        <item x="73"/>
        <item x="52"/>
        <item x="109"/>
        <item x="150"/>
        <item x="92"/>
        <item x="6"/>
        <item x="7"/>
        <item x="132"/>
        <item x="111"/>
        <item x="163"/>
        <item x="39"/>
        <item x="66"/>
        <item x="125"/>
        <item x="95"/>
        <item x="122"/>
        <item x="121"/>
        <item x="144"/>
        <item x="159"/>
        <item x="93"/>
        <item x="135"/>
        <item x="168"/>
        <item x="112"/>
        <item x="65"/>
        <item x="0"/>
        <item x="172"/>
        <item x="181"/>
        <item x="55"/>
        <item x="79"/>
        <item x="10"/>
        <item x="87"/>
        <item x="140"/>
        <item x="20"/>
        <item x="86"/>
        <item x="36"/>
        <item x="165"/>
        <item x="33"/>
        <item x="49"/>
        <item x="170"/>
        <item x="164"/>
        <item x="40"/>
        <item x="64"/>
        <item x="34"/>
        <item x="114"/>
        <item x="123"/>
        <item x="94"/>
        <item x="50"/>
        <item x="133"/>
        <item x="102"/>
        <item x="67"/>
        <item x="98"/>
        <item x="82"/>
        <item x="84"/>
        <item x="85"/>
        <item x="16"/>
        <item x="48"/>
        <item x="137"/>
        <item x="18"/>
        <item x="128"/>
        <item x="142"/>
        <item x="68"/>
        <item x="115"/>
        <item x="177"/>
        <item x="89"/>
        <item x="3"/>
        <item x="43"/>
        <item x="116"/>
        <item x="81"/>
        <item x="54"/>
        <item x="180"/>
        <item x="21"/>
        <item x="174"/>
        <item x="149"/>
        <item x="145"/>
        <item x="154"/>
        <item x="127"/>
        <item x="57"/>
        <item x="146"/>
        <item x="110"/>
        <item x="15"/>
        <item x="22"/>
        <item x="44"/>
        <item x="147"/>
        <item x="106"/>
        <item x="14"/>
        <item x="90"/>
        <item x="29"/>
        <item x="162"/>
        <item x="136"/>
        <item x="35"/>
        <item x="101"/>
        <item x="27"/>
        <item x="130"/>
        <item x="105"/>
        <item x="139"/>
        <item x="77"/>
        <item x="117"/>
        <item x="70"/>
        <item x="160"/>
        <item x="41"/>
        <item x="25"/>
        <item x="62"/>
        <item x="9"/>
        <item x="141"/>
        <item x="2"/>
        <item x="153"/>
        <item x="158"/>
        <item x="103"/>
        <item x="42"/>
        <item x="99"/>
        <item x="17"/>
        <item x="30"/>
        <item x="97"/>
        <item x="59"/>
        <item x="76"/>
        <item x="88"/>
        <item x="51"/>
        <item x="1"/>
        <item x="134"/>
        <item x="91"/>
        <item x="119"/>
        <item x="179"/>
        <item x="78"/>
        <item x="23"/>
        <item x="31"/>
        <item x="61"/>
        <item x="46"/>
        <item x="37"/>
        <item x="152"/>
        <item x="138"/>
        <item x="171"/>
        <item x="5"/>
        <item x="32"/>
        <item x="83"/>
        <item x="53"/>
        <item x="56"/>
        <item x="45"/>
        <item x="176"/>
        <item x="58"/>
        <item x="131"/>
        <item x="19"/>
        <item x="100"/>
        <item x="4"/>
        <item x="74"/>
        <item x="107"/>
        <item x="173"/>
        <item x="38"/>
        <item x="156"/>
        <item x="169"/>
        <item t="default"/>
      </items>
    </pivotField>
    <pivotField showAll="0"/>
    <pivotField axis="axisRow" showAll="0" sortType="descending">
      <items count="12">
        <item x="0"/>
        <item x="4"/>
        <item x="10"/>
        <item x="3"/>
        <item x="8"/>
        <item x="2"/>
        <item x="1"/>
        <item x="9"/>
        <item x="7"/>
        <item x="6"/>
        <item x="5"/>
        <item t="default"/>
      </items>
      <autoSortScope>
        <pivotArea dataOnly="0" outline="0" fieldPosition="0">
          <references count="1">
            <reference field="4294967294" count="1" selected="0">
              <x v="0"/>
            </reference>
          </references>
        </pivotArea>
      </autoSortScope>
    </pivotField>
    <pivotField showAll="0"/>
    <pivotField showAll="0"/>
    <pivotField dataField="1" numFmtId="41" showAll="0"/>
    <pivotField showAll="0"/>
    <pivotField showAll="0">
      <items count="4">
        <item x="0"/>
        <item x="2"/>
        <item x="1"/>
        <item t="default"/>
      </items>
    </pivotField>
    <pivotField showAll="0"/>
    <pivotField showAll="0"/>
    <pivotField showAll="0"/>
    <pivotField showAll="0"/>
  </pivotFields>
  <rowFields count="1">
    <field x="6"/>
  </rowFields>
  <rowItems count="12">
    <i>
      <x v="3"/>
    </i>
    <i>
      <x v="10"/>
    </i>
    <i>
      <x v="1"/>
    </i>
    <i>
      <x v="2"/>
    </i>
    <i>
      <x v="4"/>
    </i>
    <i>
      <x v="7"/>
    </i>
    <i>
      <x v="8"/>
    </i>
    <i>
      <x v="5"/>
    </i>
    <i>
      <x v="9"/>
    </i>
    <i>
      <x/>
    </i>
    <i>
      <x v="6"/>
    </i>
    <i t="grand">
      <x/>
    </i>
  </rowItems>
  <colItems count="1">
    <i/>
  </colItems>
  <dataFields count="1">
    <dataField name="Sum of billing_amount" fld="9" baseField="0" baseItem="0" numFmtId="41"/>
  </dataFields>
  <chartFormats count="5">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3"/>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1E6F27-56D4-C946-85FD-662D3B7EDFF9}" name="PivotTable2"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16">
    <pivotField dataField="1" showAll="0"/>
    <pivotField showAll="0"/>
    <pivotField showAll="0">
      <items count="4">
        <item x="1"/>
        <item x="0"/>
        <item x="2"/>
        <item t="default"/>
      </items>
    </pivotField>
    <pivotField numFmtId="164" showAll="0"/>
    <pivotField numFmtId="164" showAll="0">
      <items count="183">
        <item x="148"/>
        <item x="175"/>
        <item x="151"/>
        <item x="129"/>
        <item x="8"/>
        <item x="113"/>
        <item x="71"/>
        <item x="167"/>
        <item x="75"/>
        <item x="72"/>
        <item x="155"/>
        <item x="80"/>
        <item x="118"/>
        <item x="143"/>
        <item x="120"/>
        <item x="104"/>
        <item x="26"/>
        <item x="60"/>
        <item x="108"/>
        <item x="178"/>
        <item x="69"/>
        <item x="28"/>
        <item x="126"/>
        <item x="12"/>
        <item x="96"/>
        <item x="47"/>
        <item x="166"/>
        <item x="11"/>
        <item x="157"/>
        <item x="124"/>
        <item x="13"/>
        <item x="24"/>
        <item x="161"/>
        <item x="63"/>
        <item x="73"/>
        <item x="52"/>
        <item x="109"/>
        <item x="150"/>
        <item x="92"/>
        <item x="6"/>
        <item x="7"/>
        <item x="132"/>
        <item x="111"/>
        <item x="163"/>
        <item x="39"/>
        <item x="66"/>
        <item x="125"/>
        <item x="95"/>
        <item x="122"/>
        <item x="121"/>
        <item x="144"/>
        <item x="159"/>
        <item x="93"/>
        <item x="135"/>
        <item x="168"/>
        <item x="112"/>
        <item x="65"/>
        <item x="0"/>
        <item x="172"/>
        <item x="181"/>
        <item x="55"/>
        <item x="79"/>
        <item x="10"/>
        <item x="87"/>
        <item x="140"/>
        <item x="20"/>
        <item x="86"/>
        <item x="36"/>
        <item x="165"/>
        <item x="33"/>
        <item x="49"/>
        <item x="170"/>
        <item x="164"/>
        <item x="40"/>
        <item x="64"/>
        <item x="34"/>
        <item x="114"/>
        <item x="123"/>
        <item x="94"/>
        <item x="50"/>
        <item x="133"/>
        <item x="102"/>
        <item x="67"/>
        <item x="98"/>
        <item x="82"/>
        <item x="84"/>
        <item x="85"/>
        <item x="16"/>
        <item x="48"/>
        <item x="137"/>
        <item x="18"/>
        <item x="128"/>
        <item x="142"/>
        <item x="68"/>
        <item x="115"/>
        <item x="177"/>
        <item x="89"/>
        <item x="3"/>
        <item x="43"/>
        <item x="116"/>
        <item x="81"/>
        <item x="54"/>
        <item x="180"/>
        <item x="21"/>
        <item x="174"/>
        <item x="149"/>
        <item x="145"/>
        <item x="154"/>
        <item x="127"/>
        <item x="57"/>
        <item x="146"/>
        <item x="110"/>
        <item x="15"/>
        <item x="22"/>
        <item x="44"/>
        <item x="147"/>
        <item x="106"/>
        <item x="14"/>
        <item x="90"/>
        <item x="29"/>
        <item x="162"/>
        <item x="136"/>
        <item x="35"/>
        <item x="101"/>
        <item x="27"/>
        <item x="130"/>
        <item x="105"/>
        <item x="139"/>
        <item x="77"/>
        <item x="117"/>
        <item x="70"/>
        <item x="160"/>
        <item x="41"/>
        <item x="25"/>
        <item x="62"/>
        <item x="9"/>
        <item x="141"/>
        <item x="2"/>
        <item x="153"/>
        <item x="158"/>
        <item x="103"/>
        <item x="42"/>
        <item x="99"/>
        <item x="17"/>
        <item x="30"/>
        <item x="97"/>
        <item x="59"/>
        <item x="76"/>
        <item x="88"/>
        <item x="51"/>
        <item x="1"/>
        <item x="134"/>
        <item x="91"/>
        <item x="119"/>
        <item x="179"/>
        <item x="78"/>
        <item x="23"/>
        <item x="31"/>
        <item x="61"/>
        <item x="46"/>
        <item x="37"/>
        <item x="152"/>
        <item x="138"/>
        <item x="171"/>
        <item x="5"/>
        <item x="32"/>
        <item x="83"/>
        <item x="53"/>
        <item x="56"/>
        <item x="45"/>
        <item x="176"/>
        <item x="58"/>
        <item x="131"/>
        <item x="19"/>
        <item x="100"/>
        <item x="4"/>
        <item x="74"/>
        <item x="107"/>
        <item x="173"/>
        <item x="38"/>
        <item x="156"/>
        <item x="169"/>
        <item t="default"/>
      </items>
    </pivotField>
    <pivotField showAll="0"/>
    <pivotField showAll="0"/>
    <pivotField axis="axisRow" showAll="0" sortType="descending">
      <items count="8">
        <item x="1"/>
        <item x="3"/>
        <item x="0"/>
        <item x="5"/>
        <item x="6"/>
        <item x="2"/>
        <item x="4"/>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numFmtId="41" showAll="0"/>
    <pivotField showAll="0">
      <items count="4">
        <item x="0"/>
        <item x="1"/>
        <item x="2"/>
        <item t="default"/>
      </items>
    </pivotField>
    <pivotField showAll="0">
      <items count="4">
        <item x="0"/>
        <item x="2"/>
        <item x="1"/>
        <item t="default"/>
      </items>
    </pivotField>
    <pivotField showAll="0"/>
    <pivotField showAll="0"/>
    <pivotField showAll="0"/>
    <pivotField showAll="0"/>
  </pivotFields>
  <rowFields count="1">
    <field x="7"/>
  </rowFields>
  <rowItems count="8">
    <i>
      <x v="3"/>
    </i>
    <i>
      <x v="2"/>
    </i>
    <i>
      <x v="6"/>
    </i>
    <i>
      <x v="1"/>
    </i>
    <i>
      <x v="4"/>
    </i>
    <i>
      <x v="5"/>
    </i>
    <i>
      <x/>
    </i>
    <i t="grand">
      <x/>
    </i>
  </rowItems>
  <colItems count="1">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3"/>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3"/>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BF44B6-8B46-8949-A35B-7F087CA300A7}" name="PivotTable4"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1:B43" firstHeaderRow="1" firstDataRow="1" firstDataCol="1"/>
  <pivotFields count="16">
    <pivotField dataField="1" showAll="0"/>
    <pivotField showAll="0"/>
    <pivotField showAll="0">
      <items count="4">
        <item x="1"/>
        <item x="0"/>
        <item x="2"/>
        <item t="default"/>
      </items>
    </pivotField>
    <pivotField numFmtId="164" showAll="0"/>
    <pivotField numFmtId="164" showAll="0">
      <items count="183">
        <item x="148"/>
        <item x="175"/>
        <item x="151"/>
        <item x="129"/>
        <item x="8"/>
        <item x="113"/>
        <item x="71"/>
        <item x="167"/>
        <item x="75"/>
        <item x="72"/>
        <item x="155"/>
        <item x="80"/>
        <item x="118"/>
        <item x="143"/>
        <item x="120"/>
        <item x="104"/>
        <item x="26"/>
        <item x="60"/>
        <item x="108"/>
        <item x="178"/>
        <item x="69"/>
        <item x="28"/>
        <item x="126"/>
        <item x="12"/>
        <item x="96"/>
        <item x="47"/>
        <item x="166"/>
        <item x="11"/>
        <item x="157"/>
        <item x="124"/>
        <item x="13"/>
        <item x="24"/>
        <item x="161"/>
        <item x="63"/>
        <item x="73"/>
        <item x="52"/>
        <item x="109"/>
        <item x="150"/>
        <item x="92"/>
        <item x="6"/>
        <item x="7"/>
        <item x="132"/>
        <item x="111"/>
        <item x="163"/>
        <item x="39"/>
        <item x="66"/>
        <item x="125"/>
        <item x="95"/>
        <item x="122"/>
        <item x="121"/>
        <item x="144"/>
        <item x="159"/>
        <item x="93"/>
        <item x="135"/>
        <item x="168"/>
        <item x="112"/>
        <item x="65"/>
        <item x="0"/>
        <item x="172"/>
        <item x="181"/>
        <item x="55"/>
        <item x="79"/>
        <item x="10"/>
        <item x="87"/>
        <item x="140"/>
        <item x="20"/>
        <item x="86"/>
        <item x="36"/>
        <item x="165"/>
        <item x="33"/>
        <item x="49"/>
        <item x="170"/>
        <item x="164"/>
        <item x="40"/>
        <item x="64"/>
        <item x="34"/>
        <item x="114"/>
        <item x="123"/>
        <item x="94"/>
        <item x="50"/>
        <item x="133"/>
        <item x="102"/>
        <item x="67"/>
        <item x="98"/>
        <item x="82"/>
        <item x="84"/>
        <item x="85"/>
        <item x="16"/>
        <item x="48"/>
        <item x="137"/>
        <item x="18"/>
        <item x="128"/>
        <item x="142"/>
        <item x="68"/>
        <item x="115"/>
        <item x="177"/>
        <item x="89"/>
        <item x="3"/>
        <item x="43"/>
        <item x="116"/>
        <item x="81"/>
        <item x="54"/>
        <item x="180"/>
        <item x="21"/>
        <item x="174"/>
        <item x="149"/>
        <item x="145"/>
        <item x="154"/>
        <item x="127"/>
        <item x="57"/>
        <item x="146"/>
        <item x="110"/>
        <item x="15"/>
        <item x="22"/>
        <item x="44"/>
        <item x="147"/>
        <item x="106"/>
        <item x="14"/>
        <item x="90"/>
        <item x="29"/>
        <item x="162"/>
        <item x="136"/>
        <item x="35"/>
        <item x="101"/>
        <item x="27"/>
        <item x="130"/>
        <item x="105"/>
        <item x="139"/>
        <item x="77"/>
        <item x="117"/>
        <item x="70"/>
        <item x="160"/>
        <item x="41"/>
        <item x="25"/>
        <item x="62"/>
        <item x="9"/>
        <item x="141"/>
        <item x="2"/>
        <item x="153"/>
        <item x="158"/>
        <item x="103"/>
        <item x="42"/>
        <item x="99"/>
        <item x="17"/>
        <item x="30"/>
        <item x="97"/>
        <item x="59"/>
        <item x="76"/>
        <item x="88"/>
        <item x="51"/>
        <item x="1"/>
        <item x="134"/>
        <item x="91"/>
        <item x="119"/>
        <item x="179"/>
        <item x="78"/>
        <item x="23"/>
        <item x="31"/>
        <item x="61"/>
        <item x="46"/>
        <item x="37"/>
        <item x="152"/>
        <item x="138"/>
        <item x="171"/>
        <item x="5"/>
        <item x="32"/>
        <item x="83"/>
        <item x="53"/>
        <item x="56"/>
        <item x="45"/>
        <item x="176"/>
        <item x="58"/>
        <item x="131"/>
        <item x="19"/>
        <item x="100"/>
        <item x="4"/>
        <item x="74"/>
        <item x="107"/>
        <item x="173"/>
        <item x="38"/>
        <item x="156"/>
        <item x="169"/>
        <item t="default"/>
      </items>
    </pivotField>
    <pivotField showAll="0"/>
    <pivotField axis="axisRow" showAll="0" sortType="descending">
      <items count="12">
        <item x="0"/>
        <item x="4"/>
        <item x="10"/>
        <item x="3"/>
        <item x="8"/>
        <item x="2"/>
        <item x="1"/>
        <item x="9"/>
        <item x="7"/>
        <item x="6"/>
        <item x="5"/>
        <item t="default"/>
      </items>
      <autoSortScope>
        <pivotArea dataOnly="0" outline="0" fieldPosition="0">
          <references count="1">
            <reference field="4294967294" count="1" selected="0">
              <x v="0"/>
            </reference>
          </references>
        </pivotArea>
      </autoSortScope>
    </pivotField>
    <pivotField showAll="0">
      <items count="8">
        <item x="1"/>
        <item x="3"/>
        <item x="0"/>
        <item x="5"/>
        <item x="6"/>
        <item x="2"/>
        <item x="4"/>
        <item t="default"/>
      </items>
    </pivotField>
    <pivotField showAll="0">
      <items count="6">
        <item x="1"/>
        <item x="4"/>
        <item x="3"/>
        <item x="0"/>
        <item x="2"/>
        <item t="default"/>
      </items>
    </pivotField>
    <pivotField numFmtId="41" showAll="0"/>
    <pivotField showAll="0">
      <items count="4">
        <item x="0"/>
        <item x="1"/>
        <item x="2"/>
        <item t="default"/>
      </items>
    </pivotField>
    <pivotField showAll="0">
      <items count="4">
        <item x="0"/>
        <item x="2"/>
        <item x="1"/>
        <item t="default"/>
      </items>
    </pivotField>
    <pivotField showAll="0"/>
    <pivotField showAll="0"/>
    <pivotField showAll="0"/>
    <pivotField showAll="0"/>
  </pivotFields>
  <rowFields count="1">
    <field x="6"/>
  </rowFields>
  <rowItems count="12">
    <i>
      <x v="3"/>
    </i>
    <i>
      <x v="2"/>
    </i>
    <i>
      <x v="10"/>
    </i>
    <i>
      <x v="7"/>
    </i>
    <i>
      <x v="5"/>
    </i>
    <i>
      <x v="9"/>
    </i>
    <i>
      <x v="1"/>
    </i>
    <i>
      <x/>
    </i>
    <i>
      <x v="4"/>
    </i>
    <i>
      <x v="8"/>
    </i>
    <i>
      <x v="6"/>
    </i>
    <i t="grand">
      <x/>
    </i>
  </rowItems>
  <colItems count="1">
    <i/>
  </colItems>
  <dataFields count="1">
    <dataField name="Count of Patien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71DFFE-0898-AD4D-BF67-C9B9DC05DBB8}" name="PivotTable3"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0:B28" firstHeaderRow="1" firstDataRow="1" firstDataCol="1" rowPageCount="1" colPageCount="1"/>
  <pivotFields count="16">
    <pivotField showAll="0"/>
    <pivotField showAll="0"/>
    <pivotField showAll="0">
      <items count="4">
        <item x="1"/>
        <item x="0"/>
        <item x="2"/>
        <item t="default"/>
      </items>
    </pivotField>
    <pivotField numFmtId="164" showAll="0"/>
    <pivotField numFmtId="164" showAll="0">
      <items count="183">
        <item x="148"/>
        <item x="175"/>
        <item x="151"/>
        <item x="129"/>
        <item x="8"/>
        <item x="113"/>
        <item x="71"/>
        <item x="167"/>
        <item x="75"/>
        <item x="72"/>
        <item x="155"/>
        <item x="80"/>
        <item x="118"/>
        <item x="143"/>
        <item x="120"/>
        <item x="104"/>
        <item x="26"/>
        <item x="60"/>
        <item x="108"/>
        <item x="178"/>
        <item x="69"/>
        <item x="28"/>
        <item x="126"/>
        <item x="12"/>
        <item x="96"/>
        <item x="47"/>
        <item x="166"/>
        <item x="11"/>
        <item x="157"/>
        <item x="124"/>
        <item x="13"/>
        <item x="24"/>
        <item x="161"/>
        <item x="63"/>
        <item x="73"/>
        <item x="52"/>
        <item x="109"/>
        <item x="150"/>
        <item x="92"/>
        <item x="6"/>
        <item x="7"/>
        <item x="132"/>
        <item x="111"/>
        <item x="163"/>
        <item x="39"/>
        <item x="66"/>
        <item x="125"/>
        <item x="95"/>
        <item x="122"/>
        <item x="121"/>
        <item x="144"/>
        <item x="159"/>
        <item x="93"/>
        <item x="135"/>
        <item x="168"/>
        <item x="112"/>
        <item x="65"/>
        <item x="0"/>
        <item x="172"/>
        <item x="181"/>
        <item x="55"/>
        <item x="79"/>
        <item x="10"/>
        <item x="87"/>
        <item x="140"/>
        <item x="20"/>
        <item x="86"/>
        <item x="36"/>
        <item x="165"/>
        <item x="33"/>
        <item x="49"/>
        <item x="170"/>
        <item x="164"/>
        <item x="40"/>
        <item x="64"/>
        <item x="34"/>
        <item x="114"/>
        <item x="123"/>
        <item x="94"/>
        <item x="50"/>
        <item x="133"/>
        <item x="102"/>
        <item x="67"/>
        <item x="98"/>
        <item x="82"/>
        <item x="84"/>
        <item x="85"/>
        <item x="16"/>
        <item x="48"/>
        <item x="137"/>
        <item x="18"/>
        <item x="128"/>
        <item x="142"/>
        <item x="68"/>
        <item x="115"/>
        <item x="177"/>
        <item x="89"/>
        <item x="3"/>
        <item x="43"/>
        <item x="116"/>
        <item x="81"/>
        <item x="54"/>
        <item x="180"/>
        <item x="21"/>
        <item x="174"/>
        <item x="149"/>
        <item x="145"/>
        <item x="154"/>
        <item x="127"/>
        <item x="57"/>
        <item x="146"/>
        <item x="110"/>
        <item x="15"/>
        <item x="22"/>
        <item x="44"/>
        <item x="147"/>
        <item x="106"/>
        <item x="14"/>
        <item x="90"/>
        <item x="29"/>
        <item x="162"/>
        <item x="136"/>
        <item x="35"/>
        <item x="101"/>
        <item x="27"/>
        <item x="130"/>
        <item x="105"/>
        <item x="139"/>
        <item x="77"/>
        <item x="117"/>
        <item x="70"/>
        <item x="160"/>
        <item x="41"/>
        <item x="25"/>
        <item x="62"/>
        <item x="9"/>
        <item x="141"/>
        <item x="2"/>
        <item x="153"/>
        <item x="158"/>
        <item x="103"/>
        <item x="42"/>
        <item x="99"/>
        <item x="17"/>
        <item x="30"/>
        <item x="97"/>
        <item x="59"/>
        <item x="76"/>
        <item x="88"/>
        <item x="51"/>
        <item x="1"/>
        <item x="134"/>
        <item x="91"/>
        <item x="119"/>
        <item x="179"/>
        <item x="78"/>
        <item x="23"/>
        <item x="31"/>
        <item x="61"/>
        <item x="46"/>
        <item x="37"/>
        <item x="152"/>
        <item x="138"/>
        <item x="171"/>
        <item x="5"/>
        <item x="32"/>
        <item x="83"/>
        <item x="53"/>
        <item x="56"/>
        <item x="45"/>
        <item x="176"/>
        <item x="58"/>
        <item x="131"/>
        <item x="19"/>
        <item x="100"/>
        <item x="4"/>
        <item x="74"/>
        <item x="107"/>
        <item x="173"/>
        <item x="38"/>
        <item x="156"/>
        <item x="169"/>
        <item t="default"/>
      </items>
    </pivotField>
    <pivotField showAll="0"/>
    <pivotField showAll="0"/>
    <pivotField axis="axisRow" showAll="0" sortType="descending">
      <items count="8">
        <item x="4"/>
        <item x="2"/>
        <item x="6"/>
        <item x="5"/>
        <item x="0"/>
        <item x="3"/>
        <item x="1"/>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dataField="1" numFmtId="41" showAll="0"/>
    <pivotField axis="axisPage" showAll="0">
      <items count="4">
        <item x="0"/>
        <item x="1"/>
        <item x="2"/>
        <item t="default"/>
      </items>
    </pivotField>
    <pivotField showAll="0">
      <items count="4">
        <item x="0"/>
        <item x="2"/>
        <item x="1"/>
        <item t="default"/>
      </items>
    </pivotField>
    <pivotField showAll="0"/>
    <pivotField showAll="0"/>
    <pivotField showAll="0"/>
    <pivotField showAll="0"/>
  </pivotFields>
  <rowFields count="1">
    <field x="7"/>
  </rowFields>
  <rowItems count="8">
    <i>
      <x v="3"/>
    </i>
    <i>
      <x/>
    </i>
    <i>
      <x v="4"/>
    </i>
    <i>
      <x v="5"/>
    </i>
    <i>
      <x v="2"/>
    </i>
    <i>
      <x v="1"/>
    </i>
    <i>
      <x v="6"/>
    </i>
    <i t="grand">
      <x/>
    </i>
  </rowItems>
  <colItems count="1">
    <i/>
  </colItems>
  <pageFields count="1">
    <pageField fld="10" hier="-1"/>
  </pageFields>
  <dataFields count="1">
    <dataField name="Sum of billing_amount" fld="9" baseField="0" baseItem="0" numFmtId="41"/>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3"/>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5422D2-D329-E94C-AC69-115F3341FB8D}" sourceName="gender">
  <pivotTables>
    <pivotTable tabId="4" name="PivotTable2"/>
    <pivotTable tabId="4" name="PivotTable3"/>
    <pivotTable tabId="4" name="PivotTable4"/>
  </pivotTables>
  <data>
    <tabular pivotCacheId="84507708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38A86272-0BA4-AC4D-A749-61D43E8B1E12}" sourceName="payment_status">
  <pivotTables>
    <pivotTable tabId="4" name="PivotTable3"/>
    <pivotTable tabId="4" name="PivotTable2"/>
    <pivotTable tabId="4" name="PivotTable4"/>
  </pivotTables>
  <data>
    <tabular pivotCacheId="84507708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5974FF23-E41A-1248-BC8F-F6E5840FFEDA}" sourceName="Doctor">
  <pivotTables>
    <pivotTable tabId="4" name="PivotTable4"/>
    <pivotTable tabId="4" name="PivotTable2"/>
    <pivotTable tabId="4" name="PivotTable3"/>
  </pivotTables>
  <data>
    <tabular pivotCacheId="845077089">
      <items count="5">
        <i x="1" s="1"/>
        <i x="4"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496E2CD4-0B38-1B43-8A3C-AA5482A9196A}" sourceName="insurance">
  <pivotTables>
    <pivotTable tabId="4" name="PivotTable6"/>
    <pivotTable tabId="4" name="PivotTable2"/>
    <pivotTable tabId="4" name="PivotTable3"/>
    <pivotTable tabId="4" name="PivotTable4"/>
  </pivotTables>
  <data>
    <tabular pivotCacheId="8450770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85C9288-1FF5-3F46-A679-802AB333B833}" cache="Slicer_gender" caption="gender" rowHeight="251883"/>
  <slicer name="payment_status" xr10:uid="{F13FCB52-E5BC-9F4D-BEF2-5AA781287E66}" cache="Slicer_payment_status" caption="payment_status" rowHeight="251883"/>
  <slicer name="Doctor" xr10:uid="{DFA867B8-9317-3846-95FE-900765EBBC1F}" cache="Slicer_Doctor" caption="Doctor" columnCount="2" rowHeight="251883"/>
  <slicer name="insurance" xr10:uid="{9C555C5A-EFF0-BC45-8F8F-05FB2F4A2780}" cache="Slicer_insurance" caption="insuranc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4BC9E2-58E6-9B4C-8FF8-145FFBAA712A}" name="Hospital_Data" displayName="Hospital_Data" ref="A1:P1201" totalsRowShown="0" headerRowDxfId="5">
  <autoFilter ref="A1:P1201" xr:uid="{634BC9E2-58E6-9B4C-8FF8-145FFBAA712A}"/>
  <tableColumns count="16">
    <tableColumn id="1" xr3:uid="{F9BF1FF7-651E-4341-894D-0A336A28C042}" name="Patient_ID"/>
    <tableColumn id="2" xr3:uid="{291DE1D6-8304-EF4F-BF26-4689CDFF023D}" name="Name"/>
    <tableColumn id="3" xr3:uid="{37C4E495-6C92-0D46-B75D-772543CDE449}" name="gender"/>
    <tableColumn id="4" xr3:uid="{301B4383-F2E6-4146-AAED-34220AE0116B}" name="Date of Birth" dataDxfId="4"/>
    <tableColumn id="5" xr3:uid="{177E1811-36BA-8D4B-9E48-4507F337C737}" name="Admission date" dataDxfId="3"/>
    <tableColumn id="6" xr3:uid="{C76A0BAA-8F09-BD41-B782-266ACC40AC56}" name="Discharge date" dataDxfId="2"/>
    <tableColumn id="7" xr3:uid="{E7E85947-AA9D-8141-9D76-84E0E513BDA4}" name="Diagnosis"/>
    <tableColumn id="8" xr3:uid="{82985D88-8406-AB41-BFE0-F35FFA95A985}" name="Department"/>
    <tableColumn id="9" xr3:uid="{BBBCF932-E7BE-6442-8386-85D0DF9366E0}" name="Doctor"/>
    <tableColumn id="10" xr3:uid="{2CCE178B-FC0B-C946-B7CD-9B5382EE0F75}" name="billing_amount" dataDxfId="1" dataCellStyle="Comma [0]"/>
    <tableColumn id="11" xr3:uid="{0F7CB4FA-7146-5348-8CCE-D32CD6E6B9BE}" name="payment_status"/>
    <tableColumn id="12" xr3:uid="{833D57A2-23FD-4545-B0D6-3E9DC97157CD}" name="insurance"/>
    <tableColumn id="13" xr3:uid="{CF83C0EA-07AE-5B43-A616-C7D0F7EE0DF0}" name="hospital_branch"/>
    <tableColumn id="14" xr3:uid="{2C8E9F0A-9520-584A-A4D4-8E192F1F1921}" name="Length of Stay" dataDxfId="0"/>
    <tableColumn id="15" xr3:uid="{F046DF46-EDAA-BA4C-9A6C-5772F6735C01}" name="Outcome"/>
    <tableColumn id="16" xr3:uid="{2783BEE6-289F-484A-8B5B-E50E9E7C0D22}" name="Age at Admission">
      <calculatedColumnFormula>YEAR(E2)-YEAR(D2)</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dmission_date" xr10:uid="{F2556BEB-BB62-314B-A578-63B9938A20C1}" sourceName="Admission date">
  <pivotTables>
    <pivotTable tabId="4" name="PivotTable2"/>
    <pivotTable tabId="4" name="PivotTable3"/>
    <pivotTable tabId="4" name="PivotTable4"/>
    <pivotTable tabId="4" name="PivotTable6"/>
  </pivotTables>
  <state minimalRefreshVersion="6" lastRefreshVersion="6" pivotCacheId="84507708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dmission date" xr10:uid="{48696D04-DB66-BE4F-B181-E5A3E229E6AD}" cache="NativeTimeline_Admission_date" caption="Admission date" level="2" selectionLevel="2" scrollPosition="2024-01-01T00:00:00" style="TimeSlicerStyleDark4"/>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AED5-EE89-6549-A554-E2A8170A64FD}">
  <dimension ref="A2:B59"/>
  <sheetViews>
    <sheetView topLeftCell="A30" workbookViewId="0">
      <selection activeCell="B51" sqref="B51"/>
    </sheetView>
  </sheetViews>
  <sheetFormatPr baseColWidth="10" defaultRowHeight="16" x14ac:dyDescent="0.2"/>
  <cols>
    <col min="1" max="1" width="13" bestFit="1" customWidth="1"/>
    <col min="2" max="2" width="19.5" bestFit="1" customWidth="1"/>
    <col min="3" max="3" width="5.1640625" bestFit="1" customWidth="1"/>
    <col min="4" max="4" width="5.83203125" bestFit="1" customWidth="1"/>
    <col min="5" max="5" width="10.5" bestFit="1" customWidth="1"/>
  </cols>
  <sheetData>
    <row r="2" spans="1:2" x14ac:dyDescent="0.2">
      <c r="A2" s="2" t="s">
        <v>2553</v>
      </c>
    </row>
    <row r="3" spans="1:2" x14ac:dyDescent="0.2">
      <c r="A3" s="22" t="s">
        <v>2549</v>
      </c>
      <c r="B3" t="s">
        <v>2551</v>
      </c>
    </row>
    <row r="4" spans="1:2" x14ac:dyDescent="0.2">
      <c r="A4" s="23" t="s">
        <v>66</v>
      </c>
      <c r="B4" s="27">
        <v>325</v>
      </c>
    </row>
    <row r="5" spans="1:2" x14ac:dyDescent="0.2">
      <c r="A5" s="23" t="s">
        <v>2529</v>
      </c>
      <c r="B5" s="27">
        <v>212</v>
      </c>
    </row>
    <row r="6" spans="1:2" x14ac:dyDescent="0.2">
      <c r="A6" s="23" t="s">
        <v>2528</v>
      </c>
      <c r="B6" s="27">
        <v>208</v>
      </c>
    </row>
    <row r="7" spans="1:2" x14ac:dyDescent="0.2">
      <c r="A7" s="23" t="s">
        <v>30</v>
      </c>
      <c r="B7" s="27">
        <v>135</v>
      </c>
    </row>
    <row r="8" spans="1:2" x14ac:dyDescent="0.2">
      <c r="A8" s="23" t="s">
        <v>61</v>
      </c>
      <c r="B8" s="27">
        <v>117</v>
      </c>
    </row>
    <row r="9" spans="1:2" x14ac:dyDescent="0.2">
      <c r="A9" s="23" t="s">
        <v>75</v>
      </c>
      <c r="B9" s="27">
        <v>108</v>
      </c>
    </row>
    <row r="10" spans="1:2" x14ac:dyDescent="0.2">
      <c r="A10" s="23" t="s">
        <v>19</v>
      </c>
      <c r="B10" s="27">
        <v>95</v>
      </c>
    </row>
    <row r="11" spans="1:2" x14ac:dyDescent="0.2">
      <c r="A11" s="23" t="s">
        <v>2550</v>
      </c>
      <c r="B11" s="27">
        <v>1200</v>
      </c>
    </row>
    <row r="12" spans="1:2" x14ac:dyDescent="0.2">
      <c r="A12" s="23"/>
    </row>
    <row r="13" spans="1:2" x14ac:dyDescent="0.2">
      <c r="A13" s="23"/>
    </row>
    <row r="14" spans="1:2" x14ac:dyDescent="0.2">
      <c r="A14" s="23"/>
    </row>
    <row r="15" spans="1:2" x14ac:dyDescent="0.2">
      <c r="A15" s="23"/>
    </row>
    <row r="16" spans="1:2" x14ac:dyDescent="0.2">
      <c r="A16" s="23"/>
    </row>
    <row r="17" spans="1:2" x14ac:dyDescent="0.2">
      <c r="A17" s="23"/>
    </row>
    <row r="18" spans="1:2" x14ac:dyDescent="0.2">
      <c r="A18" s="22" t="s">
        <v>10</v>
      </c>
      <c r="B18" t="s">
        <v>2556</v>
      </c>
    </row>
    <row r="19" spans="1:2" x14ac:dyDescent="0.2">
      <c r="A19" s="2" t="s">
        <v>2554</v>
      </c>
    </row>
    <row r="20" spans="1:2" x14ac:dyDescent="0.2">
      <c r="A20" s="22" t="s">
        <v>2549</v>
      </c>
      <c r="B20" t="s">
        <v>2552</v>
      </c>
    </row>
    <row r="21" spans="1:2" x14ac:dyDescent="0.2">
      <c r="A21" s="23" t="s">
        <v>66</v>
      </c>
      <c r="B21" s="24">
        <v>981509484</v>
      </c>
    </row>
    <row r="22" spans="1:2" x14ac:dyDescent="0.2">
      <c r="A22" s="23" t="s">
        <v>2528</v>
      </c>
      <c r="B22" s="24">
        <v>648239720</v>
      </c>
    </row>
    <row r="23" spans="1:2" x14ac:dyDescent="0.2">
      <c r="A23" s="23" t="s">
        <v>2529</v>
      </c>
      <c r="B23" s="24">
        <v>589038976</v>
      </c>
    </row>
    <row r="24" spans="1:2" x14ac:dyDescent="0.2">
      <c r="A24" s="23" t="s">
        <v>30</v>
      </c>
      <c r="B24" s="24">
        <v>414112924</v>
      </c>
    </row>
    <row r="25" spans="1:2" x14ac:dyDescent="0.2">
      <c r="A25" s="23" t="s">
        <v>61</v>
      </c>
      <c r="B25" s="24">
        <v>331382248</v>
      </c>
    </row>
    <row r="26" spans="1:2" x14ac:dyDescent="0.2">
      <c r="A26" s="23" t="s">
        <v>75</v>
      </c>
      <c r="B26" s="24">
        <v>313891936</v>
      </c>
    </row>
    <row r="27" spans="1:2" x14ac:dyDescent="0.2">
      <c r="A27" s="23" t="s">
        <v>19</v>
      </c>
      <c r="B27" s="24">
        <v>276222056</v>
      </c>
    </row>
    <row r="28" spans="1:2" x14ac:dyDescent="0.2">
      <c r="A28" s="23" t="s">
        <v>2550</v>
      </c>
      <c r="B28" s="24">
        <v>3554397344</v>
      </c>
    </row>
    <row r="30" spans="1:2" x14ac:dyDescent="0.2">
      <c r="A30" s="25" t="s">
        <v>2555</v>
      </c>
    </row>
    <row r="31" spans="1:2" x14ac:dyDescent="0.2">
      <c r="A31" s="22" t="s">
        <v>2549</v>
      </c>
      <c r="B31" t="s">
        <v>2551</v>
      </c>
    </row>
    <row r="32" spans="1:2" x14ac:dyDescent="0.2">
      <c r="A32" s="23" t="s">
        <v>46</v>
      </c>
      <c r="B32" s="27">
        <v>135</v>
      </c>
    </row>
    <row r="33" spans="1:2" x14ac:dyDescent="0.2">
      <c r="A33" s="23" t="s">
        <v>100</v>
      </c>
      <c r="B33" s="27">
        <v>117</v>
      </c>
    </row>
    <row r="34" spans="1:2" x14ac:dyDescent="0.2">
      <c r="A34" s="23" t="s">
        <v>60</v>
      </c>
      <c r="B34" s="27">
        <v>111</v>
      </c>
    </row>
    <row r="35" spans="1:2" x14ac:dyDescent="0.2">
      <c r="A35" s="23" t="s">
        <v>88</v>
      </c>
      <c r="B35" s="27">
        <v>109</v>
      </c>
    </row>
    <row r="36" spans="1:2" x14ac:dyDescent="0.2">
      <c r="A36" s="23" t="s">
        <v>40</v>
      </c>
      <c r="B36" s="27">
        <v>108</v>
      </c>
    </row>
    <row r="37" spans="1:2" x14ac:dyDescent="0.2">
      <c r="A37" s="23" t="s">
        <v>72</v>
      </c>
      <c r="B37" s="27">
        <v>107</v>
      </c>
    </row>
    <row r="38" spans="1:2" x14ac:dyDescent="0.2">
      <c r="A38" s="23" t="s">
        <v>50</v>
      </c>
      <c r="B38" s="27">
        <v>106</v>
      </c>
    </row>
    <row r="39" spans="1:2" x14ac:dyDescent="0.2">
      <c r="A39" s="23" t="s">
        <v>18</v>
      </c>
      <c r="B39" s="27">
        <v>105</v>
      </c>
    </row>
    <row r="40" spans="1:2" x14ac:dyDescent="0.2">
      <c r="A40" s="23" t="s">
        <v>83</v>
      </c>
      <c r="B40" s="27">
        <v>105</v>
      </c>
    </row>
    <row r="41" spans="1:2" x14ac:dyDescent="0.2">
      <c r="A41" s="23" t="s">
        <v>74</v>
      </c>
      <c r="B41" s="27">
        <v>102</v>
      </c>
    </row>
    <row r="42" spans="1:2" x14ac:dyDescent="0.2">
      <c r="A42" s="23" t="s">
        <v>29</v>
      </c>
      <c r="B42" s="27">
        <v>95</v>
      </c>
    </row>
    <row r="43" spans="1:2" x14ac:dyDescent="0.2">
      <c r="A43" s="23" t="s">
        <v>2550</v>
      </c>
      <c r="B43" s="27">
        <v>1200</v>
      </c>
    </row>
    <row r="45" spans="1:2" x14ac:dyDescent="0.2">
      <c r="A45" s="25"/>
    </row>
    <row r="47" spans="1:2" x14ac:dyDescent="0.2">
      <c r="A47" s="22" t="s">
        <v>2549</v>
      </c>
      <c r="B47" t="s">
        <v>2552</v>
      </c>
    </row>
    <row r="48" spans="1:2" x14ac:dyDescent="0.2">
      <c r="A48" s="23" t="s">
        <v>46</v>
      </c>
      <c r="B48" s="24">
        <v>414112924</v>
      </c>
    </row>
    <row r="49" spans="1:2" x14ac:dyDescent="0.2">
      <c r="A49" s="23" t="s">
        <v>60</v>
      </c>
      <c r="B49" s="24">
        <v>347342236</v>
      </c>
    </row>
    <row r="50" spans="1:2" x14ac:dyDescent="0.2">
      <c r="A50" s="23" t="s">
        <v>50</v>
      </c>
      <c r="B50" s="24">
        <v>334058372</v>
      </c>
    </row>
    <row r="51" spans="1:2" x14ac:dyDescent="0.2">
      <c r="A51" s="23" t="s">
        <v>100</v>
      </c>
      <c r="B51" s="24">
        <v>331382248</v>
      </c>
    </row>
    <row r="52" spans="1:2" x14ac:dyDescent="0.2">
      <c r="A52" s="23" t="s">
        <v>83</v>
      </c>
      <c r="B52" s="24">
        <v>319972964</v>
      </c>
    </row>
    <row r="53" spans="1:2" x14ac:dyDescent="0.2">
      <c r="A53" s="23" t="s">
        <v>88</v>
      </c>
      <c r="B53" s="24">
        <v>314194284</v>
      </c>
    </row>
    <row r="54" spans="1:2" x14ac:dyDescent="0.2">
      <c r="A54" s="23" t="s">
        <v>74</v>
      </c>
      <c r="B54" s="24">
        <v>314181348</v>
      </c>
    </row>
    <row r="55" spans="1:2" x14ac:dyDescent="0.2">
      <c r="A55" s="23" t="s">
        <v>40</v>
      </c>
      <c r="B55" s="24">
        <v>313891936</v>
      </c>
    </row>
    <row r="56" spans="1:2" x14ac:dyDescent="0.2">
      <c r="A56" s="23" t="s">
        <v>72</v>
      </c>
      <c r="B56" s="24">
        <v>295342104</v>
      </c>
    </row>
    <row r="57" spans="1:2" x14ac:dyDescent="0.2">
      <c r="A57" s="23" t="s">
        <v>18</v>
      </c>
      <c r="B57" s="24">
        <v>293696872</v>
      </c>
    </row>
    <row r="58" spans="1:2" x14ac:dyDescent="0.2">
      <c r="A58" s="23" t="s">
        <v>29</v>
      </c>
      <c r="B58" s="24">
        <v>276222056</v>
      </c>
    </row>
    <row r="59" spans="1:2" x14ac:dyDescent="0.2">
      <c r="A59" s="23" t="s">
        <v>2550</v>
      </c>
      <c r="B59" s="24">
        <v>3554397344</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7D24-32E3-4649-AE67-77FB876842EE}">
  <dimension ref="B1:V19"/>
  <sheetViews>
    <sheetView showGridLines="0" tabSelected="1" workbookViewId="0">
      <selection activeCell="V20" sqref="V20"/>
    </sheetView>
  </sheetViews>
  <sheetFormatPr baseColWidth="10" defaultRowHeight="16" x14ac:dyDescent="0.2"/>
  <cols>
    <col min="1" max="1" width="1.5" customWidth="1"/>
  </cols>
  <sheetData>
    <row r="1" spans="2:22" ht="7" customHeight="1" x14ac:dyDescent="0.2"/>
    <row r="2" spans="2:22" ht="63" x14ac:dyDescent="0.2">
      <c r="B2" s="26" t="s">
        <v>2557</v>
      </c>
      <c r="C2" s="26"/>
      <c r="D2" s="26"/>
      <c r="E2" s="26"/>
      <c r="F2" s="26"/>
      <c r="G2" s="26"/>
      <c r="H2" s="26"/>
      <c r="I2" s="26"/>
      <c r="J2" s="26"/>
      <c r="K2" s="26"/>
      <c r="L2" s="26"/>
      <c r="M2" s="26"/>
      <c r="N2" s="26"/>
      <c r="O2" s="26"/>
      <c r="P2" s="26"/>
      <c r="Q2" s="26"/>
      <c r="R2" s="26"/>
      <c r="S2" s="26"/>
      <c r="T2" s="26"/>
      <c r="U2" s="26"/>
      <c r="V2" s="26"/>
    </row>
    <row r="19" spans="19:19" ht="24" x14ac:dyDescent="0.3">
      <c r="S19" s="29"/>
    </row>
  </sheetData>
  <mergeCells count="1">
    <mergeCell ref="B2:V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8C151-4AF1-9241-AFF1-44E4F906843D}">
  <dimension ref="A1:U1201"/>
  <sheetViews>
    <sheetView topLeftCell="A2" workbookViewId="0">
      <selection activeCell="K26" sqref="A2:P1201"/>
    </sheetView>
  </sheetViews>
  <sheetFormatPr baseColWidth="10" defaultRowHeight="16" x14ac:dyDescent="0.2"/>
  <cols>
    <col min="1" max="1" width="12.1640625" customWidth="1"/>
    <col min="2" max="2" width="16" bestFit="1" customWidth="1"/>
    <col min="4" max="4" width="13.83203125" style="4" customWidth="1"/>
    <col min="5" max="5" width="16.33203125" style="4" customWidth="1"/>
    <col min="6" max="6" width="16" style="9" customWidth="1"/>
    <col min="7" max="7" width="12.6640625" customWidth="1"/>
    <col min="8" max="8" width="16.1640625" customWidth="1"/>
    <col min="10" max="10" width="15.6640625" customWidth="1"/>
    <col min="11" max="11" width="16.83203125" customWidth="1"/>
    <col min="12" max="12" width="11.6640625" customWidth="1"/>
    <col min="13" max="13" width="16.6640625" customWidth="1"/>
    <col min="14" max="14" width="15" style="6" customWidth="1"/>
    <col min="15" max="15" width="11.1640625" customWidth="1"/>
    <col min="16" max="16" width="17.83203125" customWidth="1"/>
    <col min="19" max="19" width="17.6640625" customWidth="1"/>
    <col min="20" max="20" width="20.1640625" customWidth="1"/>
    <col min="21" max="21" width="22.33203125" customWidth="1"/>
  </cols>
  <sheetData>
    <row r="1" spans="1:21" s="2" customFormat="1" x14ac:dyDescent="0.2">
      <c r="A1" s="2" t="s">
        <v>2522</v>
      </c>
      <c r="B1" s="2" t="s">
        <v>2523</v>
      </c>
      <c r="C1" s="2" t="s">
        <v>2</v>
      </c>
      <c r="D1" s="3" t="s">
        <v>1719</v>
      </c>
      <c r="E1" s="3" t="s">
        <v>1720</v>
      </c>
      <c r="F1" s="8" t="s">
        <v>1721</v>
      </c>
      <c r="G1" s="2" t="s">
        <v>1723</v>
      </c>
      <c r="H1" s="2" t="s">
        <v>2530</v>
      </c>
      <c r="I1" s="2" t="s">
        <v>1722</v>
      </c>
      <c r="J1" s="2" t="s">
        <v>9</v>
      </c>
      <c r="K1" s="2" t="s">
        <v>10</v>
      </c>
      <c r="L1" s="2" t="s">
        <v>11</v>
      </c>
      <c r="M1" s="2" t="s">
        <v>12</v>
      </c>
      <c r="N1" s="5" t="s">
        <v>2526</v>
      </c>
      <c r="O1" s="2" t="s">
        <v>2532</v>
      </c>
      <c r="P1" s="2" t="s">
        <v>2524</v>
      </c>
    </row>
    <row r="2" spans="1:21" x14ac:dyDescent="0.2">
      <c r="A2" t="s">
        <v>1724</v>
      </c>
      <c r="B2" t="s">
        <v>16</v>
      </c>
      <c r="C2" t="s">
        <v>92</v>
      </c>
      <c r="D2" s="4">
        <v>27276</v>
      </c>
      <c r="E2" s="4">
        <v>45349</v>
      </c>
      <c r="F2" s="9">
        <v>45360</v>
      </c>
      <c r="G2" t="s">
        <v>18</v>
      </c>
      <c r="H2" t="s">
        <v>2529</v>
      </c>
      <c r="I2" t="s">
        <v>67</v>
      </c>
      <c r="J2" s="7">
        <v>607292</v>
      </c>
      <c r="K2" t="s">
        <v>48</v>
      </c>
      <c r="L2" t="s">
        <v>23</v>
      </c>
      <c r="M2" t="s">
        <v>24</v>
      </c>
      <c r="N2" s="6">
        <v>11</v>
      </c>
      <c r="O2" t="s">
        <v>25</v>
      </c>
      <c r="P2">
        <f>YEAR(E2)-YEAR(D2)</f>
        <v>50</v>
      </c>
    </row>
    <row r="3" spans="1:21" x14ac:dyDescent="0.2">
      <c r="A3" t="s">
        <v>1725</v>
      </c>
      <c r="B3" t="s">
        <v>27</v>
      </c>
      <c r="C3" t="s">
        <v>28</v>
      </c>
      <c r="D3" s="4">
        <v>25487</v>
      </c>
      <c r="E3" s="4">
        <v>45442</v>
      </c>
      <c r="F3" s="9">
        <v>45443</v>
      </c>
      <c r="G3" t="s">
        <v>29</v>
      </c>
      <c r="H3" t="s">
        <v>19</v>
      </c>
      <c r="I3" t="s">
        <v>2533</v>
      </c>
      <c r="J3" s="7">
        <v>1576696</v>
      </c>
      <c r="K3" t="s">
        <v>48</v>
      </c>
      <c r="L3" t="s">
        <v>34</v>
      </c>
      <c r="M3" t="s">
        <v>35</v>
      </c>
      <c r="N3" s="6">
        <v>1</v>
      </c>
      <c r="O3" t="s">
        <v>36</v>
      </c>
      <c r="P3">
        <f t="shared" ref="P3:P66" si="0">YEAR(E3)-YEAR(D3)</f>
        <v>55</v>
      </c>
    </row>
    <row r="4" spans="1:21" x14ac:dyDescent="0.2">
      <c r="A4" t="s">
        <v>1726</v>
      </c>
      <c r="B4" t="s">
        <v>38</v>
      </c>
      <c r="C4" t="s">
        <v>39</v>
      </c>
      <c r="D4" s="4">
        <v>19687</v>
      </c>
      <c r="E4" s="4">
        <v>45429</v>
      </c>
      <c r="F4" s="9">
        <v>45436</v>
      </c>
      <c r="G4" t="s">
        <v>40</v>
      </c>
      <c r="H4" t="s">
        <v>75</v>
      </c>
      <c r="I4" t="s">
        <v>41</v>
      </c>
      <c r="J4" s="7">
        <v>4854500</v>
      </c>
      <c r="K4" t="s">
        <v>43</v>
      </c>
      <c r="L4" t="s">
        <v>23</v>
      </c>
      <c r="M4" t="s">
        <v>24</v>
      </c>
      <c r="N4" s="6">
        <v>7</v>
      </c>
      <c r="O4" t="s">
        <v>2531</v>
      </c>
      <c r="P4">
        <f t="shared" si="0"/>
        <v>71</v>
      </c>
    </row>
    <row r="5" spans="1:21" ht="17" thickBot="1" x14ac:dyDescent="0.25">
      <c r="A5" t="s">
        <v>44</v>
      </c>
      <c r="B5" t="s">
        <v>45</v>
      </c>
      <c r="C5" t="s">
        <v>92</v>
      </c>
      <c r="D5" s="4">
        <v>25892</v>
      </c>
      <c r="E5" s="4">
        <v>45389</v>
      </c>
      <c r="F5" s="9">
        <v>45403</v>
      </c>
      <c r="G5" t="s">
        <v>46</v>
      </c>
      <c r="H5" t="s">
        <v>30</v>
      </c>
      <c r="I5" t="s">
        <v>2533</v>
      </c>
      <c r="J5" s="7">
        <v>1851500</v>
      </c>
      <c r="K5" t="s">
        <v>48</v>
      </c>
      <c r="L5" t="s">
        <v>23</v>
      </c>
      <c r="M5" t="s">
        <v>24</v>
      </c>
      <c r="N5" s="6">
        <v>14</v>
      </c>
      <c r="O5" t="s">
        <v>36</v>
      </c>
      <c r="P5">
        <f t="shared" si="0"/>
        <v>54</v>
      </c>
    </row>
    <row r="6" spans="1:21" x14ac:dyDescent="0.2">
      <c r="A6" t="s">
        <v>1727</v>
      </c>
      <c r="B6" t="s">
        <v>38</v>
      </c>
      <c r="C6" t="s">
        <v>28</v>
      </c>
      <c r="D6" s="4">
        <v>36514</v>
      </c>
      <c r="E6" s="4">
        <v>45467</v>
      </c>
      <c r="F6" s="9">
        <v>45480</v>
      </c>
      <c r="G6" t="s">
        <v>50</v>
      </c>
      <c r="H6" t="s">
        <v>2528</v>
      </c>
      <c r="I6" t="s">
        <v>67</v>
      </c>
      <c r="J6" s="7">
        <v>2813912</v>
      </c>
      <c r="K6" t="s">
        <v>48</v>
      </c>
      <c r="L6" t="s">
        <v>34</v>
      </c>
      <c r="M6" t="s">
        <v>35</v>
      </c>
      <c r="N6" s="6">
        <v>13</v>
      </c>
      <c r="O6" t="s">
        <v>2531</v>
      </c>
      <c r="P6">
        <f t="shared" si="0"/>
        <v>25</v>
      </c>
      <c r="S6" s="10" t="s">
        <v>2537</v>
      </c>
      <c r="T6" s="12" t="s">
        <v>2541</v>
      </c>
      <c r="U6" s="13" t="s">
        <v>2545</v>
      </c>
    </row>
    <row r="7" spans="1:21" x14ac:dyDescent="0.2">
      <c r="A7" t="s">
        <v>1728</v>
      </c>
      <c r="B7" t="s">
        <v>51</v>
      </c>
      <c r="C7" t="s">
        <v>28</v>
      </c>
      <c r="D7" s="4">
        <v>34622</v>
      </c>
      <c r="E7" s="4">
        <v>45456</v>
      </c>
      <c r="F7" s="9" t="s">
        <v>2536</v>
      </c>
      <c r="G7" t="s">
        <v>46</v>
      </c>
      <c r="H7" t="s">
        <v>30</v>
      </c>
      <c r="I7" t="s">
        <v>2534</v>
      </c>
      <c r="J7" s="7">
        <v>4371500</v>
      </c>
      <c r="K7" t="s">
        <v>43</v>
      </c>
      <c r="L7" t="s">
        <v>2527</v>
      </c>
      <c r="M7" t="s">
        <v>24</v>
      </c>
      <c r="N7" s="6" t="s">
        <v>2525</v>
      </c>
      <c r="O7" t="s">
        <v>25</v>
      </c>
      <c r="P7">
        <f t="shared" si="0"/>
        <v>30</v>
      </c>
      <c r="S7" s="15">
        <f>COUNTA(B:B)</f>
        <v>1201</v>
      </c>
      <c r="T7" s="17">
        <f>AVERAGE(N:N)</f>
        <v>8.0625</v>
      </c>
      <c r="U7" s="20">
        <f>SUMIFS(J:J,K:K,"Paid",H:H,"Oncology")</f>
        <v>198814396</v>
      </c>
    </row>
    <row r="8" spans="1:21" x14ac:dyDescent="0.2">
      <c r="A8" t="s">
        <v>1729</v>
      </c>
      <c r="B8" t="s">
        <v>56</v>
      </c>
      <c r="C8" t="s">
        <v>92</v>
      </c>
      <c r="D8" s="4">
        <v>19807</v>
      </c>
      <c r="E8" s="4">
        <v>45331</v>
      </c>
      <c r="F8" s="9">
        <v>45338</v>
      </c>
      <c r="G8" t="s">
        <v>29</v>
      </c>
      <c r="H8" t="s">
        <v>19</v>
      </c>
      <c r="I8" t="s">
        <v>2535</v>
      </c>
      <c r="J8" s="7">
        <v>3703000</v>
      </c>
      <c r="K8" t="s">
        <v>43</v>
      </c>
      <c r="L8" t="s">
        <v>34</v>
      </c>
      <c r="M8" t="s">
        <v>24</v>
      </c>
      <c r="N8" s="6">
        <v>7</v>
      </c>
      <c r="O8" t="s">
        <v>2531</v>
      </c>
      <c r="P8">
        <f t="shared" si="0"/>
        <v>70</v>
      </c>
      <c r="S8" s="11" t="s">
        <v>2538</v>
      </c>
      <c r="T8" s="2" t="s">
        <v>2542</v>
      </c>
      <c r="U8" s="14" t="s">
        <v>2546</v>
      </c>
    </row>
    <row r="9" spans="1:21" x14ac:dyDescent="0.2">
      <c r="A9" t="s">
        <v>1730</v>
      </c>
      <c r="B9" t="s">
        <v>59</v>
      </c>
      <c r="C9" t="s">
        <v>92</v>
      </c>
      <c r="D9" s="4">
        <v>27881</v>
      </c>
      <c r="E9" s="4">
        <v>45332</v>
      </c>
      <c r="F9" s="9" t="s">
        <v>2536</v>
      </c>
      <c r="G9" t="s">
        <v>60</v>
      </c>
      <c r="H9" t="s">
        <v>66</v>
      </c>
      <c r="I9" t="s">
        <v>41</v>
      </c>
      <c r="J9" s="7">
        <v>1753980</v>
      </c>
      <c r="K9" t="s">
        <v>48</v>
      </c>
      <c r="L9" t="s">
        <v>23</v>
      </c>
      <c r="M9" t="s">
        <v>35</v>
      </c>
      <c r="N9" s="6" t="s">
        <v>2525</v>
      </c>
      <c r="O9" t="s">
        <v>2531</v>
      </c>
      <c r="P9">
        <f t="shared" si="0"/>
        <v>48</v>
      </c>
      <c r="S9" s="15">
        <f>MIN(P:P)</f>
        <v>15</v>
      </c>
      <c r="T9" s="18">
        <f>SUMIF(K:K, "Paid", J:J)</f>
        <v>2142128092</v>
      </c>
      <c r="U9" s="20">
        <f>SUMIFS(J:J,K:K,"Paid",H:H,"Orthopedics")</f>
        <v>187664452</v>
      </c>
    </row>
    <row r="10" spans="1:21" x14ac:dyDescent="0.2">
      <c r="A10" t="s">
        <v>1731</v>
      </c>
      <c r="B10" t="s">
        <v>64</v>
      </c>
      <c r="C10" t="s">
        <v>92</v>
      </c>
      <c r="D10" s="4">
        <v>28885</v>
      </c>
      <c r="E10" s="4">
        <v>45296</v>
      </c>
      <c r="F10" s="9">
        <v>45311</v>
      </c>
      <c r="G10" t="s">
        <v>50</v>
      </c>
      <c r="H10" t="s">
        <v>2528</v>
      </c>
      <c r="I10" t="s">
        <v>67</v>
      </c>
      <c r="J10" s="7">
        <v>4756492</v>
      </c>
      <c r="K10" t="s">
        <v>48</v>
      </c>
      <c r="L10" t="s">
        <v>2527</v>
      </c>
      <c r="M10" t="s">
        <v>35</v>
      </c>
      <c r="N10" s="6">
        <v>15</v>
      </c>
      <c r="O10" t="s">
        <v>25</v>
      </c>
      <c r="P10">
        <f t="shared" si="0"/>
        <v>45</v>
      </c>
      <c r="S10" s="11" t="s">
        <v>2539</v>
      </c>
      <c r="T10" s="2" t="s">
        <v>2543</v>
      </c>
      <c r="U10" s="14" t="s">
        <v>2547</v>
      </c>
    </row>
    <row r="11" spans="1:21" x14ac:dyDescent="0.2">
      <c r="A11" t="s">
        <v>69</v>
      </c>
      <c r="B11" t="s">
        <v>56</v>
      </c>
      <c r="C11" t="s">
        <v>92</v>
      </c>
      <c r="D11" s="4">
        <v>23674</v>
      </c>
      <c r="E11" s="4">
        <v>45427</v>
      </c>
      <c r="F11" s="9">
        <v>45442</v>
      </c>
      <c r="G11" t="s">
        <v>60</v>
      </c>
      <c r="H11" t="s">
        <v>66</v>
      </c>
      <c r="I11" t="s">
        <v>2534</v>
      </c>
      <c r="J11" s="7">
        <v>5005000</v>
      </c>
      <c r="K11" t="s">
        <v>71</v>
      </c>
      <c r="L11" t="s">
        <v>2527</v>
      </c>
      <c r="M11" t="s">
        <v>35</v>
      </c>
      <c r="N11" s="6">
        <v>15</v>
      </c>
      <c r="O11" t="s">
        <v>25</v>
      </c>
      <c r="P11">
        <f t="shared" si="0"/>
        <v>60</v>
      </c>
      <c r="S11" s="15">
        <f>MAX(P:P)</f>
        <v>74</v>
      </c>
      <c r="T11" s="18">
        <f>SUMIFS(J:J, K:K, "Paid", H:H, "Cardiology")</f>
        <v>176975020</v>
      </c>
      <c r="U11" s="20">
        <f>SUMIFS(J:J,K:K,"Paid",H:H,"Pulmnology")</f>
        <v>384806872</v>
      </c>
    </row>
    <row r="12" spans="1:21" x14ac:dyDescent="0.2">
      <c r="A12" t="s">
        <v>1732</v>
      </c>
      <c r="B12" t="s">
        <v>64</v>
      </c>
      <c r="C12" t="s">
        <v>92</v>
      </c>
      <c r="D12" s="4">
        <v>36414</v>
      </c>
      <c r="E12" s="4">
        <v>45442</v>
      </c>
      <c r="F12" s="9" t="s">
        <v>2536</v>
      </c>
      <c r="G12" t="s">
        <v>72</v>
      </c>
      <c r="H12" t="s">
        <v>2529</v>
      </c>
      <c r="I12" t="s">
        <v>67</v>
      </c>
      <c r="J12" s="7">
        <v>897736</v>
      </c>
      <c r="K12" t="s">
        <v>48</v>
      </c>
      <c r="L12" t="s">
        <v>34</v>
      </c>
      <c r="M12" t="s">
        <v>24</v>
      </c>
      <c r="N12" s="6" t="s">
        <v>2525</v>
      </c>
      <c r="O12" t="s">
        <v>2531</v>
      </c>
      <c r="P12">
        <f t="shared" si="0"/>
        <v>25</v>
      </c>
      <c r="S12" s="11" t="s">
        <v>2540</v>
      </c>
      <c r="T12" s="2" t="s">
        <v>2544</v>
      </c>
      <c r="U12" s="14" t="s">
        <v>2548</v>
      </c>
    </row>
    <row r="13" spans="1:21" ht="17" thickBot="1" x14ac:dyDescent="0.25">
      <c r="A13" t="s">
        <v>1733</v>
      </c>
      <c r="B13" t="s">
        <v>51</v>
      </c>
      <c r="C13" t="s">
        <v>92</v>
      </c>
      <c r="D13" s="4">
        <v>22599</v>
      </c>
      <c r="E13" s="4">
        <v>45354</v>
      </c>
      <c r="F13" s="9">
        <v>45358</v>
      </c>
      <c r="G13" t="s">
        <v>74</v>
      </c>
      <c r="H13" t="s">
        <v>2528</v>
      </c>
      <c r="I13" t="s">
        <v>2533</v>
      </c>
      <c r="J13" s="7">
        <v>3111900</v>
      </c>
      <c r="K13" t="s">
        <v>71</v>
      </c>
      <c r="L13" t="s">
        <v>2527</v>
      </c>
      <c r="M13" t="s">
        <v>24</v>
      </c>
      <c r="N13" s="6">
        <v>4</v>
      </c>
      <c r="O13" t="s">
        <v>2531</v>
      </c>
      <c r="P13">
        <f t="shared" si="0"/>
        <v>63</v>
      </c>
      <c r="S13" s="16">
        <f>AVERAGE(P:P)</f>
        <v>44.704166666666666</v>
      </c>
      <c r="T13" s="19">
        <f>SUMIFS(J:J, K:K, "Paid", H:H, "Endocrinology")</f>
        <v>260520324</v>
      </c>
      <c r="U13" s="21">
        <f>SUMIFS(J:J,K:K,"Paid",H:H,"General Medicine")</f>
        <v>561566216</v>
      </c>
    </row>
    <row r="14" spans="1:21" x14ac:dyDescent="0.2">
      <c r="A14" t="s">
        <v>1734</v>
      </c>
      <c r="B14" t="s">
        <v>16</v>
      </c>
      <c r="C14" t="s">
        <v>92</v>
      </c>
      <c r="D14" s="4">
        <v>31457</v>
      </c>
      <c r="E14" s="4">
        <v>45319</v>
      </c>
      <c r="F14" s="9">
        <v>45328</v>
      </c>
      <c r="G14" t="s">
        <v>46</v>
      </c>
      <c r="H14" t="s">
        <v>30</v>
      </c>
      <c r="I14" t="s">
        <v>67</v>
      </c>
      <c r="J14" s="7">
        <v>2527240</v>
      </c>
      <c r="K14" t="s">
        <v>48</v>
      </c>
      <c r="L14" t="s">
        <v>34</v>
      </c>
      <c r="M14" t="s">
        <v>78</v>
      </c>
      <c r="N14" s="6">
        <v>9</v>
      </c>
      <c r="O14" t="s">
        <v>2531</v>
      </c>
      <c r="P14">
        <f t="shared" si="0"/>
        <v>38</v>
      </c>
    </row>
    <row r="15" spans="1:21" x14ac:dyDescent="0.2">
      <c r="A15" t="s">
        <v>79</v>
      </c>
      <c r="B15" t="s">
        <v>80</v>
      </c>
      <c r="C15" t="s">
        <v>28</v>
      </c>
      <c r="D15" s="4">
        <v>35977</v>
      </c>
      <c r="E15" s="4">
        <v>45315</v>
      </c>
      <c r="F15" s="9">
        <v>45323</v>
      </c>
      <c r="G15" t="s">
        <v>50</v>
      </c>
      <c r="H15" t="s">
        <v>2528</v>
      </c>
      <c r="I15" t="s">
        <v>2533</v>
      </c>
      <c r="J15" s="7">
        <v>829840</v>
      </c>
      <c r="K15" t="s">
        <v>71</v>
      </c>
      <c r="L15" t="s">
        <v>34</v>
      </c>
      <c r="M15" t="s">
        <v>78</v>
      </c>
      <c r="N15" s="6">
        <v>8</v>
      </c>
      <c r="O15" t="s">
        <v>36</v>
      </c>
      <c r="P15">
        <f t="shared" si="0"/>
        <v>26</v>
      </c>
      <c r="S15" s="2" t="s">
        <v>2558</v>
      </c>
    </row>
    <row r="16" spans="1:21" x14ac:dyDescent="0.2">
      <c r="A16" t="s">
        <v>1735</v>
      </c>
      <c r="B16" t="s">
        <v>82</v>
      </c>
      <c r="C16" t="s">
        <v>28</v>
      </c>
      <c r="D16" s="4">
        <v>36475</v>
      </c>
      <c r="E16" s="4">
        <v>45331</v>
      </c>
      <c r="F16" s="9">
        <v>45332</v>
      </c>
      <c r="G16" t="s">
        <v>83</v>
      </c>
      <c r="H16" t="s">
        <v>66</v>
      </c>
      <c r="I16" t="s">
        <v>67</v>
      </c>
      <c r="J16" s="7">
        <v>4888512</v>
      </c>
      <c r="K16" t="s">
        <v>43</v>
      </c>
      <c r="L16" t="s">
        <v>23</v>
      </c>
      <c r="M16" t="s">
        <v>35</v>
      </c>
      <c r="N16" s="6">
        <v>1</v>
      </c>
      <c r="O16" t="s">
        <v>25</v>
      </c>
      <c r="P16">
        <f t="shared" si="0"/>
        <v>25</v>
      </c>
      <c r="S16" s="28">
        <f>COUNTIF(K:K,"Paid")/COUNTA(K:K)</f>
        <v>0.59117402164862609</v>
      </c>
    </row>
    <row r="17" spans="1:19" x14ac:dyDescent="0.2">
      <c r="A17" t="s">
        <v>84</v>
      </c>
      <c r="B17" t="s">
        <v>85</v>
      </c>
      <c r="C17" t="s">
        <v>92</v>
      </c>
      <c r="D17" s="4">
        <v>25971</v>
      </c>
      <c r="E17" s="4">
        <v>45322</v>
      </c>
      <c r="F17" s="9">
        <v>45323</v>
      </c>
      <c r="G17" t="s">
        <v>29</v>
      </c>
      <c r="H17" t="s">
        <v>19</v>
      </c>
      <c r="I17" t="s">
        <v>2535</v>
      </c>
      <c r="J17" s="7">
        <v>4399500</v>
      </c>
      <c r="K17" t="s">
        <v>48</v>
      </c>
      <c r="L17" t="s">
        <v>23</v>
      </c>
      <c r="M17" t="s">
        <v>24</v>
      </c>
      <c r="N17" s="6">
        <v>1</v>
      </c>
      <c r="O17" t="s">
        <v>36</v>
      </c>
      <c r="P17">
        <f t="shared" si="0"/>
        <v>53</v>
      </c>
      <c r="S17" s="2" t="s">
        <v>2559</v>
      </c>
    </row>
    <row r="18" spans="1:19" x14ac:dyDescent="0.2">
      <c r="A18" t="s">
        <v>1736</v>
      </c>
      <c r="B18" t="s">
        <v>87</v>
      </c>
      <c r="C18" t="s">
        <v>28</v>
      </c>
      <c r="D18" s="4">
        <v>39415</v>
      </c>
      <c r="E18" s="4">
        <v>45409</v>
      </c>
      <c r="F18" s="9">
        <v>45424</v>
      </c>
      <c r="G18" t="s">
        <v>88</v>
      </c>
      <c r="H18" t="s">
        <v>66</v>
      </c>
      <c r="I18" t="s">
        <v>2535</v>
      </c>
      <c r="J18" s="7">
        <v>4726316</v>
      </c>
      <c r="K18" t="s">
        <v>48</v>
      </c>
      <c r="L18" t="s">
        <v>23</v>
      </c>
      <c r="M18" t="s">
        <v>24</v>
      </c>
      <c r="N18" s="6">
        <v>15</v>
      </c>
      <c r="O18" t="s">
        <v>36</v>
      </c>
      <c r="P18">
        <f t="shared" si="0"/>
        <v>17</v>
      </c>
      <c r="S18" s="7">
        <f>SUM(J:J)</f>
        <v>3554397344</v>
      </c>
    </row>
    <row r="19" spans="1:19" x14ac:dyDescent="0.2">
      <c r="A19" t="s">
        <v>90</v>
      </c>
      <c r="B19" t="s">
        <v>91</v>
      </c>
      <c r="C19" t="s">
        <v>92</v>
      </c>
      <c r="D19" s="4">
        <v>27602</v>
      </c>
      <c r="E19" s="4">
        <v>45404</v>
      </c>
      <c r="F19" s="9">
        <v>45417</v>
      </c>
      <c r="G19" t="s">
        <v>72</v>
      </c>
      <c r="H19" t="s">
        <v>2529</v>
      </c>
      <c r="I19" t="s">
        <v>2535</v>
      </c>
      <c r="J19" s="7">
        <v>2689436</v>
      </c>
      <c r="K19" t="s">
        <v>48</v>
      </c>
      <c r="L19" t="s">
        <v>2527</v>
      </c>
      <c r="M19" t="s">
        <v>35</v>
      </c>
      <c r="N19" s="6">
        <v>13</v>
      </c>
      <c r="O19" t="s">
        <v>2531</v>
      </c>
      <c r="P19">
        <f t="shared" si="0"/>
        <v>49</v>
      </c>
    </row>
    <row r="20" spans="1:19" x14ac:dyDescent="0.2">
      <c r="A20" t="s">
        <v>94</v>
      </c>
      <c r="B20" t="s">
        <v>38</v>
      </c>
      <c r="C20" t="s">
        <v>92</v>
      </c>
      <c r="D20" s="4">
        <v>38083</v>
      </c>
      <c r="E20" s="4">
        <v>45379</v>
      </c>
      <c r="F20" s="9">
        <v>45393</v>
      </c>
      <c r="G20" t="s">
        <v>40</v>
      </c>
      <c r="H20" t="s">
        <v>75</v>
      </c>
      <c r="I20" t="s">
        <v>2533</v>
      </c>
      <c r="J20" s="7">
        <v>769488</v>
      </c>
      <c r="K20" t="s">
        <v>71</v>
      </c>
      <c r="L20" t="s">
        <v>2527</v>
      </c>
      <c r="M20" t="s">
        <v>35</v>
      </c>
      <c r="N20" s="6">
        <v>14</v>
      </c>
      <c r="O20" t="s">
        <v>25</v>
      </c>
      <c r="P20">
        <f t="shared" si="0"/>
        <v>20</v>
      </c>
    </row>
    <row r="21" spans="1:19" x14ac:dyDescent="0.2">
      <c r="A21" t="s">
        <v>1737</v>
      </c>
      <c r="B21" t="s">
        <v>38</v>
      </c>
      <c r="C21" t="s">
        <v>28</v>
      </c>
      <c r="D21" s="4">
        <v>32742</v>
      </c>
      <c r="E21" s="4">
        <v>45435</v>
      </c>
      <c r="F21" s="9" t="s">
        <v>2536</v>
      </c>
      <c r="G21" t="s">
        <v>46</v>
      </c>
      <c r="H21" t="s">
        <v>30</v>
      </c>
      <c r="I21" t="s">
        <v>67</v>
      </c>
      <c r="J21" s="7">
        <v>3228832</v>
      </c>
      <c r="K21" t="s">
        <v>71</v>
      </c>
      <c r="L21" t="s">
        <v>23</v>
      </c>
      <c r="M21" t="s">
        <v>35</v>
      </c>
      <c r="N21" s="6" t="s">
        <v>2525</v>
      </c>
      <c r="O21" t="s">
        <v>25</v>
      </c>
      <c r="P21">
        <f t="shared" si="0"/>
        <v>35</v>
      </c>
    </row>
    <row r="22" spans="1:19" x14ac:dyDescent="0.2">
      <c r="A22" t="s">
        <v>1738</v>
      </c>
      <c r="B22" t="s">
        <v>51</v>
      </c>
      <c r="C22" t="s">
        <v>28</v>
      </c>
      <c r="D22" s="4">
        <v>26440</v>
      </c>
      <c r="E22" s="4">
        <v>45382</v>
      </c>
      <c r="F22" s="9">
        <v>45394</v>
      </c>
      <c r="G22" t="s">
        <v>50</v>
      </c>
      <c r="H22" t="s">
        <v>2528</v>
      </c>
      <c r="I22" t="s">
        <v>67</v>
      </c>
      <c r="J22" s="7">
        <v>1742664</v>
      </c>
      <c r="K22" t="s">
        <v>48</v>
      </c>
      <c r="L22" t="s">
        <v>23</v>
      </c>
      <c r="M22" t="s">
        <v>24</v>
      </c>
      <c r="N22" s="6">
        <v>12</v>
      </c>
      <c r="O22" t="s">
        <v>36</v>
      </c>
      <c r="P22">
        <f t="shared" si="0"/>
        <v>52</v>
      </c>
    </row>
    <row r="23" spans="1:19" x14ac:dyDescent="0.2">
      <c r="A23" t="s">
        <v>1739</v>
      </c>
      <c r="B23" t="s">
        <v>91</v>
      </c>
      <c r="C23" t="s">
        <v>92</v>
      </c>
      <c r="D23" s="4">
        <v>23480</v>
      </c>
      <c r="E23" s="4">
        <v>45389</v>
      </c>
      <c r="F23" s="9">
        <v>45393</v>
      </c>
      <c r="G23" t="s">
        <v>100</v>
      </c>
      <c r="H23" t="s">
        <v>61</v>
      </c>
      <c r="I23" t="s">
        <v>2533</v>
      </c>
      <c r="J23" s="7">
        <v>2134952</v>
      </c>
      <c r="K23" t="s">
        <v>48</v>
      </c>
      <c r="L23" t="s">
        <v>23</v>
      </c>
      <c r="M23" t="s">
        <v>78</v>
      </c>
      <c r="N23" s="6">
        <v>4</v>
      </c>
      <c r="O23" t="s">
        <v>25</v>
      </c>
      <c r="P23">
        <f t="shared" si="0"/>
        <v>60</v>
      </c>
    </row>
    <row r="24" spans="1:19" x14ac:dyDescent="0.2">
      <c r="A24" t="s">
        <v>1740</v>
      </c>
      <c r="B24" t="s">
        <v>102</v>
      </c>
      <c r="C24" t="s">
        <v>28</v>
      </c>
      <c r="D24" s="4">
        <v>34956</v>
      </c>
      <c r="E24" s="4">
        <v>45465</v>
      </c>
      <c r="F24" s="9">
        <v>45467</v>
      </c>
      <c r="G24" t="s">
        <v>46</v>
      </c>
      <c r="H24" t="s">
        <v>30</v>
      </c>
      <c r="I24" t="s">
        <v>2533</v>
      </c>
      <c r="J24" s="7">
        <v>671416</v>
      </c>
      <c r="K24" t="s">
        <v>43</v>
      </c>
      <c r="L24" t="s">
        <v>2527</v>
      </c>
      <c r="M24" t="s">
        <v>78</v>
      </c>
      <c r="N24" s="6">
        <v>2</v>
      </c>
      <c r="O24" t="s">
        <v>36</v>
      </c>
      <c r="P24">
        <f t="shared" si="0"/>
        <v>29</v>
      </c>
    </row>
    <row r="25" spans="1:19" x14ac:dyDescent="0.2">
      <c r="A25" t="s">
        <v>1741</v>
      </c>
      <c r="B25" t="s">
        <v>105</v>
      </c>
      <c r="C25" t="s">
        <v>92</v>
      </c>
      <c r="D25" s="4">
        <v>30886</v>
      </c>
      <c r="E25" s="4">
        <v>45357</v>
      </c>
      <c r="F25" s="9">
        <v>45358</v>
      </c>
      <c r="G25" t="s">
        <v>83</v>
      </c>
      <c r="H25" t="s">
        <v>66</v>
      </c>
      <c r="I25" t="s">
        <v>67</v>
      </c>
      <c r="J25" s="7">
        <v>5110000</v>
      </c>
      <c r="K25" t="s">
        <v>43</v>
      </c>
      <c r="L25" t="s">
        <v>2527</v>
      </c>
      <c r="M25" t="s">
        <v>24</v>
      </c>
      <c r="N25" s="6">
        <v>1</v>
      </c>
      <c r="O25" t="s">
        <v>36</v>
      </c>
      <c r="P25">
        <f t="shared" si="0"/>
        <v>40</v>
      </c>
    </row>
    <row r="26" spans="1:19" x14ac:dyDescent="0.2">
      <c r="A26" t="s">
        <v>1742</v>
      </c>
      <c r="B26" t="s">
        <v>45</v>
      </c>
      <c r="C26" t="s">
        <v>28</v>
      </c>
      <c r="D26" s="4">
        <v>31646</v>
      </c>
      <c r="E26" s="4">
        <v>45395</v>
      </c>
      <c r="F26" s="9">
        <v>45399</v>
      </c>
      <c r="G26" t="s">
        <v>72</v>
      </c>
      <c r="H26" t="s">
        <v>2529</v>
      </c>
      <c r="I26" t="s">
        <v>2534</v>
      </c>
      <c r="J26" s="7">
        <v>1596000</v>
      </c>
      <c r="K26" t="s">
        <v>71</v>
      </c>
      <c r="L26" t="s">
        <v>34</v>
      </c>
      <c r="M26" t="s">
        <v>78</v>
      </c>
      <c r="N26" s="6">
        <v>4</v>
      </c>
      <c r="O26" t="s">
        <v>36</v>
      </c>
      <c r="P26">
        <f t="shared" si="0"/>
        <v>38</v>
      </c>
    </row>
    <row r="27" spans="1:19" x14ac:dyDescent="0.2">
      <c r="A27" t="s">
        <v>1743</v>
      </c>
      <c r="B27" t="s">
        <v>85</v>
      </c>
      <c r="C27" t="s">
        <v>28</v>
      </c>
      <c r="D27" s="4">
        <v>28823</v>
      </c>
      <c r="E27" s="4">
        <v>45405</v>
      </c>
      <c r="F27" s="9">
        <v>45414</v>
      </c>
      <c r="G27" t="s">
        <v>46</v>
      </c>
      <c r="H27" t="s">
        <v>30</v>
      </c>
      <c r="I27" t="s">
        <v>67</v>
      </c>
      <c r="J27" s="7">
        <v>2383500</v>
      </c>
      <c r="K27" t="s">
        <v>48</v>
      </c>
      <c r="L27" t="s">
        <v>23</v>
      </c>
      <c r="M27" t="s">
        <v>24</v>
      </c>
      <c r="N27" s="6">
        <v>9</v>
      </c>
      <c r="O27" t="s">
        <v>25</v>
      </c>
      <c r="P27">
        <f t="shared" si="0"/>
        <v>46</v>
      </c>
    </row>
    <row r="28" spans="1:19" x14ac:dyDescent="0.2">
      <c r="A28" t="s">
        <v>111</v>
      </c>
      <c r="B28" t="s">
        <v>64</v>
      </c>
      <c r="C28" t="s">
        <v>92</v>
      </c>
      <c r="D28" s="4">
        <v>26287</v>
      </c>
      <c r="E28" s="4">
        <v>45448</v>
      </c>
      <c r="F28" s="9">
        <v>45463</v>
      </c>
      <c r="G28" t="s">
        <v>29</v>
      </c>
      <c r="H28" t="s">
        <v>19</v>
      </c>
      <c r="I28" t="s">
        <v>2533</v>
      </c>
      <c r="J28" s="7">
        <v>2259428</v>
      </c>
      <c r="K28" t="s">
        <v>48</v>
      </c>
      <c r="L28" t="s">
        <v>34</v>
      </c>
      <c r="M28" t="s">
        <v>78</v>
      </c>
      <c r="N28" s="6">
        <v>15</v>
      </c>
      <c r="O28" t="s">
        <v>2531</v>
      </c>
      <c r="P28">
        <f t="shared" si="0"/>
        <v>53</v>
      </c>
    </row>
    <row r="29" spans="1:19" x14ac:dyDescent="0.2">
      <c r="A29" t="s">
        <v>1744</v>
      </c>
      <c r="B29" t="s">
        <v>114</v>
      </c>
      <c r="C29" t="s">
        <v>92</v>
      </c>
      <c r="D29" s="4">
        <v>36529</v>
      </c>
      <c r="E29" s="4">
        <v>45323</v>
      </c>
      <c r="F29" s="9" t="s">
        <v>2536</v>
      </c>
      <c r="G29" t="s">
        <v>100</v>
      </c>
      <c r="H29" t="s">
        <v>61</v>
      </c>
      <c r="I29" t="s">
        <v>2535</v>
      </c>
      <c r="J29" s="7">
        <v>4354000</v>
      </c>
      <c r="K29" t="s">
        <v>71</v>
      </c>
      <c r="L29" t="s">
        <v>2527</v>
      </c>
      <c r="M29" t="s">
        <v>24</v>
      </c>
      <c r="N29" s="6" t="s">
        <v>2525</v>
      </c>
      <c r="O29" t="s">
        <v>2531</v>
      </c>
      <c r="P29">
        <f t="shared" si="0"/>
        <v>24</v>
      </c>
    </row>
    <row r="30" spans="1:19" x14ac:dyDescent="0.2">
      <c r="A30" t="s">
        <v>1745</v>
      </c>
      <c r="B30" t="s">
        <v>114</v>
      </c>
      <c r="C30" t="s">
        <v>92</v>
      </c>
      <c r="D30" s="4">
        <v>26365</v>
      </c>
      <c r="E30" s="4">
        <v>45425</v>
      </c>
      <c r="F30" s="9">
        <v>45430</v>
      </c>
      <c r="G30" t="s">
        <v>74</v>
      </c>
      <c r="H30" t="s">
        <v>2528</v>
      </c>
      <c r="I30" t="s">
        <v>2533</v>
      </c>
      <c r="J30" s="7">
        <v>2030000</v>
      </c>
      <c r="K30" t="s">
        <v>48</v>
      </c>
      <c r="L30" t="s">
        <v>2527</v>
      </c>
      <c r="M30" t="s">
        <v>24</v>
      </c>
      <c r="N30" s="6">
        <v>5</v>
      </c>
      <c r="O30" t="s">
        <v>25</v>
      </c>
      <c r="P30">
        <f t="shared" si="0"/>
        <v>52</v>
      </c>
    </row>
    <row r="31" spans="1:19" x14ac:dyDescent="0.2">
      <c r="A31" t="s">
        <v>117</v>
      </c>
      <c r="B31" t="s">
        <v>118</v>
      </c>
      <c r="C31" t="s">
        <v>28</v>
      </c>
      <c r="D31" s="4">
        <v>23271</v>
      </c>
      <c r="E31" s="4">
        <v>45308</v>
      </c>
      <c r="F31" s="9">
        <v>45317</v>
      </c>
      <c r="G31" t="s">
        <v>29</v>
      </c>
      <c r="H31" t="s">
        <v>19</v>
      </c>
      <c r="I31" t="s">
        <v>67</v>
      </c>
      <c r="J31" s="7">
        <v>3621120</v>
      </c>
      <c r="K31" t="s">
        <v>43</v>
      </c>
      <c r="L31" t="s">
        <v>34</v>
      </c>
      <c r="M31" t="s">
        <v>24</v>
      </c>
      <c r="N31" s="6">
        <v>9</v>
      </c>
      <c r="O31" t="s">
        <v>36</v>
      </c>
      <c r="P31">
        <f t="shared" si="0"/>
        <v>61</v>
      </c>
    </row>
    <row r="32" spans="1:19" x14ac:dyDescent="0.2">
      <c r="A32" t="s">
        <v>1746</v>
      </c>
      <c r="B32" t="s">
        <v>118</v>
      </c>
      <c r="C32" t="s">
        <v>39</v>
      </c>
      <c r="D32" s="4">
        <v>31994</v>
      </c>
      <c r="E32" s="4">
        <v>45416</v>
      </c>
      <c r="F32" s="9">
        <v>45424</v>
      </c>
      <c r="G32" t="s">
        <v>29</v>
      </c>
      <c r="H32" t="s">
        <v>19</v>
      </c>
      <c r="I32" t="s">
        <v>2534</v>
      </c>
      <c r="J32" s="7">
        <v>5620280</v>
      </c>
      <c r="K32" t="s">
        <v>48</v>
      </c>
      <c r="L32" t="s">
        <v>2527</v>
      </c>
      <c r="M32" t="s">
        <v>35</v>
      </c>
      <c r="N32" s="6">
        <v>8</v>
      </c>
      <c r="O32" t="s">
        <v>25</v>
      </c>
      <c r="P32">
        <f t="shared" si="0"/>
        <v>37</v>
      </c>
    </row>
    <row r="33" spans="1:16" x14ac:dyDescent="0.2">
      <c r="A33" t="s">
        <v>1747</v>
      </c>
      <c r="B33" t="s">
        <v>119</v>
      </c>
      <c r="C33" t="s">
        <v>92</v>
      </c>
      <c r="D33" s="4">
        <v>39989</v>
      </c>
      <c r="E33" s="4">
        <v>45313</v>
      </c>
      <c r="F33" s="9" t="s">
        <v>2536</v>
      </c>
      <c r="G33" t="s">
        <v>100</v>
      </c>
      <c r="H33" t="s">
        <v>61</v>
      </c>
      <c r="I33" t="s">
        <v>67</v>
      </c>
      <c r="J33" s="7">
        <v>2383904</v>
      </c>
      <c r="K33" t="s">
        <v>48</v>
      </c>
      <c r="L33" t="s">
        <v>23</v>
      </c>
      <c r="M33" t="s">
        <v>78</v>
      </c>
      <c r="N33" s="6" t="s">
        <v>2525</v>
      </c>
      <c r="O33" t="s">
        <v>36</v>
      </c>
      <c r="P33">
        <f t="shared" si="0"/>
        <v>15</v>
      </c>
    </row>
    <row r="34" spans="1:16" x14ac:dyDescent="0.2">
      <c r="A34" t="s">
        <v>1748</v>
      </c>
      <c r="B34" t="s">
        <v>82</v>
      </c>
      <c r="C34" t="s">
        <v>92</v>
      </c>
      <c r="D34" s="4">
        <v>20947</v>
      </c>
      <c r="E34" s="4">
        <v>45296</v>
      </c>
      <c r="F34" s="9">
        <v>45302</v>
      </c>
      <c r="G34" t="s">
        <v>72</v>
      </c>
      <c r="H34" t="s">
        <v>2529</v>
      </c>
      <c r="I34" t="s">
        <v>41</v>
      </c>
      <c r="J34" s="7">
        <v>5409048</v>
      </c>
      <c r="K34" t="s">
        <v>48</v>
      </c>
      <c r="L34" t="s">
        <v>23</v>
      </c>
      <c r="M34" t="s">
        <v>35</v>
      </c>
      <c r="N34" s="6">
        <v>6</v>
      </c>
      <c r="O34" t="s">
        <v>25</v>
      </c>
      <c r="P34">
        <f t="shared" si="0"/>
        <v>67</v>
      </c>
    </row>
    <row r="35" spans="1:16" x14ac:dyDescent="0.2">
      <c r="A35" t="s">
        <v>121</v>
      </c>
      <c r="B35" t="s">
        <v>87</v>
      </c>
      <c r="C35" t="s">
        <v>28</v>
      </c>
      <c r="D35" s="4">
        <v>22012</v>
      </c>
      <c r="E35" s="4">
        <v>45411</v>
      </c>
      <c r="F35" s="9">
        <v>45414</v>
      </c>
      <c r="G35" t="s">
        <v>46</v>
      </c>
      <c r="H35" t="s">
        <v>30</v>
      </c>
      <c r="I35" t="s">
        <v>67</v>
      </c>
      <c r="J35" s="7">
        <v>4847020</v>
      </c>
      <c r="K35" t="s">
        <v>48</v>
      </c>
      <c r="L35" t="s">
        <v>2527</v>
      </c>
      <c r="M35" t="s">
        <v>78</v>
      </c>
      <c r="N35" s="6">
        <v>3</v>
      </c>
      <c r="O35" t="s">
        <v>25</v>
      </c>
      <c r="P35">
        <f t="shared" si="0"/>
        <v>64</v>
      </c>
    </row>
    <row r="36" spans="1:16" x14ac:dyDescent="0.2">
      <c r="A36" t="s">
        <v>1749</v>
      </c>
      <c r="B36" t="s">
        <v>91</v>
      </c>
      <c r="C36" t="s">
        <v>92</v>
      </c>
      <c r="D36" s="4">
        <v>28146</v>
      </c>
      <c r="E36" s="4">
        <v>45436</v>
      </c>
      <c r="F36" s="9">
        <v>45443</v>
      </c>
      <c r="G36" t="s">
        <v>74</v>
      </c>
      <c r="H36" t="s">
        <v>2528</v>
      </c>
      <c r="I36" t="s">
        <v>2534</v>
      </c>
      <c r="J36" s="7">
        <v>3010056</v>
      </c>
      <c r="K36" t="s">
        <v>71</v>
      </c>
      <c r="L36" t="s">
        <v>2527</v>
      </c>
      <c r="M36" t="s">
        <v>35</v>
      </c>
      <c r="N36" s="6">
        <v>7</v>
      </c>
      <c r="O36" t="s">
        <v>2531</v>
      </c>
      <c r="P36">
        <f t="shared" si="0"/>
        <v>47</v>
      </c>
    </row>
    <row r="37" spans="1:16" x14ac:dyDescent="0.2">
      <c r="A37" t="s">
        <v>1750</v>
      </c>
      <c r="B37" t="s">
        <v>87</v>
      </c>
      <c r="C37" t="s">
        <v>28</v>
      </c>
      <c r="D37" s="4">
        <v>24035</v>
      </c>
      <c r="E37" s="4">
        <v>45449</v>
      </c>
      <c r="F37" s="9">
        <v>45463</v>
      </c>
      <c r="G37" t="s">
        <v>83</v>
      </c>
      <c r="H37" t="s">
        <v>66</v>
      </c>
      <c r="I37" t="s">
        <v>67</v>
      </c>
      <c r="J37" s="7">
        <v>969500</v>
      </c>
      <c r="K37" t="s">
        <v>71</v>
      </c>
      <c r="L37" t="s">
        <v>23</v>
      </c>
      <c r="M37" t="s">
        <v>78</v>
      </c>
      <c r="N37" s="6">
        <v>14</v>
      </c>
      <c r="O37" t="s">
        <v>36</v>
      </c>
      <c r="P37">
        <f t="shared" si="0"/>
        <v>59</v>
      </c>
    </row>
    <row r="38" spans="1:16" x14ac:dyDescent="0.2">
      <c r="A38" t="s">
        <v>1751</v>
      </c>
      <c r="B38" t="s">
        <v>64</v>
      </c>
      <c r="C38" t="s">
        <v>28</v>
      </c>
      <c r="D38" s="4">
        <v>28914</v>
      </c>
      <c r="E38" s="4">
        <v>45416</v>
      </c>
      <c r="F38" s="9">
        <v>45421</v>
      </c>
      <c r="G38" t="s">
        <v>60</v>
      </c>
      <c r="H38" t="s">
        <v>66</v>
      </c>
      <c r="I38" t="s">
        <v>2534</v>
      </c>
      <c r="J38" s="7">
        <v>2508380</v>
      </c>
      <c r="K38" t="s">
        <v>43</v>
      </c>
      <c r="L38" t="s">
        <v>23</v>
      </c>
      <c r="M38" t="s">
        <v>35</v>
      </c>
      <c r="N38" s="6">
        <v>5</v>
      </c>
      <c r="O38" t="s">
        <v>36</v>
      </c>
      <c r="P38">
        <f t="shared" si="0"/>
        <v>45</v>
      </c>
    </row>
    <row r="39" spans="1:16" x14ac:dyDescent="0.2">
      <c r="A39" t="s">
        <v>1752</v>
      </c>
      <c r="B39" t="s">
        <v>27</v>
      </c>
      <c r="C39" t="s">
        <v>39</v>
      </c>
      <c r="D39" s="4">
        <v>26138</v>
      </c>
      <c r="E39" s="4">
        <v>45457</v>
      </c>
      <c r="F39" s="9">
        <v>45458</v>
      </c>
      <c r="G39" t="s">
        <v>60</v>
      </c>
      <c r="H39" t="s">
        <v>66</v>
      </c>
      <c r="I39" t="s">
        <v>2533</v>
      </c>
      <c r="J39" s="7">
        <v>2093000</v>
      </c>
      <c r="K39" t="s">
        <v>43</v>
      </c>
      <c r="L39" t="s">
        <v>2527</v>
      </c>
      <c r="M39" t="s">
        <v>78</v>
      </c>
      <c r="N39" s="6">
        <v>1</v>
      </c>
      <c r="O39" t="s">
        <v>36</v>
      </c>
      <c r="P39">
        <f t="shared" si="0"/>
        <v>53</v>
      </c>
    </row>
    <row r="40" spans="1:16" x14ac:dyDescent="0.2">
      <c r="A40" t="s">
        <v>1753</v>
      </c>
      <c r="B40" t="s">
        <v>27</v>
      </c>
      <c r="C40" t="s">
        <v>92</v>
      </c>
      <c r="D40" s="4">
        <v>29792</v>
      </c>
      <c r="E40" s="4">
        <v>45361</v>
      </c>
      <c r="F40" s="9">
        <v>45363</v>
      </c>
      <c r="G40" t="s">
        <v>83</v>
      </c>
      <c r="H40" t="s">
        <v>66</v>
      </c>
      <c r="I40" t="s">
        <v>2534</v>
      </c>
      <c r="J40" s="7">
        <v>4515084</v>
      </c>
      <c r="K40" t="s">
        <v>48</v>
      </c>
      <c r="L40" t="s">
        <v>23</v>
      </c>
      <c r="M40" t="s">
        <v>24</v>
      </c>
      <c r="N40" s="6">
        <v>2</v>
      </c>
      <c r="O40" t="s">
        <v>2531</v>
      </c>
      <c r="P40">
        <f t="shared" si="0"/>
        <v>43</v>
      </c>
    </row>
    <row r="41" spans="1:16" x14ac:dyDescent="0.2">
      <c r="A41" t="s">
        <v>1754</v>
      </c>
      <c r="B41" t="s">
        <v>85</v>
      </c>
      <c r="C41" t="s">
        <v>92</v>
      </c>
      <c r="D41" s="4">
        <v>21558</v>
      </c>
      <c r="E41" s="4">
        <v>45367</v>
      </c>
      <c r="F41" s="9">
        <v>45372</v>
      </c>
      <c r="G41" t="s">
        <v>40</v>
      </c>
      <c r="H41" t="s">
        <v>75</v>
      </c>
      <c r="I41" t="s">
        <v>2533</v>
      </c>
      <c r="J41" s="7">
        <v>727996</v>
      </c>
      <c r="K41" t="s">
        <v>43</v>
      </c>
      <c r="L41" t="s">
        <v>2527</v>
      </c>
      <c r="M41" t="s">
        <v>24</v>
      </c>
      <c r="N41" s="6">
        <v>5</v>
      </c>
      <c r="O41" t="s">
        <v>36</v>
      </c>
      <c r="P41">
        <f t="shared" si="0"/>
        <v>65</v>
      </c>
    </row>
    <row r="42" spans="1:16" x14ac:dyDescent="0.2">
      <c r="A42" t="s">
        <v>132</v>
      </c>
      <c r="B42" t="s">
        <v>64</v>
      </c>
      <c r="C42" t="s">
        <v>92</v>
      </c>
      <c r="D42" s="4">
        <v>27581</v>
      </c>
      <c r="E42" s="4">
        <v>45414</v>
      </c>
      <c r="F42" s="9">
        <v>45415</v>
      </c>
      <c r="G42" t="s">
        <v>100</v>
      </c>
      <c r="H42" t="s">
        <v>61</v>
      </c>
      <c r="I42" t="s">
        <v>41</v>
      </c>
      <c r="J42" s="7">
        <v>878876</v>
      </c>
      <c r="K42" t="s">
        <v>71</v>
      </c>
      <c r="L42" t="s">
        <v>34</v>
      </c>
      <c r="M42" t="s">
        <v>24</v>
      </c>
      <c r="N42" s="6">
        <v>1</v>
      </c>
      <c r="O42" t="s">
        <v>25</v>
      </c>
      <c r="P42">
        <f t="shared" si="0"/>
        <v>49</v>
      </c>
    </row>
    <row r="43" spans="1:16" x14ac:dyDescent="0.2">
      <c r="A43" t="s">
        <v>133</v>
      </c>
      <c r="B43" t="s">
        <v>119</v>
      </c>
      <c r="C43" t="s">
        <v>92</v>
      </c>
      <c r="D43" s="4">
        <v>21055</v>
      </c>
      <c r="E43" s="4">
        <v>45322</v>
      </c>
      <c r="F43" s="9">
        <v>45335</v>
      </c>
      <c r="G43" t="s">
        <v>40</v>
      </c>
      <c r="H43" t="s">
        <v>75</v>
      </c>
      <c r="I43" t="s">
        <v>2533</v>
      </c>
      <c r="J43" s="7">
        <v>3521000</v>
      </c>
      <c r="K43" t="s">
        <v>43</v>
      </c>
      <c r="L43" t="s">
        <v>2527</v>
      </c>
      <c r="M43" t="s">
        <v>78</v>
      </c>
      <c r="N43" s="6">
        <v>13</v>
      </c>
      <c r="O43" t="s">
        <v>2531</v>
      </c>
      <c r="P43">
        <f t="shared" si="0"/>
        <v>67</v>
      </c>
    </row>
    <row r="44" spans="1:16" x14ac:dyDescent="0.2">
      <c r="A44" t="s">
        <v>1755</v>
      </c>
      <c r="B44" t="s">
        <v>16</v>
      </c>
      <c r="C44" t="s">
        <v>39</v>
      </c>
      <c r="D44" s="4">
        <v>25072</v>
      </c>
      <c r="E44" s="4">
        <v>45359</v>
      </c>
      <c r="F44" s="9">
        <v>45362</v>
      </c>
      <c r="G44" t="s">
        <v>46</v>
      </c>
      <c r="H44" t="s">
        <v>30</v>
      </c>
      <c r="I44" t="s">
        <v>2533</v>
      </c>
      <c r="J44" s="7">
        <v>3854984</v>
      </c>
      <c r="K44" t="s">
        <v>48</v>
      </c>
      <c r="L44" t="s">
        <v>34</v>
      </c>
      <c r="M44" t="s">
        <v>35</v>
      </c>
      <c r="N44" s="6">
        <v>3</v>
      </c>
      <c r="O44" t="s">
        <v>36</v>
      </c>
      <c r="P44">
        <f t="shared" si="0"/>
        <v>56</v>
      </c>
    </row>
    <row r="45" spans="1:16" x14ac:dyDescent="0.2">
      <c r="A45" t="s">
        <v>1756</v>
      </c>
      <c r="B45" t="s">
        <v>114</v>
      </c>
      <c r="C45" t="s">
        <v>92</v>
      </c>
      <c r="D45" s="4">
        <v>25912</v>
      </c>
      <c r="E45" s="4">
        <v>45452</v>
      </c>
      <c r="F45" s="9">
        <v>45461</v>
      </c>
      <c r="G45" t="s">
        <v>72</v>
      </c>
      <c r="H45" t="s">
        <v>2529</v>
      </c>
      <c r="I45" t="s">
        <v>2533</v>
      </c>
      <c r="J45" s="7">
        <v>1474852</v>
      </c>
      <c r="K45" t="s">
        <v>48</v>
      </c>
      <c r="L45" t="s">
        <v>23</v>
      </c>
      <c r="M45" t="s">
        <v>78</v>
      </c>
      <c r="N45" s="6">
        <v>9</v>
      </c>
      <c r="O45" t="s">
        <v>2531</v>
      </c>
      <c r="P45">
        <f t="shared" si="0"/>
        <v>54</v>
      </c>
    </row>
    <row r="46" spans="1:16" x14ac:dyDescent="0.2">
      <c r="A46" t="s">
        <v>1757</v>
      </c>
      <c r="B46" t="s">
        <v>114</v>
      </c>
      <c r="C46" t="s">
        <v>92</v>
      </c>
      <c r="D46" s="4">
        <v>33622</v>
      </c>
      <c r="E46" s="4">
        <v>45471</v>
      </c>
      <c r="F46" s="9">
        <v>45480</v>
      </c>
      <c r="G46" t="s">
        <v>100</v>
      </c>
      <c r="H46" t="s">
        <v>61</v>
      </c>
      <c r="I46" t="s">
        <v>2535</v>
      </c>
      <c r="J46" s="7">
        <v>682732</v>
      </c>
      <c r="K46" t="s">
        <v>48</v>
      </c>
      <c r="L46" t="s">
        <v>2527</v>
      </c>
      <c r="M46" t="s">
        <v>35</v>
      </c>
      <c r="N46" s="6">
        <v>9</v>
      </c>
      <c r="O46" t="s">
        <v>2531</v>
      </c>
      <c r="P46">
        <f t="shared" si="0"/>
        <v>32</v>
      </c>
    </row>
    <row r="47" spans="1:16" x14ac:dyDescent="0.2">
      <c r="A47" t="s">
        <v>1758</v>
      </c>
      <c r="B47" t="s">
        <v>119</v>
      </c>
      <c r="C47" t="s">
        <v>92</v>
      </c>
      <c r="D47" s="4">
        <v>27095</v>
      </c>
      <c r="E47" s="4">
        <v>45336</v>
      </c>
      <c r="F47" s="9">
        <v>45344</v>
      </c>
      <c r="G47" t="s">
        <v>46</v>
      </c>
      <c r="H47" t="s">
        <v>30</v>
      </c>
      <c r="I47" t="s">
        <v>2533</v>
      </c>
      <c r="J47" s="7">
        <v>5280800</v>
      </c>
      <c r="K47" t="s">
        <v>48</v>
      </c>
      <c r="L47" t="s">
        <v>2527</v>
      </c>
      <c r="M47" t="s">
        <v>78</v>
      </c>
      <c r="N47" s="6">
        <v>8</v>
      </c>
      <c r="O47" t="s">
        <v>2531</v>
      </c>
      <c r="P47">
        <f t="shared" si="0"/>
        <v>50</v>
      </c>
    </row>
    <row r="48" spans="1:16" x14ac:dyDescent="0.2">
      <c r="A48" t="s">
        <v>139</v>
      </c>
      <c r="B48" t="s">
        <v>140</v>
      </c>
      <c r="C48" t="s">
        <v>92</v>
      </c>
      <c r="D48" s="4">
        <v>31752</v>
      </c>
      <c r="E48" s="4">
        <v>45365</v>
      </c>
      <c r="F48" s="9">
        <v>45374</v>
      </c>
      <c r="G48" t="s">
        <v>100</v>
      </c>
      <c r="H48" t="s">
        <v>61</v>
      </c>
      <c r="I48" t="s">
        <v>2533</v>
      </c>
      <c r="J48" s="7">
        <v>2156000</v>
      </c>
      <c r="K48" t="s">
        <v>48</v>
      </c>
      <c r="L48" t="s">
        <v>2527</v>
      </c>
      <c r="M48" t="s">
        <v>24</v>
      </c>
      <c r="N48" s="6">
        <v>9</v>
      </c>
      <c r="O48" t="s">
        <v>2531</v>
      </c>
      <c r="P48">
        <f t="shared" si="0"/>
        <v>38</v>
      </c>
    </row>
    <row r="49" spans="1:16" x14ac:dyDescent="0.2">
      <c r="A49" t="s">
        <v>1759</v>
      </c>
      <c r="B49" t="s">
        <v>114</v>
      </c>
      <c r="C49" t="s">
        <v>28</v>
      </c>
      <c r="D49" s="4">
        <v>20040</v>
      </c>
      <c r="E49" s="4">
        <v>45424</v>
      </c>
      <c r="F49" s="9">
        <v>45432</v>
      </c>
      <c r="G49" t="s">
        <v>88</v>
      </c>
      <c r="H49" t="s">
        <v>66</v>
      </c>
      <c r="I49" t="s">
        <v>2533</v>
      </c>
      <c r="J49" s="7">
        <v>4616928</v>
      </c>
      <c r="K49" t="s">
        <v>48</v>
      </c>
      <c r="L49" t="s">
        <v>2527</v>
      </c>
      <c r="M49" t="s">
        <v>24</v>
      </c>
      <c r="N49" s="6">
        <v>8</v>
      </c>
      <c r="O49" t="s">
        <v>2531</v>
      </c>
      <c r="P49">
        <f t="shared" si="0"/>
        <v>70</v>
      </c>
    </row>
    <row r="50" spans="1:16" x14ac:dyDescent="0.2">
      <c r="A50" t="s">
        <v>1760</v>
      </c>
      <c r="B50" t="s">
        <v>91</v>
      </c>
      <c r="C50" t="s">
        <v>28</v>
      </c>
      <c r="D50" s="4">
        <v>23453</v>
      </c>
      <c r="E50" s="4">
        <v>45433</v>
      </c>
      <c r="F50" s="9">
        <v>45435</v>
      </c>
      <c r="G50" t="s">
        <v>74</v>
      </c>
      <c r="H50" t="s">
        <v>2528</v>
      </c>
      <c r="I50" t="s">
        <v>67</v>
      </c>
      <c r="J50" s="7">
        <v>5378872</v>
      </c>
      <c r="K50" t="s">
        <v>71</v>
      </c>
      <c r="L50" t="s">
        <v>2527</v>
      </c>
      <c r="M50" t="s">
        <v>24</v>
      </c>
      <c r="N50" s="6">
        <v>2</v>
      </c>
      <c r="O50" t="s">
        <v>36</v>
      </c>
      <c r="P50">
        <f t="shared" si="0"/>
        <v>60</v>
      </c>
    </row>
    <row r="51" spans="1:16" x14ac:dyDescent="0.2">
      <c r="A51" t="s">
        <v>1761</v>
      </c>
      <c r="B51" t="s">
        <v>91</v>
      </c>
      <c r="C51" t="s">
        <v>28</v>
      </c>
      <c r="D51" s="4">
        <v>36327</v>
      </c>
      <c r="E51" s="4">
        <v>45390</v>
      </c>
      <c r="F51" s="9">
        <v>45399</v>
      </c>
      <c r="G51" t="s">
        <v>74</v>
      </c>
      <c r="H51" t="s">
        <v>2528</v>
      </c>
      <c r="I51" t="s">
        <v>41</v>
      </c>
      <c r="J51" s="7">
        <v>3321500</v>
      </c>
      <c r="K51" t="s">
        <v>43</v>
      </c>
      <c r="L51" t="s">
        <v>2527</v>
      </c>
      <c r="M51" t="s">
        <v>35</v>
      </c>
      <c r="N51" s="6">
        <v>9</v>
      </c>
      <c r="O51" t="s">
        <v>36</v>
      </c>
      <c r="P51">
        <f t="shared" si="0"/>
        <v>25</v>
      </c>
    </row>
    <row r="52" spans="1:16" x14ac:dyDescent="0.2">
      <c r="A52" t="s">
        <v>1762</v>
      </c>
      <c r="B52" t="s">
        <v>119</v>
      </c>
      <c r="C52" t="s">
        <v>28</v>
      </c>
      <c r="D52" s="4">
        <v>34308</v>
      </c>
      <c r="E52" s="4">
        <v>45406</v>
      </c>
      <c r="F52" s="9">
        <v>45415</v>
      </c>
      <c r="G52" t="s">
        <v>100</v>
      </c>
      <c r="H52" t="s">
        <v>61</v>
      </c>
      <c r="I52" t="s">
        <v>41</v>
      </c>
      <c r="J52" s="7">
        <v>1833192</v>
      </c>
      <c r="K52" t="s">
        <v>43</v>
      </c>
      <c r="L52" t="s">
        <v>2527</v>
      </c>
      <c r="M52" t="s">
        <v>35</v>
      </c>
      <c r="N52" s="6">
        <v>9</v>
      </c>
      <c r="O52" t="s">
        <v>25</v>
      </c>
      <c r="P52">
        <f t="shared" si="0"/>
        <v>31</v>
      </c>
    </row>
    <row r="53" spans="1:16" x14ac:dyDescent="0.2">
      <c r="A53" t="s">
        <v>1763</v>
      </c>
      <c r="B53" t="s">
        <v>56</v>
      </c>
      <c r="C53" t="s">
        <v>28</v>
      </c>
      <c r="D53" s="4">
        <v>30756</v>
      </c>
      <c r="E53" s="4">
        <v>45461</v>
      </c>
      <c r="F53" s="9">
        <v>45462</v>
      </c>
      <c r="G53" t="s">
        <v>40</v>
      </c>
      <c r="H53" t="s">
        <v>75</v>
      </c>
      <c r="I53" t="s">
        <v>2533</v>
      </c>
      <c r="J53" s="7">
        <v>1150460</v>
      </c>
      <c r="K53" t="s">
        <v>48</v>
      </c>
      <c r="L53" t="s">
        <v>2527</v>
      </c>
      <c r="M53" t="s">
        <v>35</v>
      </c>
      <c r="N53" s="6">
        <v>1</v>
      </c>
      <c r="O53" t="s">
        <v>2531</v>
      </c>
      <c r="P53">
        <f t="shared" si="0"/>
        <v>40</v>
      </c>
    </row>
    <row r="54" spans="1:16" x14ac:dyDescent="0.2">
      <c r="A54" t="s">
        <v>149</v>
      </c>
      <c r="B54" t="s">
        <v>150</v>
      </c>
      <c r="C54" t="s">
        <v>28</v>
      </c>
      <c r="D54" s="4">
        <v>26948</v>
      </c>
      <c r="E54" s="4">
        <v>45451</v>
      </c>
      <c r="F54" s="9">
        <v>45465</v>
      </c>
      <c r="G54" t="s">
        <v>72</v>
      </c>
      <c r="H54" t="s">
        <v>2529</v>
      </c>
      <c r="I54" t="s">
        <v>2535</v>
      </c>
      <c r="J54" s="7">
        <v>3073000</v>
      </c>
      <c r="K54" t="s">
        <v>71</v>
      </c>
      <c r="L54" t="s">
        <v>34</v>
      </c>
      <c r="M54" t="s">
        <v>24</v>
      </c>
      <c r="N54" s="6">
        <v>14</v>
      </c>
      <c r="O54" t="s">
        <v>2531</v>
      </c>
      <c r="P54">
        <f t="shared" si="0"/>
        <v>51</v>
      </c>
    </row>
    <row r="55" spans="1:16" x14ac:dyDescent="0.2">
      <c r="A55" t="s">
        <v>1764</v>
      </c>
      <c r="B55" t="s">
        <v>45</v>
      </c>
      <c r="C55" t="s">
        <v>28</v>
      </c>
      <c r="D55" s="4">
        <v>21225</v>
      </c>
      <c r="E55" s="4">
        <v>45317</v>
      </c>
      <c r="F55" s="9">
        <v>45329</v>
      </c>
      <c r="G55" t="s">
        <v>88</v>
      </c>
      <c r="H55" t="s">
        <v>66</v>
      </c>
      <c r="I55" t="s">
        <v>2533</v>
      </c>
      <c r="J55" s="7">
        <v>749000</v>
      </c>
      <c r="K55" t="s">
        <v>48</v>
      </c>
      <c r="L55" t="s">
        <v>2527</v>
      </c>
      <c r="M55" t="s">
        <v>78</v>
      </c>
      <c r="N55" s="6">
        <v>12</v>
      </c>
      <c r="O55" t="s">
        <v>2531</v>
      </c>
      <c r="P55">
        <f t="shared" si="0"/>
        <v>66</v>
      </c>
    </row>
    <row r="56" spans="1:16" x14ac:dyDescent="0.2">
      <c r="A56" t="s">
        <v>1765</v>
      </c>
      <c r="B56" t="s">
        <v>119</v>
      </c>
      <c r="C56" t="s">
        <v>28</v>
      </c>
      <c r="D56" s="4">
        <v>24164</v>
      </c>
      <c r="E56" s="4">
        <v>45336</v>
      </c>
      <c r="F56" s="9">
        <v>45343</v>
      </c>
      <c r="G56" t="s">
        <v>100</v>
      </c>
      <c r="H56" t="s">
        <v>61</v>
      </c>
      <c r="I56" t="s">
        <v>67</v>
      </c>
      <c r="J56" s="7">
        <v>2168900</v>
      </c>
      <c r="K56" t="s">
        <v>48</v>
      </c>
      <c r="L56" t="s">
        <v>2527</v>
      </c>
      <c r="M56" t="s">
        <v>78</v>
      </c>
      <c r="N56" s="6">
        <v>7</v>
      </c>
      <c r="O56" t="s">
        <v>36</v>
      </c>
      <c r="P56">
        <f t="shared" si="0"/>
        <v>58</v>
      </c>
    </row>
    <row r="57" spans="1:16" x14ac:dyDescent="0.2">
      <c r="A57" t="s">
        <v>1766</v>
      </c>
      <c r="B57" t="s">
        <v>27</v>
      </c>
      <c r="C57" t="s">
        <v>28</v>
      </c>
      <c r="D57" s="4">
        <v>20684</v>
      </c>
      <c r="E57" s="4">
        <v>45380</v>
      </c>
      <c r="F57" s="9">
        <v>45387</v>
      </c>
      <c r="G57" t="s">
        <v>100</v>
      </c>
      <c r="H57" t="s">
        <v>61</v>
      </c>
      <c r="I57" t="s">
        <v>2533</v>
      </c>
      <c r="J57" s="7">
        <v>1912404</v>
      </c>
      <c r="K57" t="s">
        <v>71</v>
      </c>
      <c r="L57" t="s">
        <v>34</v>
      </c>
      <c r="M57" t="s">
        <v>35</v>
      </c>
      <c r="N57" s="6">
        <v>7</v>
      </c>
      <c r="O57" t="s">
        <v>2531</v>
      </c>
      <c r="P57">
        <f t="shared" si="0"/>
        <v>68</v>
      </c>
    </row>
    <row r="58" spans="1:16" x14ac:dyDescent="0.2">
      <c r="A58" t="s">
        <v>1767</v>
      </c>
      <c r="B58" t="s">
        <v>45</v>
      </c>
      <c r="C58" t="s">
        <v>92</v>
      </c>
      <c r="D58" s="4">
        <v>39832</v>
      </c>
      <c r="E58" s="4">
        <v>45362</v>
      </c>
      <c r="F58" s="9">
        <v>45373</v>
      </c>
      <c r="G58" t="s">
        <v>18</v>
      </c>
      <c r="H58" t="s">
        <v>2529</v>
      </c>
      <c r="I58" t="s">
        <v>2533</v>
      </c>
      <c r="J58" s="7">
        <v>2587592</v>
      </c>
      <c r="K58" t="s">
        <v>43</v>
      </c>
      <c r="L58" t="s">
        <v>2527</v>
      </c>
      <c r="M58" t="s">
        <v>35</v>
      </c>
      <c r="N58" s="6">
        <v>11</v>
      </c>
      <c r="O58" t="s">
        <v>36</v>
      </c>
      <c r="P58">
        <f t="shared" si="0"/>
        <v>15</v>
      </c>
    </row>
    <row r="59" spans="1:16" x14ac:dyDescent="0.2">
      <c r="A59" t="s">
        <v>1768</v>
      </c>
      <c r="B59" t="s">
        <v>87</v>
      </c>
      <c r="C59" t="s">
        <v>28</v>
      </c>
      <c r="D59" s="4">
        <v>21447</v>
      </c>
      <c r="E59" s="4">
        <v>45371</v>
      </c>
      <c r="F59" s="9" t="s">
        <v>2536</v>
      </c>
      <c r="G59" t="s">
        <v>83</v>
      </c>
      <c r="H59" t="s">
        <v>66</v>
      </c>
      <c r="I59" t="s">
        <v>67</v>
      </c>
      <c r="J59" s="7">
        <v>994000</v>
      </c>
      <c r="K59" t="s">
        <v>48</v>
      </c>
      <c r="L59" t="s">
        <v>2527</v>
      </c>
      <c r="M59" t="s">
        <v>35</v>
      </c>
      <c r="N59" s="6" t="s">
        <v>2525</v>
      </c>
      <c r="O59" t="s">
        <v>2531</v>
      </c>
      <c r="P59">
        <f t="shared" si="0"/>
        <v>66</v>
      </c>
    </row>
    <row r="60" spans="1:16" x14ac:dyDescent="0.2">
      <c r="A60" t="s">
        <v>1769</v>
      </c>
      <c r="B60" t="s">
        <v>105</v>
      </c>
      <c r="C60" t="s">
        <v>92</v>
      </c>
      <c r="D60" s="4">
        <v>27194</v>
      </c>
      <c r="E60" s="4">
        <v>45357</v>
      </c>
      <c r="F60" s="9">
        <v>45362</v>
      </c>
      <c r="G60" t="s">
        <v>74</v>
      </c>
      <c r="H60" t="s">
        <v>2528</v>
      </c>
      <c r="I60" t="s">
        <v>67</v>
      </c>
      <c r="J60" s="7">
        <v>1463536</v>
      </c>
      <c r="K60" t="s">
        <v>71</v>
      </c>
      <c r="L60" t="s">
        <v>2527</v>
      </c>
      <c r="M60" t="s">
        <v>35</v>
      </c>
      <c r="N60" s="6">
        <v>5</v>
      </c>
      <c r="O60" t="s">
        <v>36</v>
      </c>
      <c r="P60">
        <f t="shared" si="0"/>
        <v>50</v>
      </c>
    </row>
    <row r="61" spans="1:16" x14ac:dyDescent="0.2">
      <c r="A61" t="s">
        <v>1770</v>
      </c>
      <c r="B61" t="s">
        <v>16</v>
      </c>
      <c r="C61" t="s">
        <v>28</v>
      </c>
      <c r="D61" s="4">
        <v>30341</v>
      </c>
      <c r="E61" s="4">
        <v>45441</v>
      </c>
      <c r="F61" s="9">
        <v>45447</v>
      </c>
      <c r="G61" t="s">
        <v>72</v>
      </c>
      <c r="H61" t="s">
        <v>2529</v>
      </c>
      <c r="I61" t="s">
        <v>2533</v>
      </c>
      <c r="J61" s="7">
        <v>528500</v>
      </c>
      <c r="K61" t="s">
        <v>43</v>
      </c>
      <c r="L61" t="s">
        <v>23</v>
      </c>
      <c r="M61" t="s">
        <v>24</v>
      </c>
      <c r="N61" s="6">
        <v>6</v>
      </c>
      <c r="O61" t="s">
        <v>36</v>
      </c>
      <c r="P61">
        <f t="shared" si="0"/>
        <v>41</v>
      </c>
    </row>
    <row r="62" spans="1:16" x14ac:dyDescent="0.2">
      <c r="A62" t="s">
        <v>1771</v>
      </c>
      <c r="B62" t="s">
        <v>45</v>
      </c>
      <c r="C62" t="s">
        <v>28</v>
      </c>
      <c r="D62" s="4">
        <v>31643</v>
      </c>
      <c r="E62" s="4">
        <v>45327</v>
      </c>
      <c r="F62" s="9">
        <v>45332</v>
      </c>
      <c r="G62" t="s">
        <v>74</v>
      </c>
      <c r="H62" t="s">
        <v>2528</v>
      </c>
      <c r="I62" t="s">
        <v>67</v>
      </c>
      <c r="J62" s="7">
        <v>4526400</v>
      </c>
      <c r="K62" t="s">
        <v>71</v>
      </c>
      <c r="L62" t="s">
        <v>2527</v>
      </c>
      <c r="M62" t="s">
        <v>78</v>
      </c>
      <c r="N62" s="6">
        <v>5</v>
      </c>
      <c r="O62" t="s">
        <v>2531</v>
      </c>
      <c r="P62">
        <f t="shared" si="0"/>
        <v>38</v>
      </c>
    </row>
    <row r="63" spans="1:16" x14ac:dyDescent="0.2">
      <c r="A63" t="s">
        <v>1772</v>
      </c>
      <c r="B63" t="s">
        <v>82</v>
      </c>
      <c r="C63" t="s">
        <v>92</v>
      </c>
      <c r="D63" s="4">
        <v>23327</v>
      </c>
      <c r="E63" s="4">
        <v>45459</v>
      </c>
      <c r="F63" s="9">
        <v>45469</v>
      </c>
      <c r="G63" t="s">
        <v>60</v>
      </c>
      <c r="H63" t="s">
        <v>66</v>
      </c>
      <c r="I63" t="s">
        <v>2534</v>
      </c>
      <c r="J63" s="7">
        <v>3236376</v>
      </c>
      <c r="K63" t="s">
        <v>71</v>
      </c>
      <c r="L63" t="s">
        <v>2527</v>
      </c>
      <c r="M63" t="s">
        <v>35</v>
      </c>
      <c r="N63" s="6">
        <v>10</v>
      </c>
      <c r="O63" t="s">
        <v>2531</v>
      </c>
      <c r="P63">
        <f t="shared" si="0"/>
        <v>61</v>
      </c>
    </row>
    <row r="64" spans="1:16" x14ac:dyDescent="0.2">
      <c r="A64" t="s">
        <v>1773</v>
      </c>
      <c r="B64" t="s">
        <v>27</v>
      </c>
      <c r="C64" t="s">
        <v>28</v>
      </c>
      <c r="D64" s="4">
        <v>30017</v>
      </c>
      <c r="E64" s="4">
        <v>45393</v>
      </c>
      <c r="F64" s="9">
        <v>45395</v>
      </c>
      <c r="G64" t="s">
        <v>74</v>
      </c>
      <c r="H64" t="s">
        <v>2528</v>
      </c>
      <c r="I64" t="s">
        <v>67</v>
      </c>
      <c r="J64" s="7">
        <v>5333608</v>
      </c>
      <c r="K64" t="s">
        <v>48</v>
      </c>
      <c r="L64" t="s">
        <v>2527</v>
      </c>
      <c r="M64" t="s">
        <v>35</v>
      </c>
      <c r="N64" s="6">
        <v>2</v>
      </c>
      <c r="O64" t="s">
        <v>2531</v>
      </c>
      <c r="P64">
        <f t="shared" si="0"/>
        <v>42</v>
      </c>
    </row>
    <row r="65" spans="1:16" x14ac:dyDescent="0.2">
      <c r="A65" t="s">
        <v>165</v>
      </c>
      <c r="B65" t="s">
        <v>150</v>
      </c>
      <c r="C65" t="s">
        <v>39</v>
      </c>
      <c r="D65" s="4">
        <v>36424</v>
      </c>
      <c r="E65" s="4">
        <v>45442</v>
      </c>
      <c r="F65" s="9">
        <v>45446</v>
      </c>
      <c r="G65" t="s">
        <v>46</v>
      </c>
      <c r="H65" t="s">
        <v>30</v>
      </c>
      <c r="I65" t="s">
        <v>2535</v>
      </c>
      <c r="J65" s="7">
        <v>367500</v>
      </c>
      <c r="K65" t="s">
        <v>48</v>
      </c>
      <c r="L65" t="s">
        <v>23</v>
      </c>
      <c r="M65" t="s">
        <v>24</v>
      </c>
      <c r="N65" s="6">
        <v>4</v>
      </c>
      <c r="O65" t="s">
        <v>25</v>
      </c>
      <c r="P65">
        <f t="shared" si="0"/>
        <v>25</v>
      </c>
    </row>
    <row r="66" spans="1:16" x14ac:dyDescent="0.2">
      <c r="A66" t="s">
        <v>167</v>
      </c>
      <c r="B66" t="s">
        <v>64</v>
      </c>
      <c r="C66" t="s">
        <v>28</v>
      </c>
      <c r="D66" s="4">
        <v>18750</v>
      </c>
      <c r="E66" s="4">
        <v>45352</v>
      </c>
      <c r="F66" s="9" t="s">
        <v>2536</v>
      </c>
      <c r="G66" t="s">
        <v>60</v>
      </c>
      <c r="H66" t="s">
        <v>66</v>
      </c>
      <c r="I66" t="s">
        <v>67</v>
      </c>
      <c r="J66" s="7">
        <v>3628664</v>
      </c>
      <c r="K66" t="s">
        <v>48</v>
      </c>
      <c r="L66" t="s">
        <v>2527</v>
      </c>
      <c r="M66" t="s">
        <v>78</v>
      </c>
      <c r="N66" s="6" t="s">
        <v>2525</v>
      </c>
      <c r="O66" t="s">
        <v>2531</v>
      </c>
      <c r="P66">
        <f t="shared" si="0"/>
        <v>73</v>
      </c>
    </row>
    <row r="67" spans="1:16" x14ac:dyDescent="0.2">
      <c r="A67" t="s">
        <v>169</v>
      </c>
      <c r="B67" t="s">
        <v>114</v>
      </c>
      <c r="C67" t="s">
        <v>92</v>
      </c>
      <c r="D67" s="4">
        <v>25523</v>
      </c>
      <c r="E67" s="4">
        <v>45460</v>
      </c>
      <c r="F67" s="9">
        <v>45461</v>
      </c>
      <c r="G67" t="s">
        <v>100</v>
      </c>
      <c r="H67" t="s">
        <v>61</v>
      </c>
      <c r="I67" t="s">
        <v>2533</v>
      </c>
      <c r="J67" s="7">
        <v>3670156</v>
      </c>
      <c r="K67" t="s">
        <v>71</v>
      </c>
      <c r="L67" t="s">
        <v>2527</v>
      </c>
      <c r="M67" t="s">
        <v>35</v>
      </c>
      <c r="N67" s="6">
        <v>1</v>
      </c>
      <c r="O67" t="s">
        <v>2531</v>
      </c>
      <c r="P67">
        <f t="shared" ref="P67:P130" si="1">YEAR(E67)-YEAR(D67)</f>
        <v>55</v>
      </c>
    </row>
    <row r="68" spans="1:16" x14ac:dyDescent="0.2">
      <c r="A68" t="s">
        <v>171</v>
      </c>
      <c r="B68" t="s">
        <v>150</v>
      </c>
      <c r="C68" t="s">
        <v>28</v>
      </c>
      <c r="D68" s="4">
        <v>27275</v>
      </c>
      <c r="E68" s="4">
        <v>45389</v>
      </c>
      <c r="F68" s="9">
        <v>45399</v>
      </c>
      <c r="G68" t="s">
        <v>74</v>
      </c>
      <c r="H68" t="s">
        <v>2528</v>
      </c>
      <c r="I68" t="s">
        <v>2534</v>
      </c>
      <c r="J68" s="7">
        <v>1259848</v>
      </c>
      <c r="K68" t="s">
        <v>71</v>
      </c>
      <c r="L68" t="s">
        <v>2527</v>
      </c>
      <c r="M68" t="s">
        <v>35</v>
      </c>
      <c r="N68" s="6">
        <v>10</v>
      </c>
      <c r="O68" t="s">
        <v>36</v>
      </c>
      <c r="P68">
        <f t="shared" si="1"/>
        <v>50</v>
      </c>
    </row>
    <row r="69" spans="1:16" x14ac:dyDescent="0.2">
      <c r="A69" t="s">
        <v>1774</v>
      </c>
      <c r="B69" t="s">
        <v>82</v>
      </c>
      <c r="C69" t="s">
        <v>28</v>
      </c>
      <c r="D69" s="4">
        <v>21379</v>
      </c>
      <c r="E69" s="4">
        <v>45401</v>
      </c>
      <c r="F69" s="9">
        <v>45407</v>
      </c>
      <c r="G69" t="s">
        <v>72</v>
      </c>
      <c r="H69" t="s">
        <v>2529</v>
      </c>
      <c r="I69" t="s">
        <v>67</v>
      </c>
      <c r="J69" s="7">
        <v>1078792</v>
      </c>
      <c r="K69" t="s">
        <v>48</v>
      </c>
      <c r="L69" t="s">
        <v>2527</v>
      </c>
      <c r="M69" t="s">
        <v>35</v>
      </c>
      <c r="N69" s="6">
        <v>6</v>
      </c>
      <c r="O69" t="s">
        <v>25</v>
      </c>
      <c r="P69">
        <f t="shared" si="1"/>
        <v>66</v>
      </c>
    </row>
    <row r="70" spans="1:16" x14ac:dyDescent="0.2">
      <c r="A70" t="s">
        <v>1775</v>
      </c>
      <c r="B70" t="s">
        <v>80</v>
      </c>
      <c r="C70" t="s">
        <v>92</v>
      </c>
      <c r="D70" s="4">
        <v>36666</v>
      </c>
      <c r="E70" s="4">
        <v>45463</v>
      </c>
      <c r="F70" s="9">
        <v>45477</v>
      </c>
      <c r="G70" t="s">
        <v>88</v>
      </c>
      <c r="H70" t="s">
        <v>66</v>
      </c>
      <c r="I70" t="s">
        <v>2535</v>
      </c>
      <c r="J70" s="7">
        <v>2586500</v>
      </c>
      <c r="K70" t="s">
        <v>48</v>
      </c>
      <c r="L70" t="s">
        <v>23</v>
      </c>
      <c r="M70" t="s">
        <v>35</v>
      </c>
      <c r="N70" s="6">
        <v>14</v>
      </c>
      <c r="O70" t="s">
        <v>25</v>
      </c>
      <c r="P70">
        <f t="shared" si="1"/>
        <v>24</v>
      </c>
    </row>
    <row r="71" spans="1:16" x14ac:dyDescent="0.2">
      <c r="A71" t="s">
        <v>1776</v>
      </c>
      <c r="B71" t="s">
        <v>27</v>
      </c>
      <c r="C71" t="s">
        <v>92</v>
      </c>
      <c r="D71" s="4">
        <v>22028</v>
      </c>
      <c r="E71" s="4">
        <v>45438</v>
      </c>
      <c r="F71" s="9">
        <v>45452</v>
      </c>
      <c r="G71" t="s">
        <v>18</v>
      </c>
      <c r="H71" t="s">
        <v>2529</v>
      </c>
      <c r="I71" t="s">
        <v>41</v>
      </c>
      <c r="J71" s="7">
        <v>2440484</v>
      </c>
      <c r="K71" t="s">
        <v>48</v>
      </c>
      <c r="L71" t="s">
        <v>2527</v>
      </c>
      <c r="M71" t="s">
        <v>24</v>
      </c>
      <c r="N71" s="6">
        <v>14</v>
      </c>
      <c r="O71" t="s">
        <v>36</v>
      </c>
      <c r="P71">
        <f t="shared" si="1"/>
        <v>64</v>
      </c>
    </row>
    <row r="72" spans="1:16" x14ac:dyDescent="0.2">
      <c r="A72" t="s">
        <v>1777</v>
      </c>
      <c r="B72" t="s">
        <v>64</v>
      </c>
      <c r="C72" t="s">
        <v>28</v>
      </c>
      <c r="D72" s="4">
        <v>22958</v>
      </c>
      <c r="E72" s="4">
        <v>45309</v>
      </c>
      <c r="F72" s="9">
        <v>45310</v>
      </c>
      <c r="G72" t="s">
        <v>40</v>
      </c>
      <c r="H72" t="s">
        <v>75</v>
      </c>
      <c r="I72" t="s">
        <v>2533</v>
      </c>
      <c r="J72" s="7">
        <v>3617348</v>
      </c>
      <c r="K72" t="s">
        <v>48</v>
      </c>
      <c r="L72" t="s">
        <v>23</v>
      </c>
      <c r="M72" t="s">
        <v>78</v>
      </c>
      <c r="N72" s="6">
        <v>1</v>
      </c>
      <c r="O72" t="s">
        <v>2531</v>
      </c>
      <c r="P72">
        <f t="shared" si="1"/>
        <v>62</v>
      </c>
    </row>
    <row r="73" spans="1:16" x14ac:dyDescent="0.2">
      <c r="A73" t="s">
        <v>1778</v>
      </c>
      <c r="B73" t="s">
        <v>150</v>
      </c>
      <c r="C73" t="s">
        <v>92</v>
      </c>
      <c r="D73" s="4">
        <v>23362</v>
      </c>
      <c r="E73" s="4">
        <v>45450</v>
      </c>
      <c r="F73" s="9">
        <v>45455</v>
      </c>
      <c r="G73" t="s">
        <v>72</v>
      </c>
      <c r="H73" t="s">
        <v>2529</v>
      </c>
      <c r="I73" t="s">
        <v>2533</v>
      </c>
      <c r="J73" s="7">
        <v>5065796</v>
      </c>
      <c r="K73" t="s">
        <v>71</v>
      </c>
      <c r="L73" t="s">
        <v>2527</v>
      </c>
      <c r="M73" t="s">
        <v>35</v>
      </c>
      <c r="N73" s="6">
        <v>5</v>
      </c>
      <c r="O73" t="s">
        <v>36</v>
      </c>
      <c r="P73">
        <f t="shared" si="1"/>
        <v>61</v>
      </c>
    </row>
    <row r="74" spans="1:16" x14ac:dyDescent="0.2">
      <c r="A74" t="s">
        <v>1779</v>
      </c>
      <c r="B74" t="s">
        <v>16</v>
      </c>
      <c r="C74" t="s">
        <v>92</v>
      </c>
      <c r="D74" s="4">
        <v>37699</v>
      </c>
      <c r="E74" s="4">
        <v>45426</v>
      </c>
      <c r="F74" s="9" t="s">
        <v>2536</v>
      </c>
      <c r="G74" t="s">
        <v>29</v>
      </c>
      <c r="H74" t="s">
        <v>19</v>
      </c>
      <c r="I74" t="s">
        <v>67</v>
      </c>
      <c r="J74" s="7">
        <v>433780</v>
      </c>
      <c r="K74" t="s">
        <v>48</v>
      </c>
      <c r="L74" t="s">
        <v>23</v>
      </c>
      <c r="M74" t="s">
        <v>35</v>
      </c>
      <c r="N74" s="6" t="s">
        <v>2525</v>
      </c>
      <c r="O74" t="s">
        <v>36</v>
      </c>
      <c r="P74">
        <f t="shared" si="1"/>
        <v>21</v>
      </c>
    </row>
    <row r="75" spans="1:16" x14ac:dyDescent="0.2">
      <c r="A75" t="s">
        <v>179</v>
      </c>
      <c r="B75" t="s">
        <v>64</v>
      </c>
      <c r="C75" t="s">
        <v>28</v>
      </c>
      <c r="D75" s="4">
        <v>32375</v>
      </c>
      <c r="E75" s="4">
        <v>45325</v>
      </c>
      <c r="F75" s="9">
        <v>45329</v>
      </c>
      <c r="G75" t="s">
        <v>74</v>
      </c>
      <c r="H75" t="s">
        <v>2528</v>
      </c>
      <c r="I75" t="s">
        <v>41</v>
      </c>
      <c r="J75" s="7">
        <v>701592</v>
      </c>
      <c r="K75" t="s">
        <v>48</v>
      </c>
      <c r="L75" t="s">
        <v>2527</v>
      </c>
      <c r="M75" t="s">
        <v>35</v>
      </c>
      <c r="N75" s="6">
        <v>4</v>
      </c>
      <c r="O75" t="s">
        <v>36</v>
      </c>
      <c r="P75">
        <f t="shared" si="1"/>
        <v>36</v>
      </c>
    </row>
    <row r="76" spans="1:16" x14ac:dyDescent="0.2">
      <c r="A76" t="s">
        <v>1780</v>
      </c>
      <c r="B76" t="s">
        <v>118</v>
      </c>
      <c r="C76" t="s">
        <v>28</v>
      </c>
      <c r="D76" s="4">
        <v>39240</v>
      </c>
      <c r="E76" s="4">
        <v>45366</v>
      </c>
      <c r="F76" s="9">
        <v>45372</v>
      </c>
      <c r="G76" t="s">
        <v>18</v>
      </c>
      <c r="H76" t="s">
        <v>2529</v>
      </c>
      <c r="I76" t="s">
        <v>41</v>
      </c>
      <c r="J76" s="7">
        <v>3172252</v>
      </c>
      <c r="K76" t="s">
        <v>71</v>
      </c>
      <c r="L76" t="s">
        <v>34</v>
      </c>
      <c r="M76" t="s">
        <v>35</v>
      </c>
      <c r="N76" s="6">
        <v>6</v>
      </c>
      <c r="O76" t="s">
        <v>2531</v>
      </c>
      <c r="P76">
        <f t="shared" si="1"/>
        <v>17</v>
      </c>
    </row>
    <row r="77" spans="1:16" x14ac:dyDescent="0.2">
      <c r="A77" t="s">
        <v>182</v>
      </c>
      <c r="B77" t="s">
        <v>118</v>
      </c>
      <c r="C77" t="s">
        <v>39</v>
      </c>
      <c r="D77" s="4">
        <v>28431</v>
      </c>
      <c r="E77" s="4">
        <v>45348</v>
      </c>
      <c r="F77" s="9">
        <v>45350</v>
      </c>
      <c r="G77" t="s">
        <v>40</v>
      </c>
      <c r="H77" t="s">
        <v>75</v>
      </c>
      <c r="I77" t="s">
        <v>67</v>
      </c>
      <c r="J77" s="7">
        <v>2852500</v>
      </c>
      <c r="K77" t="s">
        <v>48</v>
      </c>
      <c r="L77" t="s">
        <v>23</v>
      </c>
      <c r="M77" t="s">
        <v>35</v>
      </c>
      <c r="N77" s="6">
        <v>2</v>
      </c>
      <c r="O77" t="s">
        <v>25</v>
      </c>
      <c r="P77">
        <f t="shared" si="1"/>
        <v>47</v>
      </c>
    </row>
    <row r="78" spans="1:16" x14ac:dyDescent="0.2">
      <c r="A78" t="s">
        <v>184</v>
      </c>
      <c r="B78" t="s">
        <v>85</v>
      </c>
      <c r="C78" t="s">
        <v>28</v>
      </c>
      <c r="D78" s="4">
        <v>39743</v>
      </c>
      <c r="E78" s="4">
        <v>45337</v>
      </c>
      <c r="F78" s="9">
        <v>45347</v>
      </c>
      <c r="G78" t="s">
        <v>72</v>
      </c>
      <c r="H78" t="s">
        <v>2529</v>
      </c>
      <c r="I78" t="s">
        <v>2534</v>
      </c>
      <c r="J78" s="7">
        <v>4903500</v>
      </c>
      <c r="K78" t="s">
        <v>48</v>
      </c>
      <c r="L78" t="s">
        <v>23</v>
      </c>
      <c r="M78" t="s">
        <v>78</v>
      </c>
      <c r="N78" s="6">
        <v>10</v>
      </c>
      <c r="O78" t="s">
        <v>36</v>
      </c>
      <c r="P78">
        <f t="shared" si="1"/>
        <v>16</v>
      </c>
    </row>
    <row r="79" spans="1:16" x14ac:dyDescent="0.2">
      <c r="A79" t="s">
        <v>1781</v>
      </c>
      <c r="B79" t="s">
        <v>45</v>
      </c>
      <c r="C79" t="s">
        <v>39</v>
      </c>
      <c r="D79" s="4">
        <v>27264</v>
      </c>
      <c r="E79" s="4">
        <v>45382</v>
      </c>
      <c r="F79" s="9">
        <v>45390</v>
      </c>
      <c r="G79" t="s">
        <v>88</v>
      </c>
      <c r="H79" t="s">
        <v>66</v>
      </c>
      <c r="I79" t="s">
        <v>41</v>
      </c>
      <c r="J79" s="7">
        <v>2591364</v>
      </c>
      <c r="K79" t="s">
        <v>48</v>
      </c>
      <c r="L79" t="s">
        <v>2527</v>
      </c>
      <c r="M79" t="s">
        <v>78</v>
      </c>
      <c r="N79" s="6">
        <v>8</v>
      </c>
      <c r="O79" t="s">
        <v>2531</v>
      </c>
      <c r="P79">
        <f t="shared" si="1"/>
        <v>50</v>
      </c>
    </row>
    <row r="80" spans="1:16" x14ac:dyDescent="0.2">
      <c r="A80" t="s">
        <v>188</v>
      </c>
      <c r="B80" t="s">
        <v>114</v>
      </c>
      <c r="C80" t="s">
        <v>39</v>
      </c>
      <c r="D80" s="4">
        <v>36996</v>
      </c>
      <c r="E80" s="4">
        <v>45374</v>
      </c>
      <c r="F80" s="9">
        <v>45375</v>
      </c>
      <c r="G80" t="s">
        <v>74</v>
      </c>
      <c r="H80" t="s">
        <v>2528</v>
      </c>
      <c r="I80" t="s">
        <v>41</v>
      </c>
      <c r="J80" s="7">
        <v>3028916</v>
      </c>
      <c r="K80" t="s">
        <v>43</v>
      </c>
      <c r="L80" t="s">
        <v>23</v>
      </c>
      <c r="M80" t="s">
        <v>35</v>
      </c>
      <c r="N80" s="6">
        <v>1</v>
      </c>
      <c r="O80" t="s">
        <v>36</v>
      </c>
      <c r="P80">
        <f t="shared" si="1"/>
        <v>23</v>
      </c>
    </row>
    <row r="81" spans="1:16" x14ac:dyDescent="0.2">
      <c r="A81" t="s">
        <v>1782</v>
      </c>
      <c r="B81" t="s">
        <v>105</v>
      </c>
      <c r="C81" t="s">
        <v>92</v>
      </c>
      <c r="D81" s="4">
        <v>38246</v>
      </c>
      <c r="E81" s="4">
        <v>45385</v>
      </c>
      <c r="F81" s="9">
        <v>45392</v>
      </c>
      <c r="G81" t="s">
        <v>83</v>
      </c>
      <c r="H81" t="s">
        <v>66</v>
      </c>
      <c r="I81" t="s">
        <v>2535</v>
      </c>
      <c r="J81" s="7">
        <v>724500</v>
      </c>
      <c r="K81" t="s">
        <v>48</v>
      </c>
      <c r="L81" t="s">
        <v>2527</v>
      </c>
      <c r="M81" t="s">
        <v>35</v>
      </c>
      <c r="N81" s="6">
        <v>7</v>
      </c>
      <c r="O81" t="s">
        <v>36</v>
      </c>
      <c r="P81">
        <f t="shared" si="1"/>
        <v>20</v>
      </c>
    </row>
    <row r="82" spans="1:16" x14ac:dyDescent="0.2">
      <c r="A82" t="s">
        <v>1783</v>
      </c>
      <c r="B82" t="s">
        <v>85</v>
      </c>
      <c r="C82" t="s">
        <v>39</v>
      </c>
      <c r="D82" s="4">
        <v>23191</v>
      </c>
      <c r="E82" s="4">
        <v>45312</v>
      </c>
      <c r="F82" s="9">
        <v>45317</v>
      </c>
      <c r="G82" t="s">
        <v>46</v>
      </c>
      <c r="H82" t="s">
        <v>30</v>
      </c>
      <c r="I82" t="s">
        <v>2534</v>
      </c>
      <c r="J82" s="7">
        <v>955500</v>
      </c>
      <c r="K82" t="s">
        <v>43</v>
      </c>
      <c r="L82" t="s">
        <v>2527</v>
      </c>
      <c r="M82" t="s">
        <v>24</v>
      </c>
      <c r="N82" s="6">
        <v>5</v>
      </c>
      <c r="O82" t="s">
        <v>25</v>
      </c>
      <c r="P82">
        <f t="shared" si="1"/>
        <v>61</v>
      </c>
    </row>
    <row r="83" spans="1:16" x14ac:dyDescent="0.2">
      <c r="A83" t="s">
        <v>1784</v>
      </c>
      <c r="B83" t="s">
        <v>105</v>
      </c>
      <c r="C83" t="s">
        <v>92</v>
      </c>
      <c r="D83" s="4">
        <v>39432</v>
      </c>
      <c r="E83" s="4">
        <v>45422</v>
      </c>
      <c r="F83" s="9" t="s">
        <v>2536</v>
      </c>
      <c r="G83" t="s">
        <v>60</v>
      </c>
      <c r="H83" t="s">
        <v>66</v>
      </c>
      <c r="I83" t="s">
        <v>67</v>
      </c>
      <c r="J83" s="7">
        <v>3013828</v>
      </c>
      <c r="K83" t="s">
        <v>48</v>
      </c>
      <c r="L83" t="s">
        <v>23</v>
      </c>
      <c r="M83" t="s">
        <v>35</v>
      </c>
      <c r="N83" s="6" t="s">
        <v>2525</v>
      </c>
      <c r="O83" t="s">
        <v>36</v>
      </c>
      <c r="P83">
        <f t="shared" si="1"/>
        <v>17</v>
      </c>
    </row>
    <row r="84" spans="1:16" x14ac:dyDescent="0.2">
      <c r="A84" t="s">
        <v>193</v>
      </c>
      <c r="B84" t="s">
        <v>105</v>
      </c>
      <c r="C84" t="s">
        <v>39</v>
      </c>
      <c r="D84" s="4">
        <v>35951</v>
      </c>
      <c r="E84" s="4">
        <v>45461</v>
      </c>
      <c r="F84" s="9">
        <v>45471</v>
      </c>
      <c r="G84" t="s">
        <v>18</v>
      </c>
      <c r="H84" t="s">
        <v>2529</v>
      </c>
      <c r="I84" t="s">
        <v>67</v>
      </c>
      <c r="J84" s="7">
        <v>1629504</v>
      </c>
      <c r="K84" t="s">
        <v>43</v>
      </c>
      <c r="L84" t="s">
        <v>23</v>
      </c>
      <c r="M84" t="s">
        <v>24</v>
      </c>
      <c r="N84" s="6">
        <v>10</v>
      </c>
      <c r="O84" t="s">
        <v>36</v>
      </c>
      <c r="P84">
        <f t="shared" si="1"/>
        <v>26</v>
      </c>
    </row>
    <row r="85" spans="1:16" x14ac:dyDescent="0.2">
      <c r="A85" t="s">
        <v>1785</v>
      </c>
      <c r="B85" t="s">
        <v>91</v>
      </c>
      <c r="C85" t="s">
        <v>28</v>
      </c>
      <c r="D85" s="4">
        <v>38271</v>
      </c>
      <c r="E85" s="4">
        <v>45406</v>
      </c>
      <c r="F85" s="9">
        <v>45411</v>
      </c>
      <c r="G85" t="s">
        <v>50</v>
      </c>
      <c r="H85" t="s">
        <v>2528</v>
      </c>
      <c r="I85" t="s">
        <v>2534</v>
      </c>
      <c r="J85" s="7">
        <v>4782896</v>
      </c>
      <c r="K85" t="s">
        <v>71</v>
      </c>
      <c r="L85" t="s">
        <v>2527</v>
      </c>
      <c r="M85" t="s">
        <v>78</v>
      </c>
      <c r="N85" s="6">
        <v>5</v>
      </c>
      <c r="O85" t="s">
        <v>25</v>
      </c>
      <c r="P85">
        <f t="shared" si="1"/>
        <v>20</v>
      </c>
    </row>
    <row r="86" spans="1:16" x14ac:dyDescent="0.2">
      <c r="A86" t="s">
        <v>196</v>
      </c>
      <c r="B86" t="s">
        <v>85</v>
      </c>
      <c r="C86" t="s">
        <v>28</v>
      </c>
      <c r="D86" s="4">
        <v>26456</v>
      </c>
      <c r="E86" s="4">
        <v>45456</v>
      </c>
      <c r="F86" s="9">
        <v>45465</v>
      </c>
      <c r="G86" t="s">
        <v>40</v>
      </c>
      <c r="H86" t="s">
        <v>75</v>
      </c>
      <c r="I86" t="s">
        <v>67</v>
      </c>
      <c r="J86" s="7">
        <v>2576276</v>
      </c>
      <c r="K86" t="s">
        <v>48</v>
      </c>
      <c r="L86" t="s">
        <v>2527</v>
      </c>
      <c r="M86" t="s">
        <v>78</v>
      </c>
      <c r="N86" s="6">
        <v>9</v>
      </c>
      <c r="O86" t="s">
        <v>36</v>
      </c>
      <c r="P86">
        <f t="shared" si="1"/>
        <v>52</v>
      </c>
    </row>
    <row r="87" spans="1:16" x14ac:dyDescent="0.2">
      <c r="A87" t="s">
        <v>198</v>
      </c>
      <c r="B87" t="s">
        <v>91</v>
      </c>
      <c r="C87" t="s">
        <v>39</v>
      </c>
      <c r="D87" s="4">
        <v>33046</v>
      </c>
      <c r="E87" s="4">
        <v>45298</v>
      </c>
      <c r="F87" s="9" t="s">
        <v>2536</v>
      </c>
      <c r="G87" t="s">
        <v>40</v>
      </c>
      <c r="H87" t="s">
        <v>75</v>
      </c>
      <c r="I87" t="s">
        <v>67</v>
      </c>
      <c r="J87" s="7">
        <v>3357080</v>
      </c>
      <c r="K87" t="s">
        <v>48</v>
      </c>
      <c r="L87" t="s">
        <v>23</v>
      </c>
      <c r="M87" t="s">
        <v>35</v>
      </c>
      <c r="N87" s="6" t="s">
        <v>2525</v>
      </c>
      <c r="O87" t="s">
        <v>2531</v>
      </c>
      <c r="P87">
        <f t="shared" si="1"/>
        <v>34</v>
      </c>
    </row>
    <row r="88" spans="1:16" x14ac:dyDescent="0.2">
      <c r="A88" t="s">
        <v>1786</v>
      </c>
      <c r="B88" t="s">
        <v>59</v>
      </c>
      <c r="C88" t="s">
        <v>39</v>
      </c>
      <c r="D88" s="4">
        <v>23049</v>
      </c>
      <c r="E88" s="4">
        <v>45301</v>
      </c>
      <c r="F88" s="9">
        <v>45309</v>
      </c>
      <c r="G88" t="s">
        <v>100</v>
      </c>
      <c r="H88" t="s">
        <v>61</v>
      </c>
      <c r="I88" t="s">
        <v>2535</v>
      </c>
      <c r="J88" s="7">
        <v>414920</v>
      </c>
      <c r="K88" t="s">
        <v>48</v>
      </c>
      <c r="L88" t="s">
        <v>2527</v>
      </c>
      <c r="M88" t="s">
        <v>35</v>
      </c>
      <c r="N88" s="6">
        <v>8</v>
      </c>
      <c r="O88" t="s">
        <v>2531</v>
      </c>
      <c r="P88">
        <f t="shared" si="1"/>
        <v>61</v>
      </c>
    </row>
    <row r="89" spans="1:16" x14ac:dyDescent="0.2">
      <c r="A89" t="s">
        <v>1787</v>
      </c>
      <c r="B89" t="s">
        <v>105</v>
      </c>
      <c r="C89" t="s">
        <v>28</v>
      </c>
      <c r="D89" s="4">
        <v>21907</v>
      </c>
      <c r="E89" s="4">
        <v>45352</v>
      </c>
      <c r="F89" s="9" t="s">
        <v>2536</v>
      </c>
      <c r="G89" t="s">
        <v>50</v>
      </c>
      <c r="H89" t="s">
        <v>2528</v>
      </c>
      <c r="I89" t="s">
        <v>2534</v>
      </c>
      <c r="J89" s="7">
        <v>5186500</v>
      </c>
      <c r="K89" t="s">
        <v>48</v>
      </c>
      <c r="L89" t="s">
        <v>34</v>
      </c>
      <c r="M89" t="s">
        <v>78</v>
      </c>
      <c r="N89" s="6" t="s">
        <v>2525</v>
      </c>
      <c r="O89" t="s">
        <v>2531</v>
      </c>
      <c r="P89">
        <f t="shared" si="1"/>
        <v>65</v>
      </c>
    </row>
    <row r="90" spans="1:16" x14ac:dyDescent="0.2">
      <c r="A90" t="s">
        <v>1788</v>
      </c>
      <c r="B90" t="s">
        <v>119</v>
      </c>
      <c r="C90" t="s">
        <v>28</v>
      </c>
      <c r="D90" s="4">
        <v>22968</v>
      </c>
      <c r="E90" s="4">
        <v>45401</v>
      </c>
      <c r="F90" s="9">
        <v>45405</v>
      </c>
      <c r="G90" t="s">
        <v>46</v>
      </c>
      <c r="H90" t="s">
        <v>30</v>
      </c>
      <c r="I90" t="s">
        <v>2534</v>
      </c>
      <c r="J90" s="7">
        <v>962500</v>
      </c>
      <c r="K90" t="s">
        <v>48</v>
      </c>
      <c r="L90" t="s">
        <v>34</v>
      </c>
      <c r="M90" t="s">
        <v>78</v>
      </c>
      <c r="N90" s="6">
        <v>4</v>
      </c>
      <c r="O90" t="s">
        <v>2531</v>
      </c>
      <c r="P90">
        <f t="shared" si="1"/>
        <v>62</v>
      </c>
    </row>
    <row r="91" spans="1:16" x14ac:dyDescent="0.2">
      <c r="A91" t="s">
        <v>1789</v>
      </c>
      <c r="B91" t="s">
        <v>102</v>
      </c>
      <c r="C91" t="s">
        <v>92</v>
      </c>
      <c r="D91" s="4">
        <v>18796</v>
      </c>
      <c r="E91" s="4">
        <v>45309</v>
      </c>
      <c r="F91" s="9">
        <v>45320</v>
      </c>
      <c r="G91" t="s">
        <v>18</v>
      </c>
      <c r="H91" t="s">
        <v>2529</v>
      </c>
      <c r="I91" t="s">
        <v>41</v>
      </c>
      <c r="J91" s="7">
        <v>2942160</v>
      </c>
      <c r="K91" t="s">
        <v>48</v>
      </c>
      <c r="L91" t="s">
        <v>2527</v>
      </c>
      <c r="M91" t="s">
        <v>24</v>
      </c>
      <c r="N91" s="6">
        <v>11</v>
      </c>
      <c r="O91" t="s">
        <v>25</v>
      </c>
      <c r="P91">
        <f t="shared" si="1"/>
        <v>73</v>
      </c>
    </row>
    <row r="92" spans="1:16" x14ac:dyDescent="0.2">
      <c r="A92" t="s">
        <v>1790</v>
      </c>
      <c r="B92" t="s">
        <v>114</v>
      </c>
      <c r="C92" t="s">
        <v>28</v>
      </c>
      <c r="D92" s="4">
        <v>33944</v>
      </c>
      <c r="E92" s="4">
        <v>45326</v>
      </c>
      <c r="F92" s="9">
        <v>45334</v>
      </c>
      <c r="G92" t="s">
        <v>60</v>
      </c>
      <c r="H92" t="s">
        <v>66</v>
      </c>
      <c r="I92" t="s">
        <v>67</v>
      </c>
      <c r="J92" s="7">
        <v>1916176</v>
      </c>
      <c r="K92" t="s">
        <v>48</v>
      </c>
      <c r="L92" t="s">
        <v>2527</v>
      </c>
      <c r="M92" t="s">
        <v>24</v>
      </c>
      <c r="N92" s="6">
        <v>8</v>
      </c>
      <c r="O92" t="s">
        <v>2531</v>
      </c>
      <c r="P92">
        <f t="shared" si="1"/>
        <v>32</v>
      </c>
    </row>
    <row r="93" spans="1:16" x14ac:dyDescent="0.2">
      <c r="A93" t="s">
        <v>1791</v>
      </c>
      <c r="B93" t="s">
        <v>38</v>
      </c>
      <c r="C93" t="s">
        <v>92</v>
      </c>
      <c r="D93" s="4">
        <v>39461</v>
      </c>
      <c r="E93" s="4">
        <v>45365</v>
      </c>
      <c r="F93" s="9">
        <v>45366</v>
      </c>
      <c r="G93" t="s">
        <v>60</v>
      </c>
      <c r="H93" t="s">
        <v>66</v>
      </c>
      <c r="I93" t="s">
        <v>41</v>
      </c>
      <c r="J93" s="7">
        <v>3217516</v>
      </c>
      <c r="K93" t="s">
        <v>71</v>
      </c>
      <c r="L93" t="s">
        <v>2527</v>
      </c>
      <c r="M93" t="s">
        <v>78</v>
      </c>
      <c r="N93" s="6">
        <v>1</v>
      </c>
      <c r="O93" t="s">
        <v>36</v>
      </c>
      <c r="P93">
        <f t="shared" si="1"/>
        <v>16</v>
      </c>
    </row>
    <row r="94" spans="1:16" x14ac:dyDescent="0.2">
      <c r="A94" t="s">
        <v>1792</v>
      </c>
      <c r="B94" t="s">
        <v>56</v>
      </c>
      <c r="C94" t="s">
        <v>92</v>
      </c>
      <c r="D94" s="4">
        <v>35279</v>
      </c>
      <c r="E94" s="4">
        <v>45313</v>
      </c>
      <c r="F94" s="9" t="s">
        <v>2536</v>
      </c>
      <c r="G94" t="s">
        <v>18</v>
      </c>
      <c r="H94" t="s">
        <v>2529</v>
      </c>
      <c r="I94" t="s">
        <v>67</v>
      </c>
      <c r="J94" s="7">
        <v>4259500</v>
      </c>
      <c r="K94" t="s">
        <v>48</v>
      </c>
      <c r="L94" t="s">
        <v>34</v>
      </c>
      <c r="M94" t="s">
        <v>35</v>
      </c>
      <c r="N94" s="6" t="s">
        <v>2525</v>
      </c>
      <c r="O94" t="s">
        <v>36</v>
      </c>
      <c r="P94">
        <f t="shared" si="1"/>
        <v>28</v>
      </c>
    </row>
    <row r="95" spans="1:16" x14ac:dyDescent="0.2">
      <c r="A95" t="s">
        <v>1793</v>
      </c>
      <c r="B95" t="s">
        <v>85</v>
      </c>
      <c r="C95" t="s">
        <v>28</v>
      </c>
      <c r="D95" s="4">
        <v>32226</v>
      </c>
      <c r="E95" s="4">
        <v>45468</v>
      </c>
      <c r="F95" s="9">
        <v>45469</v>
      </c>
      <c r="G95" t="s">
        <v>18</v>
      </c>
      <c r="H95" t="s">
        <v>2529</v>
      </c>
      <c r="I95" t="s">
        <v>2533</v>
      </c>
      <c r="J95" s="7">
        <v>5314748</v>
      </c>
      <c r="K95" t="s">
        <v>48</v>
      </c>
      <c r="L95" t="s">
        <v>2527</v>
      </c>
      <c r="M95" t="s">
        <v>78</v>
      </c>
      <c r="N95" s="6">
        <v>1</v>
      </c>
      <c r="O95" t="s">
        <v>2531</v>
      </c>
      <c r="P95">
        <f t="shared" si="1"/>
        <v>36</v>
      </c>
    </row>
    <row r="96" spans="1:16" x14ac:dyDescent="0.2">
      <c r="A96" t="s">
        <v>211</v>
      </c>
      <c r="B96" t="s">
        <v>64</v>
      </c>
      <c r="C96" t="s">
        <v>28</v>
      </c>
      <c r="D96" s="4">
        <v>38172</v>
      </c>
      <c r="E96" s="4">
        <v>45300</v>
      </c>
      <c r="F96" s="9" t="s">
        <v>2536</v>
      </c>
      <c r="G96" t="s">
        <v>72</v>
      </c>
      <c r="H96" t="s">
        <v>2529</v>
      </c>
      <c r="I96" t="s">
        <v>2533</v>
      </c>
      <c r="J96" s="7">
        <v>3334448</v>
      </c>
      <c r="K96" t="s">
        <v>43</v>
      </c>
      <c r="L96" t="s">
        <v>23</v>
      </c>
      <c r="M96" t="s">
        <v>24</v>
      </c>
      <c r="N96" s="6" t="s">
        <v>2525</v>
      </c>
      <c r="O96" t="s">
        <v>36</v>
      </c>
      <c r="P96">
        <f t="shared" si="1"/>
        <v>20</v>
      </c>
    </row>
    <row r="97" spans="1:16" x14ac:dyDescent="0.2">
      <c r="A97" t="s">
        <v>1794</v>
      </c>
      <c r="B97" t="s">
        <v>150</v>
      </c>
      <c r="C97" t="s">
        <v>92</v>
      </c>
      <c r="D97" s="4">
        <v>22775</v>
      </c>
      <c r="E97" s="4">
        <v>45393</v>
      </c>
      <c r="F97" s="9">
        <v>45397</v>
      </c>
      <c r="G97" t="s">
        <v>88</v>
      </c>
      <c r="H97" t="s">
        <v>66</v>
      </c>
      <c r="I97" t="s">
        <v>67</v>
      </c>
      <c r="J97" s="7">
        <v>4232184</v>
      </c>
      <c r="K97" t="s">
        <v>43</v>
      </c>
      <c r="L97" t="s">
        <v>34</v>
      </c>
      <c r="M97" t="s">
        <v>78</v>
      </c>
      <c r="N97" s="6">
        <v>4</v>
      </c>
      <c r="O97" t="s">
        <v>36</v>
      </c>
      <c r="P97">
        <f t="shared" si="1"/>
        <v>62</v>
      </c>
    </row>
    <row r="98" spans="1:16" x14ac:dyDescent="0.2">
      <c r="A98" t="s">
        <v>213</v>
      </c>
      <c r="B98" t="s">
        <v>85</v>
      </c>
      <c r="C98" t="s">
        <v>92</v>
      </c>
      <c r="D98" s="4">
        <v>34359</v>
      </c>
      <c r="E98" s="4">
        <v>45323</v>
      </c>
      <c r="F98" s="9">
        <v>45331</v>
      </c>
      <c r="G98" t="s">
        <v>100</v>
      </c>
      <c r="H98" t="s">
        <v>61</v>
      </c>
      <c r="I98" t="s">
        <v>41</v>
      </c>
      <c r="J98" s="7">
        <v>5236000</v>
      </c>
      <c r="K98" t="s">
        <v>48</v>
      </c>
      <c r="L98" t="s">
        <v>34</v>
      </c>
      <c r="M98" t="s">
        <v>24</v>
      </c>
      <c r="N98" s="6">
        <v>8</v>
      </c>
      <c r="O98" t="s">
        <v>36</v>
      </c>
      <c r="P98">
        <f t="shared" si="1"/>
        <v>30</v>
      </c>
    </row>
    <row r="99" spans="1:16" x14ac:dyDescent="0.2">
      <c r="A99" t="s">
        <v>215</v>
      </c>
      <c r="B99" t="s">
        <v>140</v>
      </c>
      <c r="C99" t="s">
        <v>39</v>
      </c>
      <c r="D99" s="4">
        <v>30109</v>
      </c>
      <c r="E99" s="4">
        <v>45323</v>
      </c>
      <c r="F99" s="9">
        <v>45327</v>
      </c>
      <c r="G99" t="s">
        <v>88</v>
      </c>
      <c r="H99" t="s">
        <v>66</v>
      </c>
      <c r="I99" t="s">
        <v>2535</v>
      </c>
      <c r="J99" s="7">
        <v>4452000</v>
      </c>
      <c r="K99" t="s">
        <v>71</v>
      </c>
      <c r="L99" t="s">
        <v>23</v>
      </c>
      <c r="M99" t="s">
        <v>24</v>
      </c>
      <c r="N99" s="6">
        <v>4</v>
      </c>
      <c r="O99" t="s">
        <v>36</v>
      </c>
      <c r="P99">
        <f t="shared" si="1"/>
        <v>42</v>
      </c>
    </row>
    <row r="100" spans="1:16" x14ac:dyDescent="0.2">
      <c r="A100" t="s">
        <v>1795</v>
      </c>
      <c r="B100" t="s">
        <v>56</v>
      </c>
      <c r="C100" t="s">
        <v>92</v>
      </c>
      <c r="D100" s="4">
        <v>31724</v>
      </c>
      <c r="E100" s="4">
        <v>45439</v>
      </c>
      <c r="F100" s="9" t="s">
        <v>2536</v>
      </c>
      <c r="G100" t="s">
        <v>83</v>
      </c>
      <c r="H100" t="s">
        <v>66</v>
      </c>
      <c r="I100" t="s">
        <v>67</v>
      </c>
      <c r="J100" s="7">
        <v>3851212</v>
      </c>
      <c r="K100" t="s">
        <v>43</v>
      </c>
      <c r="L100" t="s">
        <v>2527</v>
      </c>
      <c r="M100" t="s">
        <v>35</v>
      </c>
      <c r="N100" s="6" t="s">
        <v>2525</v>
      </c>
      <c r="O100" t="s">
        <v>2531</v>
      </c>
      <c r="P100">
        <f t="shared" si="1"/>
        <v>38</v>
      </c>
    </row>
    <row r="101" spans="1:16" x14ac:dyDescent="0.2">
      <c r="A101" t="s">
        <v>1796</v>
      </c>
      <c r="B101" t="s">
        <v>119</v>
      </c>
      <c r="C101" t="s">
        <v>28</v>
      </c>
      <c r="D101" s="4">
        <v>22492</v>
      </c>
      <c r="E101" s="4">
        <v>45420</v>
      </c>
      <c r="F101" s="9">
        <v>45429</v>
      </c>
      <c r="G101" t="s">
        <v>60</v>
      </c>
      <c r="H101" t="s">
        <v>66</v>
      </c>
      <c r="I101" t="s">
        <v>67</v>
      </c>
      <c r="J101" s="7">
        <v>2866720</v>
      </c>
      <c r="K101" t="s">
        <v>48</v>
      </c>
      <c r="L101" t="s">
        <v>2527</v>
      </c>
      <c r="M101" t="s">
        <v>35</v>
      </c>
      <c r="N101" s="6">
        <v>9</v>
      </c>
      <c r="O101" t="s">
        <v>2531</v>
      </c>
      <c r="P101">
        <f t="shared" si="1"/>
        <v>63</v>
      </c>
    </row>
    <row r="102" spans="1:16" x14ac:dyDescent="0.2">
      <c r="A102" t="s">
        <v>1797</v>
      </c>
      <c r="B102" t="s">
        <v>38</v>
      </c>
      <c r="C102" t="s">
        <v>28</v>
      </c>
      <c r="D102" s="4">
        <v>38744</v>
      </c>
      <c r="E102" s="4">
        <v>45449</v>
      </c>
      <c r="F102" s="9">
        <v>45452</v>
      </c>
      <c r="G102" t="s">
        <v>46</v>
      </c>
      <c r="H102" t="s">
        <v>30</v>
      </c>
      <c r="I102" t="s">
        <v>2535</v>
      </c>
      <c r="J102" s="7">
        <v>4686500</v>
      </c>
      <c r="K102" t="s">
        <v>43</v>
      </c>
      <c r="L102" t="s">
        <v>34</v>
      </c>
      <c r="M102" t="s">
        <v>35</v>
      </c>
      <c r="N102" s="6">
        <v>3</v>
      </c>
      <c r="O102" t="s">
        <v>2531</v>
      </c>
      <c r="P102">
        <f t="shared" si="1"/>
        <v>18</v>
      </c>
    </row>
    <row r="103" spans="1:16" x14ac:dyDescent="0.2">
      <c r="A103" t="s">
        <v>1798</v>
      </c>
      <c r="B103" t="s">
        <v>38</v>
      </c>
      <c r="C103" t="s">
        <v>28</v>
      </c>
      <c r="D103" s="4">
        <v>25171</v>
      </c>
      <c r="E103" s="4">
        <v>45450</v>
      </c>
      <c r="F103" s="9">
        <v>45461</v>
      </c>
      <c r="G103" t="s">
        <v>72</v>
      </c>
      <c r="H103" t="s">
        <v>2529</v>
      </c>
      <c r="I103" t="s">
        <v>2533</v>
      </c>
      <c r="J103" s="7">
        <v>2266972</v>
      </c>
      <c r="K103" t="s">
        <v>48</v>
      </c>
      <c r="L103" t="s">
        <v>2527</v>
      </c>
      <c r="M103" t="s">
        <v>35</v>
      </c>
      <c r="N103" s="6">
        <v>11</v>
      </c>
      <c r="O103" t="s">
        <v>36</v>
      </c>
      <c r="P103">
        <f t="shared" si="1"/>
        <v>56</v>
      </c>
    </row>
    <row r="104" spans="1:16" x14ac:dyDescent="0.2">
      <c r="A104" t="s">
        <v>1799</v>
      </c>
      <c r="B104" t="s">
        <v>56</v>
      </c>
      <c r="C104" t="s">
        <v>28</v>
      </c>
      <c r="D104" s="4">
        <v>24949</v>
      </c>
      <c r="E104" s="4">
        <v>45447</v>
      </c>
      <c r="F104" s="9">
        <v>45459</v>
      </c>
      <c r="G104" t="s">
        <v>83</v>
      </c>
      <c r="H104" t="s">
        <v>66</v>
      </c>
      <c r="I104" t="s">
        <v>67</v>
      </c>
      <c r="J104" s="7">
        <v>3236376</v>
      </c>
      <c r="K104" t="s">
        <v>48</v>
      </c>
      <c r="L104" t="s">
        <v>23</v>
      </c>
      <c r="M104" t="s">
        <v>78</v>
      </c>
      <c r="N104" s="6">
        <v>12</v>
      </c>
      <c r="O104" t="s">
        <v>36</v>
      </c>
      <c r="P104">
        <f t="shared" si="1"/>
        <v>56</v>
      </c>
    </row>
    <row r="105" spans="1:16" x14ac:dyDescent="0.2">
      <c r="A105" t="s">
        <v>223</v>
      </c>
      <c r="B105" t="s">
        <v>87</v>
      </c>
      <c r="C105" t="s">
        <v>92</v>
      </c>
      <c r="D105" s="4">
        <v>19922</v>
      </c>
      <c r="E105" s="4">
        <v>45390</v>
      </c>
      <c r="F105" s="9">
        <v>45404</v>
      </c>
      <c r="G105" t="s">
        <v>83</v>
      </c>
      <c r="H105" t="s">
        <v>66</v>
      </c>
      <c r="I105" t="s">
        <v>2534</v>
      </c>
      <c r="J105" s="7">
        <v>2791280</v>
      </c>
      <c r="K105" t="s">
        <v>48</v>
      </c>
      <c r="L105" t="s">
        <v>2527</v>
      </c>
      <c r="M105" t="s">
        <v>24</v>
      </c>
      <c r="N105" s="6">
        <v>14</v>
      </c>
      <c r="O105" t="s">
        <v>36</v>
      </c>
      <c r="P105">
        <f t="shared" si="1"/>
        <v>70</v>
      </c>
    </row>
    <row r="106" spans="1:16" x14ac:dyDescent="0.2">
      <c r="A106" t="s">
        <v>1800</v>
      </c>
      <c r="B106" t="s">
        <v>64</v>
      </c>
      <c r="C106" t="s">
        <v>92</v>
      </c>
      <c r="D106" s="4">
        <v>31149</v>
      </c>
      <c r="E106" s="4">
        <v>45353</v>
      </c>
      <c r="F106" s="9">
        <v>45354</v>
      </c>
      <c r="G106" t="s">
        <v>60</v>
      </c>
      <c r="H106" t="s">
        <v>66</v>
      </c>
      <c r="I106" t="s">
        <v>2535</v>
      </c>
      <c r="J106" s="7">
        <v>5427908</v>
      </c>
      <c r="K106" t="s">
        <v>48</v>
      </c>
      <c r="L106" t="s">
        <v>34</v>
      </c>
      <c r="M106" t="s">
        <v>35</v>
      </c>
      <c r="N106" s="6">
        <v>1</v>
      </c>
      <c r="O106" t="s">
        <v>36</v>
      </c>
      <c r="P106">
        <f t="shared" si="1"/>
        <v>39</v>
      </c>
    </row>
    <row r="107" spans="1:16" x14ac:dyDescent="0.2">
      <c r="A107" t="s">
        <v>1801</v>
      </c>
      <c r="B107" t="s">
        <v>102</v>
      </c>
      <c r="C107" t="s">
        <v>39</v>
      </c>
      <c r="D107" s="4">
        <v>31477</v>
      </c>
      <c r="E107" s="4">
        <v>45303</v>
      </c>
      <c r="F107" s="9" t="s">
        <v>2536</v>
      </c>
      <c r="G107" t="s">
        <v>40</v>
      </c>
      <c r="H107" t="s">
        <v>75</v>
      </c>
      <c r="I107" t="s">
        <v>2533</v>
      </c>
      <c r="J107" s="7">
        <v>4315500</v>
      </c>
      <c r="K107" t="s">
        <v>48</v>
      </c>
      <c r="L107" t="s">
        <v>2527</v>
      </c>
      <c r="M107" t="s">
        <v>24</v>
      </c>
      <c r="N107" s="6" t="s">
        <v>2525</v>
      </c>
      <c r="O107" t="s">
        <v>36</v>
      </c>
      <c r="P107">
        <f t="shared" si="1"/>
        <v>38</v>
      </c>
    </row>
    <row r="108" spans="1:16" x14ac:dyDescent="0.2">
      <c r="A108" t="s">
        <v>1802</v>
      </c>
      <c r="B108" t="s">
        <v>85</v>
      </c>
      <c r="C108" t="s">
        <v>92</v>
      </c>
      <c r="D108" s="4">
        <v>22480</v>
      </c>
      <c r="E108" s="4">
        <v>45392</v>
      </c>
      <c r="F108" s="9">
        <v>45398</v>
      </c>
      <c r="G108" t="s">
        <v>46</v>
      </c>
      <c r="H108" t="s">
        <v>30</v>
      </c>
      <c r="I108" t="s">
        <v>2535</v>
      </c>
      <c r="J108" s="7">
        <v>4307624</v>
      </c>
      <c r="K108" t="s">
        <v>43</v>
      </c>
      <c r="L108" t="s">
        <v>34</v>
      </c>
      <c r="M108" t="s">
        <v>35</v>
      </c>
      <c r="N108" s="6">
        <v>6</v>
      </c>
      <c r="O108" t="s">
        <v>2531</v>
      </c>
      <c r="P108">
        <f t="shared" si="1"/>
        <v>63</v>
      </c>
    </row>
    <row r="109" spans="1:16" x14ac:dyDescent="0.2">
      <c r="A109" t="s">
        <v>1803</v>
      </c>
      <c r="B109" t="s">
        <v>56</v>
      </c>
      <c r="C109" t="s">
        <v>92</v>
      </c>
      <c r="D109" s="4">
        <v>33238</v>
      </c>
      <c r="E109" s="4">
        <v>45447</v>
      </c>
      <c r="F109" s="9">
        <v>45457</v>
      </c>
      <c r="G109" t="s">
        <v>46</v>
      </c>
      <c r="H109" t="s">
        <v>30</v>
      </c>
      <c r="I109" t="s">
        <v>2535</v>
      </c>
      <c r="J109" s="7">
        <v>2492000</v>
      </c>
      <c r="K109" t="s">
        <v>43</v>
      </c>
      <c r="L109" t="s">
        <v>2527</v>
      </c>
      <c r="M109" t="s">
        <v>24</v>
      </c>
      <c r="N109" s="6">
        <v>10</v>
      </c>
      <c r="O109" t="s">
        <v>25</v>
      </c>
      <c r="P109">
        <f t="shared" si="1"/>
        <v>34</v>
      </c>
    </row>
    <row r="110" spans="1:16" x14ac:dyDescent="0.2">
      <c r="A110" t="s">
        <v>1804</v>
      </c>
      <c r="B110" t="s">
        <v>59</v>
      </c>
      <c r="C110" t="s">
        <v>28</v>
      </c>
      <c r="D110" s="4">
        <v>21855</v>
      </c>
      <c r="E110" s="4">
        <v>45441</v>
      </c>
      <c r="F110" s="9">
        <v>45453</v>
      </c>
      <c r="G110" t="s">
        <v>18</v>
      </c>
      <c r="H110" t="s">
        <v>2529</v>
      </c>
      <c r="I110" t="s">
        <v>2533</v>
      </c>
      <c r="J110" s="7">
        <v>5439224</v>
      </c>
      <c r="K110" t="s">
        <v>48</v>
      </c>
      <c r="L110" t="s">
        <v>2527</v>
      </c>
      <c r="M110" t="s">
        <v>35</v>
      </c>
      <c r="N110" s="6">
        <v>12</v>
      </c>
      <c r="O110" t="s">
        <v>2531</v>
      </c>
      <c r="P110">
        <f t="shared" si="1"/>
        <v>65</v>
      </c>
    </row>
    <row r="111" spans="1:16" x14ac:dyDescent="0.2">
      <c r="A111" t="s">
        <v>1805</v>
      </c>
      <c r="B111" t="s">
        <v>87</v>
      </c>
      <c r="C111" t="s">
        <v>39</v>
      </c>
      <c r="D111" s="4">
        <v>26200</v>
      </c>
      <c r="E111" s="4">
        <v>45438</v>
      </c>
      <c r="F111" s="9">
        <v>45446</v>
      </c>
      <c r="G111" t="s">
        <v>29</v>
      </c>
      <c r="H111" t="s">
        <v>19</v>
      </c>
      <c r="I111" t="s">
        <v>2533</v>
      </c>
      <c r="J111" s="7">
        <v>1950124</v>
      </c>
      <c r="K111" t="s">
        <v>43</v>
      </c>
      <c r="L111" t="s">
        <v>2527</v>
      </c>
      <c r="M111" t="s">
        <v>24</v>
      </c>
      <c r="N111" s="6">
        <v>8</v>
      </c>
      <c r="O111" t="s">
        <v>25</v>
      </c>
      <c r="P111">
        <f t="shared" si="1"/>
        <v>53</v>
      </c>
    </row>
    <row r="112" spans="1:16" x14ac:dyDescent="0.2">
      <c r="A112" t="s">
        <v>1806</v>
      </c>
      <c r="B112" t="s">
        <v>51</v>
      </c>
      <c r="C112" t="s">
        <v>92</v>
      </c>
      <c r="D112" s="4">
        <v>28915</v>
      </c>
      <c r="E112" s="4">
        <v>45426</v>
      </c>
      <c r="F112" s="9">
        <v>45429</v>
      </c>
      <c r="G112" t="s">
        <v>40</v>
      </c>
      <c r="H112" t="s">
        <v>75</v>
      </c>
      <c r="I112" t="s">
        <v>2535</v>
      </c>
      <c r="J112" s="7">
        <v>2887500</v>
      </c>
      <c r="K112" t="s">
        <v>43</v>
      </c>
      <c r="L112" t="s">
        <v>2527</v>
      </c>
      <c r="M112" t="s">
        <v>35</v>
      </c>
      <c r="N112" s="6">
        <v>3</v>
      </c>
      <c r="O112" t="s">
        <v>2531</v>
      </c>
      <c r="P112">
        <f t="shared" si="1"/>
        <v>45</v>
      </c>
    </row>
    <row r="113" spans="1:16" x14ac:dyDescent="0.2">
      <c r="A113" t="s">
        <v>1807</v>
      </c>
      <c r="B113" t="s">
        <v>91</v>
      </c>
      <c r="C113" t="s">
        <v>92</v>
      </c>
      <c r="D113" s="4">
        <v>27734</v>
      </c>
      <c r="E113" s="4">
        <v>45468</v>
      </c>
      <c r="F113" s="9">
        <v>45474</v>
      </c>
      <c r="G113" t="s">
        <v>60</v>
      </c>
      <c r="H113" t="s">
        <v>66</v>
      </c>
      <c r="I113" t="s">
        <v>2535</v>
      </c>
      <c r="J113" s="7">
        <v>5601420</v>
      </c>
      <c r="K113" t="s">
        <v>71</v>
      </c>
      <c r="L113" t="s">
        <v>2527</v>
      </c>
      <c r="M113" t="s">
        <v>35</v>
      </c>
      <c r="N113" s="6">
        <v>6</v>
      </c>
      <c r="O113" t="s">
        <v>36</v>
      </c>
      <c r="P113">
        <f t="shared" si="1"/>
        <v>49</v>
      </c>
    </row>
    <row r="114" spans="1:16" x14ac:dyDescent="0.2">
      <c r="A114" t="s">
        <v>1808</v>
      </c>
      <c r="B114" t="s">
        <v>150</v>
      </c>
      <c r="C114" t="s">
        <v>92</v>
      </c>
      <c r="D114" s="4">
        <v>32759</v>
      </c>
      <c r="E114" s="4">
        <v>45414</v>
      </c>
      <c r="F114" s="9">
        <v>45423</v>
      </c>
      <c r="G114" t="s">
        <v>40</v>
      </c>
      <c r="H114" t="s">
        <v>75</v>
      </c>
      <c r="I114" t="s">
        <v>2533</v>
      </c>
      <c r="J114" s="7">
        <v>1437132</v>
      </c>
      <c r="K114" t="s">
        <v>43</v>
      </c>
      <c r="L114" t="s">
        <v>23</v>
      </c>
      <c r="M114" t="s">
        <v>35</v>
      </c>
      <c r="N114" s="6">
        <v>9</v>
      </c>
      <c r="O114" t="s">
        <v>2531</v>
      </c>
      <c r="P114">
        <f t="shared" si="1"/>
        <v>35</v>
      </c>
    </row>
    <row r="115" spans="1:16" x14ac:dyDescent="0.2">
      <c r="A115" t="s">
        <v>234</v>
      </c>
      <c r="B115" t="s">
        <v>91</v>
      </c>
      <c r="C115" t="s">
        <v>92</v>
      </c>
      <c r="D115" s="4">
        <v>21547</v>
      </c>
      <c r="E115" s="4">
        <v>45376</v>
      </c>
      <c r="F115" s="9" t="s">
        <v>2536</v>
      </c>
      <c r="G115" t="s">
        <v>46</v>
      </c>
      <c r="H115" t="s">
        <v>30</v>
      </c>
      <c r="I115" t="s">
        <v>2535</v>
      </c>
      <c r="J115" s="7">
        <v>1595556</v>
      </c>
      <c r="K115" t="s">
        <v>71</v>
      </c>
      <c r="L115" t="s">
        <v>2527</v>
      </c>
      <c r="M115" t="s">
        <v>24</v>
      </c>
      <c r="N115" s="6" t="s">
        <v>2525</v>
      </c>
      <c r="O115" t="s">
        <v>36</v>
      </c>
      <c r="P115">
        <f t="shared" si="1"/>
        <v>66</v>
      </c>
    </row>
    <row r="116" spans="1:16" x14ac:dyDescent="0.2">
      <c r="A116" t="s">
        <v>1809</v>
      </c>
      <c r="B116" t="s">
        <v>45</v>
      </c>
      <c r="C116" t="s">
        <v>28</v>
      </c>
      <c r="D116" s="4">
        <v>20202</v>
      </c>
      <c r="E116" s="4">
        <v>45458</v>
      </c>
      <c r="F116" s="9">
        <v>45470</v>
      </c>
      <c r="G116" t="s">
        <v>46</v>
      </c>
      <c r="H116" t="s">
        <v>30</v>
      </c>
      <c r="I116" t="s">
        <v>41</v>
      </c>
      <c r="J116" s="7">
        <v>1735120</v>
      </c>
      <c r="K116" t="s">
        <v>71</v>
      </c>
      <c r="L116" t="s">
        <v>2527</v>
      </c>
      <c r="M116" t="s">
        <v>35</v>
      </c>
      <c r="N116" s="6">
        <v>12</v>
      </c>
      <c r="O116" t="s">
        <v>36</v>
      </c>
      <c r="P116">
        <f t="shared" si="1"/>
        <v>69</v>
      </c>
    </row>
    <row r="117" spans="1:16" x14ac:dyDescent="0.2">
      <c r="A117" t="s">
        <v>236</v>
      </c>
      <c r="B117" t="s">
        <v>64</v>
      </c>
      <c r="C117" t="s">
        <v>92</v>
      </c>
      <c r="D117" s="4">
        <v>36874</v>
      </c>
      <c r="E117" s="4">
        <v>45377</v>
      </c>
      <c r="F117" s="9">
        <v>45388</v>
      </c>
      <c r="G117" t="s">
        <v>46</v>
      </c>
      <c r="H117" t="s">
        <v>30</v>
      </c>
      <c r="I117" t="s">
        <v>2535</v>
      </c>
      <c r="J117" s="7">
        <v>3703000</v>
      </c>
      <c r="K117" t="s">
        <v>48</v>
      </c>
      <c r="L117" t="s">
        <v>34</v>
      </c>
      <c r="M117" t="s">
        <v>78</v>
      </c>
      <c r="N117" s="6">
        <v>11</v>
      </c>
      <c r="O117" t="s">
        <v>36</v>
      </c>
      <c r="P117">
        <f t="shared" si="1"/>
        <v>24</v>
      </c>
    </row>
    <row r="118" spans="1:16" x14ac:dyDescent="0.2">
      <c r="A118" t="s">
        <v>1810</v>
      </c>
      <c r="B118" t="s">
        <v>38</v>
      </c>
      <c r="C118" t="s">
        <v>28</v>
      </c>
      <c r="D118" s="4">
        <v>24365</v>
      </c>
      <c r="E118" s="4">
        <v>45378</v>
      </c>
      <c r="F118" s="9">
        <v>45391</v>
      </c>
      <c r="G118" t="s">
        <v>46</v>
      </c>
      <c r="H118" t="s">
        <v>30</v>
      </c>
      <c r="I118" t="s">
        <v>41</v>
      </c>
      <c r="J118" s="7">
        <v>5310976</v>
      </c>
      <c r="K118" t="s">
        <v>71</v>
      </c>
      <c r="L118" t="s">
        <v>2527</v>
      </c>
      <c r="M118" t="s">
        <v>35</v>
      </c>
      <c r="N118" s="6">
        <v>13</v>
      </c>
      <c r="O118" t="s">
        <v>25</v>
      </c>
      <c r="P118">
        <f t="shared" si="1"/>
        <v>58</v>
      </c>
    </row>
    <row r="119" spans="1:16" x14ac:dyDescent="0.2">
      <c r="A119" t="s">
        <v>238</v>
      </c>
      <c r="B119" t="s">
        <v>56</v>
      </c>
      <c r="C119" t="s">
        <v>92</v>
      </c>
      <c r="D119" s="4">
        <v>26392</v>
      </c>
      <c r="E119" s="4">
        <v>45358</v>
      </c>
      <c r="F119" s="9">
        <v>45371</v>
      </c>
      <c r="G119" t="s">
        <v>83</v>
      </c>
      <c r="H119" t="s">
        <v>66</v>
      </c>
      <c r="I119" t="s">
        <v>2535</v>
      </c>
      <c r="J119" s="7">
        <v>4801756</v>
      </c>
      <c r="K119" t="s">
        <v>48</v>
      </c>
      <c r="L119" t="s">
        <v>2527</v>
      </c>
      <c r="M119" t="s">
        <v>24</v>
      </c>
      <c r="N119" s="6">
        <v>13</v>
      </c>
      <c r="O119" t="s">
        <v>2531</v>
      </c>
      <c r="P119">
        <f t="shared" si="1"/>
        <v>52</v>
      </c>
    </row>
    <row r="120" spans="1:16" x14ac:dyDescent="0.2">
      <c r="A120" t="s">
        <v>240</v>
      </c>
      <c r="B120" t="s">
        <v>114</v>
      </c>
      <c r="C120" t="s">
        <v>92</v>
      </c>
      <c r="D120" s="4">
        <v>23497</v>
      </c>
      <c r="E120" s="4">
        <v>45467</v>
      </c>
      <c r="F120" s="9">
        <v>45478</v>
      </c>
      <c r="G120" t="s">
        <v>83</v>
      </c>
      <c r="H120" t="s">
        <v>66</v>
      </c>
      <c r="I120" t="s">
        <v>67</v>
      </c>
      <c r="J120" s="7">
        <v>2067056</v>
      </c>
      <c r="K120" t="s">
        <v>71</v>
      </c>
      <c r="L120" t="s">
        <v>23</v>
      </c>
      <c r="M120" t="s">
        <v>78</v>
      </c>
      <c r="N120" s="6">
        <v>11</v>
      </c>
      <c r="O120" t="s">
        <v>36</v>
      </c>
      <c r="P120">
        <f t="shared" si="1"/>
        <v>60</v>
      </c>
    </row>
    <row r="121" spans="1:16" x14ac:dyDescent="0.2">
      <c r="A121" t="s">
        <v>1811</v>
      </c>
      <c r="B121" t="s">
        <v>27</v>
      </c>
      <c r="C121" t="s">
        <v>28</v>
      </c>
      <c r="D121" s="4">
        <v>35877</v>
      </c>
      <c r="E121" s="4">
        <v>45355</v>
      </c>
      <c r="F121" s="9">
        <v>45364</v>
      </c>
      <c r="G121" t="s">
        <v>74</v>
      </c>
      <c r="H121" t="s">
        <v>2528</v>
      </c>
      <c r="I121" t="s">
        <v>67</v>
      </c>
      <c r="J121" s="7">
        <v>852472</v>
      </c>
      <c r="K121" t="s">
        <v>43</v>
      </c>
      <c r="L121" t="s">
        <v>23</v>
      </c>
      <c r="M121" t="s">
        <v>35</v>
      </c>
      <c r="N121" s="6">
        <v>9</v>
      </c>
      <c r="O121" t="s">
        <v>36</v>
      </c>
      <c r="P121">
        <f t="shared" si="1"/>
        <v>26</v>
      </c>
    </row>
    <row r="122" spans="1:16" x14ac:dyDescent="0.2">
      <c r="A122" t="s">
        <v>243</v>
      </c>
      <c r="B122" t="s">
        <v>51</v>
      </c>
      <c r="C122" t="s">
        <v>28</v>
      </c>
      <c r="D122" s="4">
        <v>37372</v>
      </c>
      <c r="E122" s="4">
        <v>45315</v>
      </c>
      <c r="F122" s="9">
        <v>45323</v>
      </c>
      <c r="G122" t="s">
        <v>40</v>
      </c>
      <c r="H122" t="s">
        <v>75</v>
      </c>
      <c r="I122" t="s">
        <v>2533</v>
      </c>
      <c r="J122" s="7">
        <v>4730088</v>
      </c>
      <c r="K122" t="s">
        <v>43</v>
      </c>
      <c r="L122" t="s">
        <v>2527</v>
      </c>
      <c r="M122" t="s">
        <v>24</v>
      </c>
      <c r="N122" s="6">
        <v>8</v>
      </c>
      <c r="O122" t="s">
        <v>25</v>
      </c>
      <c r="P122">
        <f t="shared" si="1"/>
        <v>22</v>
      </c>
    </row>
    <row r="123" spans="1:16" x14ac:dyDescent="0.2">
      <c r="A123" t="s">
        <v>1812</v>
      </c>
      <c r="B123" t="s">
        <v>38</v>
      </c>
      <c r="C123" t="s">
        <v>39</v>
      </c>
      <c r="D123" s="4">
        <v>18362</v>
      </c>
      <c r="E123" s="4">
        <v>45440</v>
      </c>
      <c r="F123" s="9" t="s">
        <v>2536</v>
      </c>
      <c r="G123" t="s">
        <v>83</v>
      </c>
      <c r="H123" t="s">
        <v>66</v>
      </c>
      <c r="I123" t="s">
        <v>67</v>
      </c>
      <c r="J123" s="7">
        <v>4556576</v>
      </c>
      <c r="K123" t="s">
        <v>48</v>
      </c>
      <c r="L123" t="s">
        <v>2527</v>
      </c>
      <c r="M123" t="s">
        <v>35</v>
      </c>
      <c r="N123" s="6" t="s">
        <v>2525</v>
      </c>
      <c r="O123" t="s">
        <v>25</v>
      </c>
      <c r="P123">
        <f t="shared" si="1"/>
        <v>74</v>
      </c>
    </row>
    <row r="124" spans="1:16" x14ac:dyDescent="0.2">
      <c r="A124" t="s">
        <v>246</v>
      </c>
      <c r="B124" t="s">
        <v>82</v>
      </c>
      <c r="C124" t="s">
        <v>92</v>
      </c>
      <c r="D124" s="4">
        <v>30797</v>
      </c>
      <c r="E124" s="4">
        <v>45388</v>
      </c>
      <c r="F124" s="9" t="s">
        <v>2536</v>
      </c>
      <c r="G124" t="s">
        <v>72</v>
      </c>
      <c r="H124" t="s">
        <v>2529</v>
      </c>
      <c r="I124" t="s">
        <v>2535</v>
      </c>
      <c r="J124" s="7">
        <v>1302000</v>
      </c>
      <c r="K124" t="s">
        <v>48</v>
      </c>
      <c r="L124" t="s">
        <v>23</v>
      </c>
      <c r="M124" t="s">
        <v>24</v>
      </c>
      <c r="N124" s="6" t="s">
        <v>2525</v>
      </c>
      <c r="O124" t="s">
        <v>2531</v>
      </c>
      <c r="P124">
        <f t="shared" si="1"/>
        <v>40</v>
      </c>
    </row>
    <row r="125" spans="1:16" x14ac:dyDescent="0.2">
      <c r="A125" t="s">
        <v>248</v>
      </c>
      <c r="B125" t="s">
        <v>64</v>
      </c>
      <c r="C125" t="s">
        <v>39</v>
      </c>
      <c r="D125" s="4">
        <v>19008</v>
      </c>
      <c r="E125" s="4">
        <v>45410</v>
      </c>
      <c r="F125" s="9">
        <v>45424</v>
      </c>
      <c r="G125" t="s">
        <v>50</v>
      </c>
      <c r="H125" t="s">
        <v>2528</v>
      </c>
      <c r="I125" t="s">
        <v>2533</v>
      </c>
      <c r="J125" s="7">
        <v>1459500</v>
      </c>
      <c r="K125" t="s">
        <v>48</v>
      </c>
      <c r="L125" t="s">
        <v>34</v>
      </c>
      <c r="M125" t="s">
        <v>35</v>
      </c>
      <c r="N125" s="6">
        <v>14</v>
      </c>
      <c r="O125" t="s">
        <v>2531</v>
      </c>
      <c r="P125">
        <f t="shared" si="1"/>
        <v>72</v>
      </c>
    </row>
    <row r="126" spans="1:16" x14ac:dyDescent="0.2">
      <c r="A126" t="s">
        <v>250</v>
      </c>
      <c r="B126" t="s">
        <v>91</v>
      </c>
      <c r="C126" t="s">
        <v>28</v>
      </c>
      <c r="D126" s="4">
        <v>20468</v>
      </c>
      <c r="E126" s="4">
        <v>45444</v>
      </c>
      <c r="F126" s="9">
        <v>45455</v>
      </c>
      <c r="G126" t="s">
        <v>50</v>
      </c>
      <c r="H126" t="s">
        <v>2528</v>
      </c>
      <c r="I126" t="s">
        <v>67</v>
      </c>
      <c r="J126" s="7">
        <v>3481556</v>
      </c>
      <c r="K126" t="s">
        <v>48</v>
      </c>
      <c r="L126" t="s">
        <v>23</v>
      </c>
      <c r="M126" t="s">
        <v>35</v>
      </c>
      <c r="N126" s="6">
        <v>11</v>
      </c>
      <c r="O126" t="s">
        <v>36</v>
      </c>
      <c r="P126">
        <f t="shared" si="1"/>
        <v>68</v>
      </c>
    </row>
    <row r="127" spans="1:16" x14ac:dyDescent="0.2">
      <c r="A127" t="s">
        <v>251</v>
      </c>
      <c r="B127" t="s">
        <v>119</v>
      </c>
      <c r="C127" t="s">
        <v>92</v>
      </c>
      <c r="D127" s="4">
        <v>37186</v>
      </c>
      <c r="E127" s="4">
        <v>45352</v>
      </c>
      <c r="F127" s="9">
        <v>45363</v>
      </c>
      <c r="G127" t="s">
        <v>29</v>
      </c>
      <c r="H127" t="s">
        <v>19</v>
      </c>
      <c r="I127" t="s">
        <v>2533</v>
      </c>
      <c r="J127" s="7">
        <v>844928</v>
      </c>
      <c r="K127" t="s">
        <v>71</v>
      </c>
      <c r="L127" t="s">
        <v>2527</v>
      </c>
      <c r="M127" t="s">
        <v>35</v>
      </c>
      <c r="N127" s="6">
        <v>11</v>
      </c>
      <c r="O127" t="s">
        <v>2531</v>
      </c>
      <c r="P127">
        <f t="shared" si="1"/>
        <v>23</v>
      </c>
    </row>
    <row r="128" spans="1:16" x14ac:dyDescent="0.2">
      <c r="A128" t="s">
        <v>1813</v>
      </c>
      <c r="B128" t="s">
        <v>105</v>
      </c>
      <c r="C128" t="s">
        <v>92</v>
      </c>
      <c r="D128" s="4">
        <v>31906</v>
      </c>
      <c r="E128" s="4">
        <v>45330</v>
      </c>
      <c r="F128" s="9">
        <v>45343</v>
      </c>
      <c r="G128" t="s">
        <v>50</v>
      </c>
      <c r="H128" t="s">
        <v>2528</v>
      </c>
      <c r="I128" t="s">
        <v>67</v>
      </c>
      <c r="J128" s="7">
        <v>2696980</v>
      </c>
      <c r="K128" t="s">
        <v>71</v>
      </c>
      <c r="L128" t="s">
        <v>34</v>
      </c>
      <c r="M128" t="s">
        <v>24</v>
      </c>
      <c r="N128" s="6">
        <v>13</v>
      </c>
      <c r="O128" t="s">
        <v>2531</v>
      </c>
      <c r="P128">
        <f t="shared" si="1"/>
        <v>37</v>
      </c>
    </row>
    <row r="129" spans="1:16" x14ac:dyDescent="0.2">
      <c r="A129" t="s">
        <v>1814</v>
      </c>
      <c r="B129" t="s">
        <v>87</v>
      </c>
      <c r="C129" t="s">
        <v>28</v>
      </c>
      <c r="D129" s="4">
        <v>26221</v>
      </c>
      <c r="E129" s="4">
        <v>45344</v>
      </c>
      <c r="F129" s="9">
        <v>45359</v>
      </c>
      <c r="G129" t="s">
        <v>83</v>
      </c>
      <c r="H129" t="s">
        <v>66</v>
      </c>
      <c r="I129" t="s">
        <v>2535</v>
      </c>
      <c r="J129" s="7">
        <v>1848280</v>
      </c>
      <c r="K129" t="s">
        <v>48</v>
      </c>
      <c r="L129" t="s">
        <v>2527</v>
      </c>
      <c r="M129" t="s">
        <v>24</v>
      </c>
      <c r="N129" s="6">
        <v>15</v>
      </c>
      <c r="O129" t="s">
        <v>25</v>
      </c>
      <c r="P129">
        <f t="shared" si="1"/>
        <v>53</v>
      </c>
    </row>
    <row r="130" spans="1:16" x14ac:dyDescent="0.2">
      <c r="A130" t="s">
        <v>256</v>
      </c>
      <c r="B130" t="s">
        <v>119</v>
      </c>
      <c r="C130" t="s">
        <v>28</v>
      </c>
      <c r="D130" s="4">
        <v>36576</v>
      </c>
      <c r="E130" s="4">
        <v>45414</v>
      </c>
      <c r="F130" s="9">
        <v>45420</v>
      </c>
      <c r="G130" t="s">
        <v>88</v>
      </c>
      <c r="H130" t="s">
        <v>66</v>
      </c>
      <c r="I130" t="s">
        <v>67</v>
      </c>
      <c r="J130" s="7">
        <v>1282480</v>
      </c>
      <c r="K130" t="s">
        <v>48</v>
      </c>
      <c r="L130" t="s">
        <v>23</v>
      </c>
      <c r="M130" t="s">
        <v>78</v>
      </c>
      <c r="N130" s="6">
        <v>6</v>
      </c>
      <c r="O130" t="s">
        <v>36</v>
      </c>
      <c r="P130">
        <f t="shared" si="1"/>
        <v>24</v>
      </c>
    </row>
    <row r="131" spans="1:16" x14ac:dyDescent="0.2">
      <c r="A131" t="s">
        <v>1815</v>
      </c>
      <c r="B131" t="s">
        <v>118</v>
      </c>
      <c r="C131" t="s">
        <v>28</v>
      </c>
      <c r="D131" s="4">
        <v>35750</v>
      </c>
      <c r="E131" s="4">
        <v>45370</v>
      </c>
      <c r="F131" s="9">
        <v>45385</v>
      </c>
      <c r="G131" t="s">
        <v>100</v>
      </c>
      <c r="H131" t="s">
        <v>61</v>
      </c>
      <c r="I131" t="s">
        <v>41</v>
      </c>
      <c r="J131" s="7">
        <v>3713500</v>
      </c>
      <c r="K131" t="s">
        <v>48</v>
      </c>
      <c r="L131" t="s">
        <v>2527</v>
      </c>
      <c r="M131" t="s">
        <v>78</v>
      </c>
      <c r="N131" s="6">
        <v>15</v>
      </c>
      <c r="O131" t="s">
        <v>25</v>
      </c>
      <c r="P131">
        <f t="shared" ref="P131:P194" si="2">YEAR(E131)-YEAR(D131)</f>
        <v>27</v>
      </c>
    </row>
    <row r="132" spans="1:16" x14ac:dyDescent="0.2">
      <c r="A132" t="s">
        <v>1816</v>
      </c>
      <c r="B132" t="s">
        <v>87</v>
      </c>
      <c r="C132" t="s">
        <v>92</v>
      </c>
      <c r="D132" s="4">
        <v>26809</v>
      </c>
      <c r="E132" s="4">
        <v>45367</v>
      </c>
      <c r="F132" s="9">
        <v>45371</v>
      </c>
      <c r="G132" t="s">
        <v>18</v>
      </c>
      <c r="H132" t="s">
        <v>2529</v>
      </c>
      <c r="I132" t="s">
        <v>67</v>
      </c>
      <c r="J132" s="7">
        <v>3927000</v>
      </c>
      <c r="K132" t="s">
        <v>48</v>
      </c>
      <c r="L132" t="s">
        <v>2527</v>
      </c>
      <c r="M132" t="s">
        <v>24</v>
      </c>
      <c r="N132" s="6">
        <v>4</v>
      </c>
      <c r="O132" t="s">
        <v>36</v>
      </c>
      <c r="P132">
        <f t="shared" si="2"/>
        <v>51</v>
      </c>
    </row>
    <row r="133" spans="1:16" x14ac:dyDescent="0.2">
      <c r="A133" t="s">
        <v>260</v>
      </c>
      <c r="B133" t="s">
        <v>102</v>
      </c>
      <c r="C133" t="s">
        <v>28</v>
      </c>
      <c r="D133" s="4">
        <v>22850</v>
      </c>
      <c r="E133" s="4">
        <v>45339</v>
      </c>
      <c r="F133" s="9">
        <v>45353</v>
      </c>
      <c r="G133" t="s">
        <v>72</v>
      </c>
      <c r="H133" t="s">
        <v>2529</v>
      </c>
      <c r="I133" t="s">
        <v>41</v>
      </c>
      <c r="J133" s="7">
        <v>426236</v>
      </c>
      <c r="K133" t="s">
        <v>48</v>
      </c>
      <c r="L133" t="s">
        <v>23</v>
      </c>
      <c r="M133" t="s">
        <v>35</v>
      </c>
      <c r="N133" s="6">
        <v>14</v>
      </c>
      <c r="O133" t="s">
        <v>25</v>
      </c>
      <c r="P133">
        <f t="shared" si="2"/>
        <v>62</v>
      </c>
    </row>
    <row r="134" spans="1:16" x14ac:dyDescent="0.2">
      <c r="A134" t="s">
        <v>1817</v>
      </c>
      <c r="B134" t="s">
        <v>114</v>
      </c>
      <c r="C134" t="s">
        <v>92</v>
      </c>
      <c r="D134" s="4">
        <v>20244</v>
      </c>
      <c r="E134" s="4">
        <v>45460</v>
      </c>
      <c r="F134" s="9" t="s">
        <v>2536</v>
      </c>
      <c r="G134" t="s">
        <v>40</v>
      </c>
      <c r="H134" t="s">
        <v>75</v>
      </c>
      <c r="I134" t="s">
        <v>2533</v>
      </c>
      <c r="J134" s="7">
        <v>467728</v>
      </c>
      <c r="K134" t="s">
        <v>43</v>
      </c>
      <c r="L134" t="s">
        <v>2527</v>
      </c>
      <c r="M134" t="s">
        <v>24</v>
      </c>
      <c r="N134" s="6" t="s">
        <v>2525</v>
      </c>
      <c r="O134" t="s">
        <v>2531</v>
      </c>
      <c r="P134">
        <f t="shared" si="2"/>
        <v>69</v>
      </c>
    </row>
    <row r="135" spans="1:16" x14ac:dyDescent="0.2">
      <c r="A135" t="s">
        <v>1818</v>
      </c>
      <c r="B135" t="s">
        <v>82</v>
      </c>
      <c r="C135" t="s">
        <v>39</v>
      </c>
      <c r="D135" s="4">
        <v>24138</v>
      </c>
      <c r="E135" s="4">
        <v>45316</v>
      </c>
      <c r="F135" s="9">
        <v>45326</v>
      </c>
      <c r="G135" t="s">
        <v>83</v>
      </c>
      <c r="H135" t="s">
        <v>66</v>
      </c>
      <c r="I135" t="s">
        <v>41</v>
      </c>
      <c r="J135" s="7">
        <v>3440064</v>
      </c>
      <c r="K135" t="s">
        <v>48</v>
      </c>
      <c r="L135" t="s">
        <v>2527</v>
      </c>
      <c r="M135" t="s">
        <v>78</v>
      </c>
      <c r="N135" s="6">
        <v>10</v>
      </c>
      <c r="O135" t="s">
        <v>25</v>
      </c>
      <c r="P135">
        <f t="shared" si="2"/>
        <v>58</v>
      </c>
    </row>
    <row r="136" spans="1:16" x14ac:dyDescent="0.2">
      <c r="A136" t="s">
        <v>1819</v>
      </c>
      <c r="B136" t="s">
        <v>150</v>
      </c>
      <c r="C136" t="s">
        <v>28</v>
      </c>
      <c r="D136" s="4">
        <v>39559</v>
      </c>
      <c r="E136" s="4">
        <v>45315</v>
      </c>
      <c r="F136" s="9">
        <v>45324</v>
      </c>
      <c r="G136" t="s">
        <v>88</v>
      </c>
      <c r="H136" t="s">
        <v>66</v>
      </c>
      <c r="I136" t="s">
        <v>67</v>
      </c>
      <c r="J136" s="7">
        <v>1697400</v>
      </c>
      <c r="K136" t="s">
        <v>71</v>
      </c>
      <c r="L136" t="s">
        <v>2527</v>
      </c>
      <c r="M136" t="s">
        <v>24</v>
      </c>
      <c r="N136" s="6">
        <v>9</v>
      </c>
      <c r="O136" t="s">
        <v>25</v>
      </c>
      <c r="P136">
        <f t="shared" si="2"/>
        <v>16</v>
      </c>
    </row>
    <row r="137" spans="1:16" x14ac:dyDescent="0.2">
      <c r="A137" t="s">
        <v>1820</v>
      </c>
      <c r="B137" t="s">
        <v>80</v>
      </c>
      <c r="C137" t="s">
        <v>28</v>
      </c>
      <c r="D137" s="4">
        <v>25191</v>
      </c>
      <c r="E137" s="4">
        <v>45361</v>
      </c>
      <c r="F137" s="9">
        <v>45372</v>
      </c>
      <c r="G137" t="s">
        <v>40</v>
      </c>
      <c r="H137" t="s">
        <v>75</v>
      </c>
      <c r="I137" t="s">
        <v>2534</v>
      </c>
      <c r="J137" s="7">
        <v>629924</v>
      </c>
      <c r="K137" t="s">
        <v>48</v>
      </c>
      <c r="L137" t="s">
        <v>34</v>
      </c>
      <c r="M137" t="s">
        <v>35</v>
      </c>
      <c r="N137" s="6">
        <v>11</v>
      </c>
      <c r="O137" t="s">
        <v>2531</v>
      </c>
      <c r="P137">
        <f t="shared" si="2"/>
        <v>56</v>
      </c>
    </row>
    <row r="138" spans="1:16" x14ac:dyDescent="0.2">
      <c r="A138" t="s">
        <v>1821</v>
      </c>
      <c r="B138" t="s">
        <v>150</v>
      </c>
      <c r="C138" t="s">
        <v>92</v>
      </c>
      <c r="D138" s="4">
        <v>23587</v>
      </c>
      <c r="E138" s="4">
        <v>45437</v>
      </c>
      <c r="F138" s="9">
        <v>45446</v>
      </c>
      <c r="G138" t="s">
        <v>29</v>
      </c>
      <c r="H138" t="s">
        <v>19</v>
      </c>
      <c r="I138" t="s">
        <v>2534</v>
      </c>
      <c r="J138" s="7">
        <v>1455992</v>
      </c>
      <c r="K138" t="s">
        <v>43</v>
      </c>
      <c r="L138" t="s">
        <v>2527</v>
      </c>
      <c r="M138" t="s">
        <v>35</v>
      </c>
      <c r="N138" s="6">
        <v>9</v>
      </c>
      <c r="O138" t="s">
        <v>25</v>
      </c>
      <c r="P138">
        <f t="shared" si="2"/>
        <v>60</v>
      </c>
    </row>
    <row r="139" spans="1:16" x14ac:dyDescent="0.2">
      <c r="A139" t="s">
        <v>269</v>
      </c>
      <c r="B139" t="s">
        <v>59</v>
      </c>
      <c r="C139" t="s">
        <v>92</v>
      </c>
      <c r="D139" s="4">
        <v>38379</v>
      </c>
      <c r="E139" s="4">
        <v>45375</v>
      </c>
      <c r="F139" s="9">
        <v>45388</v>
      </c>
      <c r="G139" t="s">
        <v>100</v>
      </c>
      <c r="H139" t="s">
        <v>61</v>
      </c>
      <c r="I139" t="s">
        <v>2533</v>
      </c>
      <c r="J139" s="7">
        <v>4647104</v>
      </c>
      <c r="K139" t="s">
        <v>71</v>
      </c>
      <c r="L139" t="s">
        <v>23</v>
      </c>
      <c r="M139" t="s">
        <v>24</v>
      </c>
      <c r="N139" s="6">
        <v>13</v>
      </c>
      <c r="O139" t="s">
        <v>25</v>
      </c>
      <c r="P139">
        <f t="shared" si="2"/>
        <v>19</v>
      </c>
    </row>
    <row r="140" spans="1:16" x14ac:dyDescent="0.2">
      <c r="A140" t="s">
        <v>1822</v>
      </c>
      <c r="B140" t="s">
        <v>45</v>
      </c>
      <c r="C140" t="s">
        <v>39</v>
      </c>
      <c r="D140" s="4">
        <v>26339</v>
      </c>
      <c r="E140" s="4">
        <v>45313</v>
      </c>
      <c r="F140" s="9">
        <v>45325</v>
      </c>
      <c r="G140" t="s">
        <v>29</v>
      </c>
      <c r="H140" t="s">
        <v>19</v>
      </c>
      <c r="I140" t="s">
        <v>2533</v>
      </c>
      <c r="J140" s="7">
        <v>1199496</v>
      </c>
      <c r="K140" t="s">
        <v>48</v>
      </c>
      <c r="L140" t="s">
        <v>2527</v>
      </c>
      <c r="M140" t="s">
        <v>78</v>
      </c>
      <c r="N140" s="6">
        <v>12</v>
      </c>
      <c r="O140" t="s">
        <v>25</v>
      </c>
      <c r="P140">
        <f t="shared" si="2"/>
        <v>52</v>
      </c>
    </row>
    <row r="141" spans="1:16" x14ac:dyDescent="0.2">
      <c r="A141" t="s">
        <v>272</v>
      </c>
      <c r="B141" t="s">
        <v>150</v>
      </c>
      <c r="C141" t="s">
        <v>28</v>
      </c>
      <c r="D141" s="4">
        <v>32386</v>
      </c>
      <c r="E141" s="4">
        <v>45434</v>
      </c>
      <c r="F141" s="9" t="s">
        <v>2536</v>
      </c>
      <c r="G141" t="s">
        <v>74</v>
      </c>
      <c r="H141" t="s">
        <v>2528</v>
      </c>
      <c r="I141" t="s">
        <v>2535</v>
      </c>
      <c r="J141" s="7">
        <v>1015000</v>
      </c>
      <c r="K141" t="s">
        <v>71</v>
      </c>
      <c r="L141" t="s">
        <v>34</v>
      </c>
      <c r="M141" t="s">
        <v>78</v>
      </c>
      <c r="N141" s="6" t="s">
        <v>2525</v>
      </c>
      <c r="O141" t="s">
        <v>25</v>
      </c>
      <c r="P141">
        <f t="shared" si="2"/>
        <v>36</v>
      </c>
    </row>
    <row r="142" spans="1:16" x14ac:dyDescent="0.2">
      <c r="A142" t="s">
        <v>1823</v>
      </c>
      <c r="B142" t="s">
        <v>27</v>
      </c>
      <c r="C142" t="s">
        <v>28</v>
      </c>
      <c r="D142" s="4">
        <v>37005</v>
      </c>
      <c r="E142" s="4">
        <v>45467</v>
      </c>
      <c r="F142" s="9">
        <v>45472</v>
      </c>
      <c r="G142" t="s">
        <v>60</v>
      </c>
      <c r="H142" t="s">
        <v>66</v>
      </c>
      <c r="I142" t="s">
        <v>67</v>
      </c>
      <c r="J142" s="7">
        <v>863788</v>
      </c>
      <c r="K142" t="s">
        <v>71</v>
      </c>
      <c r="L142" t="s">
        <v>2527</v>
      </c>
      <c r="M142" t="s">
        <v>78</v>
      </c>
      <c r="N142" s="6">
        <v>5</v>
      </c>
      <c r="O142" t="s">
        <v>25</v>
      </c>
      <c r="P142">
        <f t="shared" si="2"/>
        <v>23</v>
      </c>
    </row>
    <row r="143" spans="1:16" x14ac:dyDescent="0.2">
      <c r="A143" t="s">
        <v>1824</v>
      </c>
      <c r="B143" t="s">
        <v>38</v>
      </c>
      <c r="C143" t="s">
        <v>28</v>
      </c>
      <c r="D143" s="4">
        <v>38745</v>
      </c>
      <c r="E143" s="4">
        <v>45444</v>
      </c>
      <c r="F143" s="9">
        <v>45447</v>
      </c>
      <c r="G143" t="s">
        <v>88</v>
      </c>
      <c r="H143" t="s">
        <v>66</v>
      </c>
      <c r="I143" t="s">
        <v>2533</v>
      </c>
      <c r="J143" s="7">
        <v>5167640</v>
      </c>
      <c r="K143" t="s">
        <v>48</v>
      </c>
      <c r="L143" t="s">
        <v>2527</v>
      </c>
      <c r="M143" t="s">
        <v>78</v>
      </c>
      <c r="N143" s="6">
        <v>3</v>
      </c>
      <c r="O143" t="s">
        <v>2531</v>
      </c>
      <c r="P143">
        <f t="shared" si="2"/>
        <v>18</v>
      </c>
    </row>
    <row r="144" spans="1:16" x14ac:dyDescent="0.2">
      <c r="A144" t="s">
        <v>1825</v>
      </c>
      <c r="B144" t="s">
        <v>87</v>
      </c>
      <c r="C144" t="s">
        <v>92</v>
      </c>
      <c r="D144" s="4">
        <v>28771</v>
      </c>
      <c r="E144" s="4">
        <v>45414</v>
      </c>
      <c r="F144" s="9">
        <v>45421</v>
      </c>
      <c r="G144" t="s">
        <v>60</v>
      </c>
      <c r="H144" t="s">
        <v>66</v>
      </c>
      <c r="I144" t="s">
        <v>2534</v>
      </c>
      <c r="J144" s="7">
        <v>5265712</v>
      </c>
      <c r="K144" t="s">
        <v>43</v>
      </c>
      <c r="L144" t="s">
        <v>23</v>
      </c>
      <c r="M144" t="s">
        <v>78</v>
      </c>
      <c r="N144" s="6">
        <v>7</v>
      </c>
      <c r="O144" t="s">
        <v>36</v>
      </c>
      <c r="P144">
        <f t="shared" si="2"/>
        <v>46</v>
      </c>
    </row>
    <row r="145" spans="1:16" x14ac:dyDescent="0.2">
      <c r="A145" t="s">
        <v>1826</v>
      </c>
      <c r="B145" t="s">
        <v>16</v>
      </c>
      <c r="C145" t="s">
        <v>92</v>
      </c>
      <c r="D145" s="4">
        <v>24811</v>
      </c>
      <c r="E145" s="4">
        <v>45466</v>
      </c>
      <c r="F145" s="9">
        <v>45474</v>
      </c>
      <c r="G145" t="s">
        <v>100</v>
      </c>
      <c r="H145" t="s">
        <v>61</v>
      </c>
      <c r="I145" t="s">
        <v>2533</v>
      </c>
      <c r="J145" s="7">
        <v>909052</v>
      </c>
      <c r="K145" t="s">
        <v>71</v>
      </c>
      <c r="L145" t="s">
        <v>23</v>
      </c>
      <c r="M145" t="s">
        <v>24</v>
      </c>
      <c r="N145" s="6">
        <v>8</v>
      </c>
      <c r="O145" t="s">
        <v>2531</v>
      </c>
      <c r="P145">
        <f t="shared" si="2"/>
        <v>57</v>
      </c>
    </row>
    <row r="146" spans="1:16" x14ac:dyDescent="0.2">
      <c r="A146" t="s">
        <v>277</v>
      </c>
      <c r="B146" t="s">
        <v>82</v>
      </c>
      <c r="C146" t="s">
        <v>39</v>
      </c>
      <c r="D146" s="4">
        <v>30617</v>
      </c>
      <c r="E146" s="4">
        <v>45406</v>
      </c>
      <c r="F146" s="9">
        <v>45415</v>
      </c>
      <c r="G146" t="s">
        <v>40</v>
      </c>
      <c r="H146" t="s">
        <v>75</v>
      </c>
      <c r="I146" t="s">
        <v>41</v>
      </c>
      <c r="J146" s="7">
        <v>3153392</v>
      </c>
      <c r="K146" t="s">
        <v>48</v>
      </c>
      <c r="L146" t="s">
        <v>23</v>
      </c>
      <c r="M146" t="s">
        <v>24</v>
      </c>
      <c r="N146" s="6">
        <v>9</v>
      </c>
      <c r="O146" t="s">
        <v>2531</v>
      </c>
      <c r="P146">
        <f t="shared" si="2"/>
        <v>41</v>
      </c>
    </row>
    <row r="147" spans="1:16" x14ac:dyDescent="0.2">
      <c r="A147" t="s">
        <v>1827</v>
      </c>
      <c r="B147" t="s">
        <v>80</v>
      </c>
      <c r="C147" t="s">
        <v>92</v>
      </c>
      <c r="D147" s="4">
        <v>39400</v>
      </c>
      <c r="E147" s="4">
        <v>45376</v>
      </c>
      <c r="F147" s="9" t="s">
        <v>2536</v>
      </c>
      <c r="G147" t="s">
        <v>74</v>
      </c>
      <c r="H147" t="s">
        <v>2528</v>
      </c>
      <c r="I147" t="s">
        <v>67</v>
      </c>
      <c r="J147" s="7">
        <v>4318940</v>
      </c>
      <c r="K147" t="s">
        <v>71</v>
      </c>
      <c r="L147" t="s">
        <v>2527</v>
      </c>
      <c r="M147" t="s">
        <v>78</v>
      </c>
      <c r="N147" s="6" t="s">
        <v>2525</v>
      </c>
      <c r="O147" t="s">
        <v>2531</v>
      </c>
      <c r="P147">
        <f t="shared" si="2"/>
        <v>17</v>
      </c>
    </row>
    <row r="148" spans="1:16" x14ac:dyDescent="0.2">
      <c r="A148" t="s">
        <v>1828</v>
      </c>
      <c r="B148" t="s">
        <v>105</v>
      </c>
      <c r="C148" t="s">
        <v>28</v>
      </c>
      <c r="D148" s="4">
        <v>29567</v>
      </c>
      <c r="E148" s="4">
        <v>45415</v>
      </c>
      <c r="F148" s="9">
        <v>45430</v>
      </c>
      <c r="G148" t="s">
        <v>74</v>
      </c>
      <c r="H148" t="s">
        <v>2528</v>
      </c>
      <c r="I148" t="s">
        <v>2534</v>
      </c>
      <c r="J148" s="7">
        <v>1365000</v>
      </c>
      <c r="K148" t="s">
        <v>48</v>
      </c>
      <c r="L148" t="s">
        <v>2527</v>
      </c>
      <c r="M148" t="s">
        <v>78</v>
      </c>
      <c r="N148" s="6">
        <v>15</v>
      </c>
      <c r="O148" t="s">
        <v>36</v>
      </c>
      <c r="P148">
        <f t="shared" si="2"/>
        <v>44</v>
      </c>
    </row>
    <row r="149" spans="1:16" x14ac:dyDescent="0.2">
      <c r="A149" t="s">
        <v>1829</v>
      </c>
      <c r="B149" t="s">
        <v>56</v>
      </c>
      <c r="C149" t="s">
        <v>92</v>
      </c>
      <c r="D149" s="4">
        <v>32621</v>
      </c>
      <c r="E149" s="4">
        <v>45373</v>
      </c>
      <c r="F149" s="9">
        <v>45386</v>
      </c>
      <c r="G149" t="s">
        <v>88</v>
      </c>
      <c r="H149" t="s">
        <v>66</v>
      </c>
      <c r="I149" t="s">
        <v>2533</v>
      </c>
      <c r="J149" s="7">
        <v>5382644</v>
      </c>
      <c r="K149" t="s">
        <v>48</v>
      </c>
      <c r="L149" t="s">
        <v>23</v>
      </c>
      <c r="M149" t="s">
        <v>24</v>
      </c>
      <c r="N149" s="6">
        <v>13</v>
      </c>
      <c r="O149" t="s">
        <v>25</v>
      </c>
      <c r="P149">
        <f t="shared" si="2"/>
        <v>35</v>
      </c>
    </row>
    <row r="150" spans="1:16" x14ac:dyDescent="0.2">
      <c r="A150" t="s">
        <v>1830</v>
      </c>
      <c r="B150" t="s">
        <v>27</v>
      </c>
      <c r="C150" t="s">
        <v>28</v>
      </c>
      <c r="D150" s="4">
        <v>33404</v>
      </c>
      <c r="E150" s="4">
        <v>45395</v>
      </c>
      <c r="F150" s="9">
        <v>45406</v>
      </c>
      <c r="G150" t="s">
        <v>29</v>
      </c>
      <c r="H150" t="s">
        <v>19</v>
      </c>
      <c r="I150" t="s">
        <v>2534</v>
      </c>
      <c r="J150" s="7">
        <v>5118604</v>
      </c>
      <c r="K150" t="s">
        <v>71</v>
      </c>
      <c r="L150" t="s">
        <v>2527</v>
      </c>
      <c r="M150" t="s">
        <v>78</v>
      </c>
      <c r="N150" s="6">
        <v>11</v>
      </c>
      <c r="O150" t="s">
        <v>25</v>
      </c>
      <c r="P150">
        <f t="shared" si="2"/>
        <v>33</v>
      </c>
    </row>
    <row r="151" spans="1:16" x14ac:dyDescent="0.2">
      <c r="A151" t="s">
        <v>285</v>
      </c>
      <c r="B151" t="s">
        <v>38</v>
      </c>
      <c r="C151" t="s">
        <v>39</v>
      </c>
      <c r="D151" s="4">
        <v>20314</v>
      </c>
      <c r="E151" s="4">
        <v>45429</v>
      </c>
      <c r="F151" s="9">
        <v>45433</v>
      </c>
      <c r="G151" t="s">
        <v>74</v>
      </c>
      <c r="H151" t="s">
        <v>2528</v>
      </c>
      <c r="I151" t="s">
        <v>2534</v>
      </c>
      <c r="J151" s="7">
        <v>3857000</v>
      </c>
      <c r="K151" t="s">
        <v>43</v>
      </c>
      <c r="L151" t="s">
        <v>2527</v>
      </c>
      <c r="M151" t="s">
        <v>24</v>
      </c>
      <c r="N151" s="6">
        <v>4</v>
      </c>
      <c r="O151" t="s">
        <v>36</v>
      </c>
      <c r="P151">
        <f t="shared" si="2"/>
        <v>69</v>
      </c>
    </row>
    <row r="152" spans="1:16" x14ac:dyDescent="0.2">
      <c r="A152" t="s">
        <v>1831</v>
      </c>
      <c r="B152" t="s">
        <v>114</v>
      </c>
      <c r="C152" t="s">
        <v>92</v>
      </c>
      <c r="D152" s="4">
        <v>23917</v>
      </c>
      <c r="E152" s="4">
        <v>45449</v>
      </c>
      <c r="F152" s="9">
        <v>45455</v>
      </c>
      <c r="G152" t="s">
        <v>50</v>
      </c>
      <c r="H152" t="s">
        <v>2528</v>
      </c>
      <c r="I152" t="s">
        <v>67</v>
      </c>
      <c r="J152" s="7">
        <v>1659000</v>
      </c>
      <c r="K152" t="s">
        <v>48</v>
      </c>
      <c r="L152" t="s">
        <v>2527</v>
      </c>
      <c r="M152" t="s">
        <v>78</v>
      </c>
      <c r="N152" s="6">
        <v>6</v>
      </c>
      <c r="O152" t="s">
        <v>36</v>
      </c>
      <c r="P152">
        <f t="shared" si="2"/>
        <v>59</v>
      </c>
    </row>
    <row r="153" spans="1:16" x14ac:dyDescent="0.2">
      <c r="A153" t="s">
        <v>1832</v>
      </c>
      <c r="B153" t="s">
        <v>140</v>
      </c>
      <c r="C153" t="s">
        <v>28</v>
      </c>
      <c r="D153" s="4">
        <v>39088</v>
      </c>
      <c r="E153" s="4">
        <v>45434</v>
      </c>
      <c r="F153" s="9">
        <v>45437</v>
      </c>
      <c r="G153" t="s">
        <v>83</v>
      </c>
      <c r="H153" t="s">
        <v>66</v>
      </c>
      <c r="I153" t="s">
        <v>2533</v>
      </c>
      <c r="J153" s="7">
        <v>5160096</v>
      </c>
      <c r="K153" t="s">
        <v>48</v>
      </c>
      <c r="L153" t="s">
        <v>34</v>
      </c>
      <c r="M153" t="s">
        <v>78</v>
      </c>
      <c r="N153" s="6">
        <v>3</v>
      </c>
      <c r="O153" t="s">
        <v>36</v>
      </c>
      <c r="P153">
        <f t="shared" si="2"/>
        <v>17</v>
      </c>
    </row>
    <row r="154" spans="1:16" x14ac:dyDescent="0.2">
      <c r="A154" t="s">
        <v>1833</v>
      </c>
      <c r="B154" t="s">
        <v>105</v>
      </c>
      <c r="C154" t="s">
        <v>28</v>
      </c>
      <c r="D154" s="4">
        <v>34483</v>
      </c>
      <c r="E154" s="4">
        <v>45467</v>
      </c>
      <c r="F154" s="9">
        <v>45481</v>
      </c>
      <c r="G154" t="s">
        <v>100</v>
      </c>
      <c r="H154" t="s">
        <v>61</v>
      </c>
      <c r="I154" t="s">
        <v>67</v>
      </c>
      <c r="J154" s="7">
        <v>4741404</v>
      </c>
      <c r="K154" t="s">
        <v>48</v>
      </c>
      <c r="L154" t="s">
        <v>2527</v>
      </c>
      <c r="M154" t="s">
        <v>35</v>
      </c>
      <c r="N154" s="6">
        <v>14</v>
      </c>
      <c r="O154" t="s">
        <v>2531</v>
      </c>
      <c r="P154">
        <f t="shared" si="2"/>
        <v>30</v>
      </c>
    </row>
    <row r="155" spans="1:16" x14ac:dyDescent="0.2">
      <c r="A155" t="s">
        <v>1834</v>
      </c>
      <c r="B155" t="s">
        <v>140</v>
      </c>
      <c r="C155" t="s">
        <v>39</v>
      </c>
      <c r="D155" s="4">
        <v>33249</v>
      </c>
      <c r="E155" s="4">
        <v>45432</v>
      </c>
      <c r="F155" s="9">
        <v>45437</v>
      </c>
      <c r="G155" t="s">
        <v>40</v>
      </c>
      <c r="H155" t="s">
        <v>75</v>
      </c>
      <c r="I155" t="s">
        <v>41</v>
      </c>
      <c r="J155" s="7">
        <v>697820</v>
      </c>
      <c r="K155" t="s">
        <v>43</v>
      </c>
      <c r="L155" t="s">
        <v>23</v>
      </c>
      <c r="M155" t="s">
        <v>78</v>
      </c>
      <c r="N155" s="6">
        <v>5</v>
      </c>
      <c r="O155" t="s">
        <v>2531</v>
      </c>
      <c r="P155">
        <f t="shared" si="2"/>
        <v>33</v>
      </c>
    </row>
    <row r="156" spans="1:16" x14ac:dyDescent="0.2">
      <c r="A156" t="s">
        <v>291</v>
      </c>
      <c r="B156" t="s">
        <v>45</v>
      </c>
      <c r="C156" t="s">
        <v>39</v>
      </c>
      <c r="D156" s="4">
        <v>19320</v>
      </c>
      <c r="E156" s="4">
        <v>45359</v>
      </c>
      <c r="F156" s="9">
        <v>45361</v>
      </c>
      <c r="G156" t="s">
        <v>74</v>
      </c>
      <c r="H156" t="s">
        <v>2528</v>
      </c>
      <c r="I156" t="s">
        <v>41</v>
      </c>
      <c r="J156" s="7">
        <v>2206620</v>
      </c>
      <c r="K156" t="s">
        <v>43</v>
      </c>
      <c r="L156" t="s">
        <v>2527</v>
      </c>
      <c r="M156" t="s">
        <v>24</v>
      </c>
      <c r="N156" s="6">
        <v>2</v>
      </c>
      <c r="O156" t="s">
        <v>25</v>
      </c>
      <c r="P156">
        <f t="shared" si="2"/>
        <v>72</v>
      </c>
    </row>
    <row r="157" spans="1:16" x14ac:dyDescent="0.2">
      <c r="A157" t="s">
        <v>1835</v>
      </c>
      <c r="B157" t="s">
        <v>87</v>
      </c>
      <c r="C157" t="s">
        <v>39</v>
      </c>
      <c r="D157" s="4">
        <v>25034</v>
      </c>
      <c r="E157" s="4">
        <v>45307</v>
      </c>
      <c r="F157" s="9">
        <v>45317</v>
      </c>
      <c r="G157" t="s">
        <v>83</v>
      </c>
      <c r="H157" t="s">
        <v>66</v>
      </c>
      <c r="I157" t="s">
        <v>2533</v>
      </c>
      <c r="J157" s="7">
        <v>2422000</v>
      </c>
      <c r="K157" t="s">
        <v>43</v>
      </c>
      <c r="L157" t="s">
        <v>34</v>
      </c>
      <c r="M157" t="s">
        <v>35</v>
      </c>
      <c r="N157" s="6">
        <v>10</v>
      </c>
      <c r="O157" t="s">
        <v>36</v>
      </c>
      <c r="P157">
        <f t="shared" si="2"/>
        <v>56</v>
      </c>
    </row>
    <row r="158" spans="1:16" x14ac:dyDescent="0.2">
      <c r="A158" t="s">
        <v>295</v>
      </c>
      <c r="B158" t="s">
        <v>38</v>
      </c>
      <c r="C158" t="s">
        <v>39</v>
      </c>
      <c r="D158" s="4">
        <v>39756</v>
      </c>
      <c r="E158" s="4">
        <v>45471</v>
      </c>
      <c r="F158" s="9">
        <v>45483</v>
      </c>
      <c r="G158" t="s">
        <v>50</v>
      </c>
      <c r="H158" t="s">
        <v>2528</v>
      </c>
      <c r="I158" t="s">
        <v>41</v>
      </c>
      <c r="J158" s="7">
        <v>5597648</v>
      </c>
      <c r="K158" t="s">
        <v>71</v>
      </c>
      <c r="L158" t="s">
        <v>23</v>
      </c>
      <c r="M158" t="s">
        <v>24</v>
      </c>
      <c r="N158" s="6">
        <v>12</v>
      </c>
      <c r="O158" t="s">
        <v>36</v>
      </c>
      <c r="P158">
        <f t="shared" si="2"/>
        <v>16</v>
      </c>
    </row>
    <row r="159" spans="1:16" x14ac:dyDescent="0.2">
      <c r="A159" t="s">
        <v>1836</v>
      </c>
      <c r="B159" t="s">
        <v>114</v>
      </c>
      <c r="C159" t="s">
        <v>92</v>
      </c>
      <c r="D159" s="4">
        <v>39026</v>
      </c>
      <c r="E159" s="4">
        <v>45395</v>
      </c>
      <c r="F159" s="9">
        <v>45410</v>
      </c>
      <c r="G159" t="s">
        <v>100</v>
      </c>
      <c r="H159" t="s">
        <v>61</v>
      </c>
      <c r="I159" t="s">
        <v>2533</v>
      </c>
      <c r="J159" s="7">
        <v>4869652</v>
      </c>
      <c r="K159" t="s">
        <v>48</v>
      </c>
      <c r="L159" t="s">
        <v>2527</v>
      </c>
      <c r="M159" t="s">
        <v>24</v>
      </c>
      <c r="N159" s="6">
        <v>15</v>
      </c>
      <c r="O159" t="s">
        <v>25</v>
      </c>
      <c r="P159">
        <f t="shared" si="2"/>
        <v>18</v>
      </c>
    </row>
    <row r="160" spans="1:16" x14ac:dyDescent="0.2">
      <c r="A160" t="s">
        <v>1837</v>
      </c>
      <c r="B160" t="s">
        <v>118</v>
      </c>
      <c r="C160" t="s">
        <v>28</v>
      </c>
      <c r="D160" s="4">
        <v>32342</v>
      </c>
      <c r="E160" s="4">
        <v>45418</v>
      </c>
      <c r="F160" s="9">
        <v>45423</v>
      </c>
      <c r="G160" t="s">
        <v>40</v>
      </c>
      <c r="H160" t="s">
        <v>75</v>
      </c>
      <c r="I160" t="s">
        <v>67</v>
      </c>
      <c r="J160" s="7">
        <v>4748948</v>
      </c>
      <c r="K160" t="s">
        <v>48</v>
      </c>
      <c r="L160" t="s">
        <v>34</v>
      </c>
      <c r="M160" t="s">
        <v>35</v>
      </c>
      <c r="N160" s="6">
        <v>5</v>
      </c>
      <c r="O160" t="s">
        <v>36</v>
      </c>
      <c r="P160">
        <f t="shared" si="2"/>
        <v>36</v>
      </c>
    </row>
    <row r="161" spans="1:16" x14ac:dyDescent="0.2">
      <c r="A161" t="s">
        <v>298</v>
      </c>
      <c r="B161" t="s">
        <v>16</v>
      </c>
      <c r="C161" t="s">
        <v>39</v>
      </c>
      <c r="D161" s="4">
        <v>23440</v>
      </c>
      <c r="E161" s="4">
        <v>45408</v>
      </c>
      <c r="F161" s="9">
        <v>45415</v>
      </c>
      <c r="G161" t="s">
        <v>46</v>
      </c>
      <c r="H161" t="s">
        <v>30</v>
      </c>
      <c r="I161" t="s">
        <v>2533</v>
      </c>
      <c r="J161" s="7">
        <v>1487500</v>
      </c>
      <c r="K161" t="s">
        <v>48</v>
      </c>
      <c r="L161" t="s">
        <v>2527</v>
      </c>
      <c r="M161" t="s">
        <v>78</v>
      </c>
      <c r="N161" s="6">
        <v>7</v>
      </c>
      <c r="O161" t="s">
        <v>2531</v>
      </c>
      <c r="P161">
        <f t="shared" si="2"/>
        <v>60</v>
      </c>
    </row>
    <row r="162" spans="1:16" x14ac:dyDescent="0.2">
      <c r="A162" t="s">
        <v>1838</v>
      </c>
      <c r="B162" t="s">
        <v>140</v>
      </c>
      <c r="C162" t="s">
        <v>92</v>
      </c>
      <c r="D162" s="4">
        <v>31251</v>
      </c>
      <c r="E162" s="4">
        <v>45471</v>
      </c>
      <c r="F162" s="9">
        <v>45473</v>
      </c>
      <c r="G162" t="s">
        <v>88</v>
      </c>
      <c r="H162" t="s">
        <v>66</v>
      </c>
      <c r="I162" t="s">
        <v>2533</v>
      </c>
      <c r="J162" s="7">
        <v>976948</v>
      </c>
      <c r="K162" t="s">
        <v>43</v>
      </c>
      <c r="L162" t="s">
        <v>23</v>
      </c>
      <c r="M162" t="s">
        <v>24</v>
      </c>
      <c r="N162" s="6">
        <v>2</v>
      </c>
      <c r="O162" t="s">
        <v>25</v>
      </c>
      <c r="P162">
        <f t="shared" si="2"/>
        <v>39</v>
      </c>
    </row>
    <row r="163" spans="1:16" x14ac:dyDescent="0.2">
      <c r="A163" t="s">
        <v>1839</v>
      </c>
      <c r="B163" t="s">
        <v>59</v>
      </c>
      <c r="C163" t="s">
        <v>39</v>
      </c>
      <c r="D163" s="4">
        <v>22215</v>
      </c>
      <c r="E163" s="4">
        <v>45469</v>
      </c>
      <c r="F163" s="9">
        <v>45473</v>
      </c>
      <c r="G163" t="s">
        <v>74</v>
      </c>
      <c r="H163" t="s">
        <v>2528</v>
      </c>
      <c r="I163" t="s">
        <v>41</v>
      </c>
      <c r="J163" s="7">
        <v>1165548</v>
      </c>
      <c r="K163" t="s">
        <v>48</v>
      </c>
      <c r="L163" t="s">
        <v>2527</v>
      </c>
      <c r="M163" t="s">
        <v>78</v>
      </c>
      <c r="N163" s="6">
        <v>4</v>
      </c>
      <c r="O163" t="s">
        <v>25</v>
      </c>
      <c r="P163">
        <f t="shared" si="2"/>
        <v>64</v>
      </c>
    </row>
    <row r="164" spans="1:16" x14ac:dyDescent="0.2">
      <c r="A164" t="s">
        <v>1840</v>
      </c>
      <c r="B164" t="s">
        <v>87</v>
      </c>
      <c r="C164" t="s">
        <v>92</v>
      </c>
      <c r="D164" s="4">
        <v>35647</v>
      </c>
      <c r="E164" s="4">
        <v>45448</v>
      </c>
      <c r="F164" s="9">
        <v>45460</v>
      </c>
      <c r="G164" t="s">
        <v>72</v>
      </c>
      <c r="H164" t="s">
        <v>2529</v>
      </c>
      <c r="I164" t="s">
        <v>67</v>
      </c>
      <c r="J164" s="7">
        <v>3556996</v>
      </c>
      <c r="K164" t="s">
        <v>48</v>
      </c>
      <c r="L164" t="s">
        <v>34</v>
      </c>
      <c r="M164" t="s">
        <v>35</v>
      </c>
      <c r="N164" s="6">
        <v>12</v>
      </c>
      <c r="O164" t="s">
        <v>25</v>
      </c>
      <c r="P164">
        <f t="shared" si="2"/>
        <v>27</v>
      </c>
    </row>
    <row r="165" spans="1:16" x14ac:dyDescent="0.2">
      <c r="A165" t="s">
        <v>1841</v>
      </c>
      <c r="B165" t="s">
        <v>118</v>
      </c>
      <c r="C165" t="s">
        <v>92</v>
      </c>
      <c r="D165" s="4">
        <v>32334</v>
      </c>
      <c r="E165" s="4">
        <v>45327</v>
      </c>
      <c r="F165" s="9">
        <v>45329</v>
      </c>
      <c r="G165" t="s">
        <v>40</v>
      </c>
      <c r="H165" t="s">
        <v>75</v>
      </c>
      <c r="I165" t="s">
        <v>2535</v>
      </c>
      <c r="J165" s="7">
        <v>4704000</v>
      </c>
      <c r="K165" t="s">
        <v>48</v>
      </c>
      <c r="L165" t="s">
        <v>2527</v>
      </c>
      <c r="M165" t="s">
        <v>35</v>
      </c>
      <c r="N165" s="6">
        <v>2</v>
      </c>
      <c r="O165" t="s">
        <v>25</v>
      </c>
      <c r="P165">
        <f t="shared" si="2"/>
        <v>36</v>
      </c>
    </row>
    <row r="166" spans="1:16" x14ac:dyDescent="0.2">
      <c r="A166" t="s">
        <v>1842</v>
      </c>
      <c r="B166" t="s">
        <v>118</v>
      </c>
      <c r="C166" t="s">
        <v>92</v>
      </c>
      <c r="D166" s="4">
        <v>39437</v>
      </c>
      <c r="E166" s="4">
        <v>45353</v>
      </c>
      <c r="F166" s="9">
        <v>45357</v>
      </c>
      <c r="G166" t="s">
        <v>72</v>
      </c>
      <c r="H166" t="s">
        <v>2529</v>
      </c>
      <c r="I166" t="s">
        <v>67</v>
      </c>
      <c r="J166" s="7">
        <v>4454732</v>
      </c>
      <c r="K166" t="s">
        <v>48</v>
      </c>
      <c r="L166" t="s">
        <v>2527</v>
      </c>
      <c r="M166" t="s">
        <v>35</v>
      </c>
      <c r="N166" s="6">
        <v>4</v>
      </c>
      <c r="O166" t="s">
        <v>2531</v>
      </c>
      <c r="P166">
        <f t="shared" si="2"/>
        <v>17</v>
      </c>
    </row>
    <row r="167" spans="1:16" x14ac:dyDescent="0.2">
      <c r="A167" t="s">
        <v>1843</v>
      </c>
      <c r="B167" t="s">
        <v>102</v>
      </c>
      <c r="C167" t="s">
        <v>92</v>
      </c>
      <c r="D167" s="4">
        <v>23925</v>
      </c>
      <c r="E167" s="4">
        <v>45310</v>
      </c>
      <c r="F167" s="9">
        <v>45311</v>
      </c>
      <c r="G167" t="s">
        <v>50</v>
      </c>
      <c r="H167" t="s">
        <v>2528</v>
      </c>
      <c r="I167" t="s">
        <v>67</v>
      </c>
      <c r="J167" s="7">
        <v>3202500</v>
      </c>
      <c r="K167" t="s">
        <v>43</v>
      </c>
      <c r="L167" t="s">
        <v>2527</v>
      </c>
      <c r="M167" t="s">
        <v>78</v>
      </c>
      <c r="N167" s="6">
        <v>1</v>
      </c>
      <c r="O167" t="s">
        <v>2531</v>
      </c>
      <c r="P167">
        <f t="shared" si="2"/>
        <v>59</v>
      </c>
    </row>
    <row r="168" spans="1:16" x14ac:dyDescent="0.2">
      <c r="A168" t="s">
        <v>1844</v>
      </c>
      <c r="B168" t="s">
        <v>27</v>
      </c>
      <c r="C168" t="s">
        <v>92</v>
      </c>
      <c r="D168" s="4">
        <v>23267</v>
      </c>
      <c r="E168" s="4">
        <v>45313</v>
      </c>
      <c r="F168" s="9" t="s">
        <v>2536</v>
      </c>
      <c r="G168" t="s">
        <v>50</v>
      </c>
      <c r="H168" t="s">
        <v>2528</v>
      </c>
      <c r="I168" t="s">
        <v>67</v>
      </c>
      <c r="J168" s="7">
        <v>4193000</v>
      </c>
      <c r="K168" t="s">
        <v>71</v>
      </c>
      <c r="L168" t="s">
        <v>34</v>
      </c>
      <c r="M168" t="s">
        <v>78</v>
      </c>
      <c r="N168" s="6" t="s">
        <v>2525</v>
      </c>
      <c r="O168" t="s">
        <v>25</v>
      </c>
      <c r="P168">
        <f t="shared" si="2"/>
        <v>61</v>
      </c>
    </row>
    <row r="169" spans="1:16" x14ac:dyDescent="0.2">
      <c r="A169" t="s">
        <v>312</v>
      </c>
      <c r="B169" t="s">
        <v>91</v>
      </c>
      <c r="C169" t="s">
        <v>92</v>
      </c>
      <c r="D169" s="4">
        <v>32501</v>
      </c>
      <c r="E169" s="4">
        <v>45408</v>
      </c>
      <c r="F169" s="9">
        <v>45420</v>
      </c>
      <c r="G169" t="s">
        <v>74</v>
      </c>
      <c r="H169" t="s">
        <v>2528</v>
      </c>
      <c r="I169" t="s">
        <v>2534</v>
      </c>
      <c r="J169" s="7">
        <v>1437132</v>
      </c>
      <c r="K169" t="s">
        <v>48</v>
      </c>
      <c r="L169" t="s">
        <v>2527</v>
      </c>
      <c r="M169" t="s">
        <v>78</v>
      </c>
      <c r="N169" s="6">
        <v>12</v>
      </c>
      <c r="O169" t="s">
        <v>2531</v>
      </c>
      <c r="P169">
        <f t="shared" si="2"/>
        <v>36</v>
      </c>
    </row>
    <row r="170" spans="1:16" x14ac:dyDescent="0.2">
      <c r="A170" t="s">
        <v>1845</v>
      </c>
      <c r="B170" t="s">
        <v>140</v>
      </c>
      <c r="C170" t="s">
        <v>92</v>
      </c>
      <c r="D170" s="4">
        <v>22423</v>
      </c>
      <c r="E170" s="4">
        <v>45322</v>
      </c>
      <c r="F170" s="9">
        <v>45329</v>
      </c>
      <c r="G170" t="s">
        <v>40</v>
      </c>
      <c r="H170" t="s">
        <v>75</v>
      </c>
      <c r="I170" t="s">
        <v>2533</v>
      </c>
      <c r="J170" s="7">
        <v>4828160</v>
      </c>
      <c r="K170" t="s">
        <v>71</v>
      </c>
      <c r="L170" t="s">
        <v>2527</v>
      </c>
      <c r="M170" t="s">
        <v>24</v>
      </c>
      <c r="N170" s="6">
        <v>7</v>
      </c>
      <c r="O170" t="s">
        <v>2531</v>
      </c>
      <c r="P170">
        <f t="shared" si="2"/>
        <v>63</v>
      </c>
    </row>
    <row r="171" spans="1:16" x14ac:dyDescent="0.2">
      <c r="A171" t="s">
        <v>314</v>
      </c>
      <c r="B171" t="s">
        <v>102</v>
      </c>
      <c r="C171" t="s">
        <v>28</v>
      </c>
      <c r="D171" s="4">
        <v>26623</v>
      </c>
      <c r="E171" s="4">
        <v>45438</v>
      </c>
      <c r="F171" s="9">
        <v>45447</v>
      </c>
      <c r="G171" t="s">
        <v>88</v>
      </c>
      <c r="H171" t="s">
        <v>66</v>
      </c>
      <c r="I171" t="s">
        <v>41</v>
      </c>
      <c r="J171" s="7">
        <v>471500</v>
      </c>
      <c r="K171" t="s">
        <v>48</v>
      </c>
      <c r="L171" t="s">
        <v>2527</v>
      </c>
      <c r="M171" t="s">
        <v>78</v>
      </c>
      <c r="N171" s="6">
        <v>9</v>
      </c>
      <c r="O171" t="s">
        <v>25</v>
      </c>
      <c r="P171">
        <f t="shared" si="2"/>
        <v>52</v>
      </c>
    </row>
    <row r="172" spans="1:16" x14ac:dyDescent="0.2">
      <c r="A172" t="s">
        <v>316</v>
      </c>
      <c r="B172" t="s">
        <v>27</v>
      </c>
      <c r="C172" t="s">
        <v>39</v>
      </c>
      <c r="D172" s="4">
        <v>39750</v>
      </c>
      <c r="E172" s="4">
        <v>45349</v>
      </c>
      <c r="F172" s="9">
        <v>45364</v>
      </c>
      <c r="G172" t="s">
        <v>60</v>
      </c>
      <c r="H172" t="s">
        <v>66</v>
      </c>
      <c r="I172" t="s">
        <v>67</v>
      </c>
      <c r="J172" s="7">
        <v>4445000</v>
      </c>
      <c r="K172" t="s">
        <v>48</v>
      </c>
      <c r="L172" t="s">
        <v>34</v>
      </c>
      <c r="M172" t="s">
        <v>35</v>
      </c>
      <c r="N172" s="6">
        <v>15</v>
      </c>
      <c r="O172" t="s">
        <v>2531</v>
      </c>
      <c r="P172">
        <f t="shared" si="2"/>
        <v>16</v>
      </c>
    </row>
    <row r="173" spans="1:16" x14ac:dyDescent="0.2">
      <c r="A173" t="s">
        <v>318</v>
      </c>
      <c r="B173" t="s">
        <v>118</v>
      </c>
      <c r="C173" t="s">
        <v>92</v>
      </c>
      <c r="D173" s="4">
        <v>33504</v>
      </c>
      <c r="E173" s="4">
        <v>45371</v>
      </c>
      <c r="F173" s="9" t="s">
        <v>2536</v>
      </c>
      <c r="G173" t="s">
        <v>100</v>
      </c>
      <c r="H173" t="s">
        <v>61</v>
      </c>
      <c r="I173" t="s">
        <v>2533</v>
      </c>
      <c r="J173" s="7">
        <v>1785000</v>
      </c>
      <c r="K173" t="s">
        <v>43</v>
      </c>
      <c r="L173" t="s">
        <v>2527</v>
      </c>
      <c r="M173" t="s">
        <v>24</v>
      </c>
      <c r="N173" s="6" t="s">
        <v>2525</v>
      </c>
      <c r="O173" t="s">
        <v>36</v>
      </c>
      <c r="P173">
        <f t="shared" si="2"/>
        <v>33</v>
      </c>
    </row>
    <row r="174" spans="1:16" x14ac:dyDescent="0.2">
      <c r="A174" t="s">
        <v>1846</v>
      </c>
      <c r="B174" t="s">
        <v>56</v>
      </c>
      <c r="C174" t="s">
        <v>39</v>
      </c>
      <c r="D174" s="4">
        <v>24667</v>
      </c>
      <c r="E174" s="4">
        <v>45330</v>
      </c>
      <c r="F174" s="9">
        <v>45331</v>
      </c>
      <c r="G174" t="s">
        <v>40</v>
      </c>
      <c r="H174" t="s">
        <v>75</v>
      </c>
      <c r="I174" t="s">
        <v>2534</v>
      </c>
      <c r="J174" s="7">
        <v>416500</v>
      </c>
      <c r="K174" t="s">
        <v>48</v>
      </c>
      <c r="L174" t="s">
        <v>2527</v>
      </c>
      <c r="M174" t="s">
        <v>24</v>
      </c>
      <c r="N174" s="6">
        <v>1</v>
      </c>
      <c r="O174" t="s">
        <v>25</v>
      </c>
      <c r="P174">
        <f t="shared" si="2"/>
        <v>57</v>
      </c>
    </row>
    <row r="175" spans="1:16" x14ac:dyDescent="0.2">
      <c r="A175" t="s">
        <v>1847</v>
      </c>
      <c r="B175" t="s">
        <v>91</v>
      </c>
      <c r="C175" t="s">
        <v>28</v>
      </c>
      <c r="D175" s="4">
        <v>34386</v>
      </c>
      <c r="E175" s="4">
        <v>45328</v>
      </c>
      <c r="F175" s="9" t="s">
        <v>2536</v>
      </c>
      <c r="G175" t="s">
        <v>50</v>
      </c>
      <c r="H175" t="s">
        <v>2528</v>
      </c>
      <c r="I175" t="s">
        <v>2535</v>
      </c>
      <c r="J175" s="7">
        <v>3307500</v>
      </c>
      <c r="K175" t="s">
        <v>71</v>
      </c>
      <c r="L175" t="s">
        <v>34</v>
      </c>
      <c r="M175" t="s">
        <v>24</v>
      </c>
      <c r="N175" s="6" t="s">
        <v>2525</v>
      </c>
      <c r="O175" t="s">
        <v>25</v>
      </c>
      <c r="P175">
        <f t="shared" si="2"/>
        <v>30</v>
      </c>
    </row>
    <row r="176" spans="1:16" x14ac:dyDescent="0.2">
      <c r="A176" t="s">
        <v>1848</v>
      </c>
      <c r="B176" t="s">
        <v>118</v>
      </c>
      <c r="C176" t="s">
        <v>92</v>
      </c>
      <c r="D176" s="4">
        <v>37659</v>
      </c>
      <c r="E176" s="4">
        <v>45403</v>
      </c>
      <c r="F176" s="9">
        <v>45408</v>
      </c>
      <c r="G176" t="s">
        <v>29</v>
      </c>
      <c r="H176" t="s">
        <v>19</v>
      </c>
      <c r="I176" t="s">
        <v>41</v>
      </c>
      <c r="J176" s="7">
        <v>2688000</v>
      </c>
      <c r="K176" t="s">
        <v>71</v>
      </c>
      <c r="L176" t="s">
        <v>2527</v>
      </c>
      <c r="M176" t="s">
        <v>35</v>
      </c>
      <c r="N176" s="6">
        <v>5</v>
      </c>
      <c r="O176" t="s">
        <v>25</v>
      </c>
      <c r="P176">
        <f t="shared" si="2"/>
        <v>21</v>
      </c>
    </row>
    <row r="177" spans="1:16" x14ac:dyDescent="0.2">
      <c r="A177" t="s">
        <v>326</v>
      </c>
      <c r="B177" t="s">
        <v>119</v>
      </c>
      <c r="C177" t="s">
        <v>92</v>
      </c>
      <c r="D177" s="4">
        <v>23356</v>
      </c>
      <c r="E177" s="4">
        <v>45334</v>
      </c>
      <c r="F177" s="9">
        <v>45341</v>
      </c>
      <c r="G177" t="s">
        <v>40</v>
      </c>
      <c r="H177" t="s">
        <v>75</v>
      </c>
      <c r="I177" t="s">
        <v>41</v>
      </c>
      <c r="J177" s="7">
        <v>1980300</v>
      </c>
      <c r="K177" t="s">
        <v>48</v>
      </c>
      <c r="L177" t="s">
        <v>2527</v>
      </c>
      <c r="M177" t="s">
        <v>78</v>
      </c>
      <c r="N177" s="6">
        <v>7</v>
      </c>
      <c r="O177" t="s">
        <v>25</v>
      </c>
      <c r="P177">
        <f t="shared" si="2"/>
        <v>61</v>
      </c>
    </row>
    <row r="178" spans="1:16" x14ac:dyDescent="0.2">
      <c r="A178" t="s">
        <v>1849</v>
      </c>
      <c r="B178" t="s">
        <v>45</v>
      </c>
      <c r="C178" t="s">
        <v>39</v>
      </c>
      <c r="D178" s="4">
        <v>38033</v>
      </c>
      <c r="E178" s="4">
        <v>45347</v>
      </c>
      <c r="F178" s="9" t="s">
        <v>2536</v>
      </c>
      <c r="G178" t="s">
        <v>50</v>
      </c>
      <c r="H178" t="s">
        <v>2528</v>
      </c>
      <c r="I178" t="s">
        <v>2533</v>
      </c>
      <c r="J178" s="7">
        <v>4341572</v>
      </c>
      <c r="K178" t="s">
        <v>48</v>
      </c>
      <c r="L178" t="s">
        <v>2527</v>
      </c>
      <c r="M178" t="s">
        <v>35</v>
      </c>
      <c r="N178" s="6" t="s">
        <v>2525</v>
      </c>
      <c r="O178" t="s">
        <v>36</v>
      </c>
      <c r="P178">
        <f t="shared" si="2"/>
        <v>20</v>
      </c>
    </row>
    <row r="179" spans="1:16" x14ac:dyDescent="0.2">
      <c r="A179" t="s">
        <v>1850</v>
      </c>
      <c r="B179" t="s">
        <v>27</v>
      </c>
      <c r="C179" t="s">
        <v>28</v>
      </c>
      <c r="D179" s="4">
        <v>36290</v>
      </c>
      <c r="E179" s="4">
        <v>45316</v>
      </c>
      <c r="F179" s="9" t="s">
        <v>2536</v>
      </c>
      <c r="G179" t="s">
        <v>46</v>
      </c>
      <c r="H179" t="s">
        <v>30</v>
      </c>
      <c r="I179" t="s">
        <v>67</v>
      </c>
      <c r="J179" s="7">
        <v>852472</v>
      </c>
      <c r="K179" t="s">
        <v>48</v>
      </c>
      <c r="L179" t="s">
        <v>23</v>
      </c>
      <c r="M179" t="s">
        <v>78</v>
      </c>
      <c r="N179" s="6" t="s">
        <v>2525</v>
      </c>
      <c r="O179" t="s">
        <v>2531</v>
      </c>
      <c r="P179">
        <f t="shared" si="2"/>
        <v>25</v>
      </c>
    </row>
    <row r="180" spans="1:16" x14ac:dyDescent="0.2">
      <c r="A180" t="s">
        <v>329</v>
      </c>
      <c r="B180" t="s">
        <v>119</v>
      </c>
      <c r="C180" t="s">
        <v>92</v>
      </c>
      <c r="D180" s="4">
        <v>26745</v>
      </c>
      <c r="E180" s="4">
        <v>45297</v>
      </c>
      <c r="F180" s="9">
        <v>45308</v>
      </c>
      <c r="G180" t="s">
        <v>46</v>
      </c>
      <c r="H180" t="s">
        <v>30</v>
      </c>
      <c r="I180" t="s">
        <v>41</v>
      </c>
      <c r="J180" s="7">
        <v>2938388</v>
      </c>
      <c r="K180" t="s">
        <v>48</v>
      </c>
      <c r="L180" t="s">
        <v>2527</v>
      </c>
      <c r="M180" t="s">
        <v>35</v>
      </c>
      <c r="N180" s="6">
        <v>11</v>
      </c>
      <c r="O180" t="s">
        <v>2531</v>
      </c>
      <c r="P180">
        <f t="shared" si="2"/>
        <v>51</v>
      </c>
    </row>
    <row r="181" spans="1:16" x14ac:dyDescent="0.2">
      <c r="A181" t="s">
        <v>1851</v>
      </c>
      <c r="B181" t="s">
        <v>118</v>
      </c>
      <c r="C181" t="s">
        <v>28</v>
      </c>
      <c r="D181" s="4">
        <v>19230</v>
      </c>
      <c r="E181" s="4">
        <v>45466</v>
      </c>
      <c r="F181" s="9">
        <v>45470</v>
      </c>
      <c r="G181" t="s">
        <v>60</v>
      </c>
      <c r="H181" t="s">
        <v>66</v>
      </c>
      <c r="I181" t="s">
        <v>2533</v>
      </c>
      <c r="J181" s="7">
        <v>1523888</v>
      </c>
      <c r="K181" t="s">
        <v>43</v>
      </c>
      <c r="L181" t="s">
        <v>23</v>
      </c>
      <c r="M181" t="s">
        <v>24</v>
      </c>
      <c r="N181" s="6">
        <v>4</v>
      </c>
      <c r="O181" t="s">
        <v>36</v>
      </c>
      <c r="P181">
        <f t="shared" si="2"/>
        <v>72</v>
      </c>
    </row>
    <row r="182" spans="1:16" x14ac:dyDescent="0.2">
      <c r="A182" t="s">
        <v>1852</v>
      </c>
      <c r="B182" t="s">
        <v>56</v>
      </c>
      <c r="C182" t="s">
        <v>92</v>
      </c>
      <c r="D182" s="4">
        <v>21138</v>
      </c>
      <c r="E182" s="4">
        <v>45390</v>
      </c>
      <c r="F182" s="9">
        <v>45401</v>
      </c>
      <c r="G182" t="s">
        <v>72</v>
      </c>
      <c r="H182" t="s">
        <v>2529</v>
      </c>
      <c r="I182" t="s">
        <v>2535</v>
      </c>
      <c r="J182" s="7">
        <v>524308</v>
      </c>
      <c r="K182" t="s">
        <v>48</v>
      </c>
      <c r="L182" t="s">
        <v>2527</v>
      </c>
      <c r="M182" t="s">
        <v>24</v>
      </c>
      <c r="N182" s="6">
        <v>11</v>
      </c>
      <c r="O182" t="s">
        <v>2531</v>
      </c>
      <c r="P182">
        <f t="shared" si="2"/>
        <v>67</v>
      </c>
    </row>
    <row r="183" spans="1:16" x14ac:dyDescent="0.2">
      <c r="A183" t="s">
        <v>1853</v>
      </c>
      <c r="B183" t="s">
        <v>59</v>
      </c>
      <c r="C183" t="s">
        <v>28</v>
      </c>
      <c r="D183" s="4">
        <v>27125</v>
      </c>
      <c r="E183" s="4">
        <v>45298</v>
      </c>
      <c r="F183" s="9">
        <v>45299</v>
      </c>
      <c r="G183" t="s">
        <v>88</v>
      </c>
      <c r="H183" t="s">
        <v>66</v>
      </c>
      <c r="I183" t="s">
        <v>2533</v>
      </c>
      <c r="J183" s="7">
        <v>4144000</v>
      </c>
      <c r="K183" t="s">
        <v>43</v>
      </c>
      <c r="L183" t="s">
        <v>23</v>
      </c>
      <c r="M183" t="s">
        <v>35</v>
      </c>
      <c r="N183" s="6">
        <v>1</v>
      </c>
      <c r="O183" t="s">
        <v>2531</v>
      </c>
      <c r="P183">
        <f t="shared" si="2"/>
        <v>50</v>
      </c>
    </row>
    <row r="184" spans="1:16" x14ac:dyDescent="0.2">
      <c r="A184" t="s">
        <v>335</v>
      </c>
      <c r="B184" t="s">
        <v>38</v>
      </c>
      <c r="C184" t="s">
        <v>92</v>
      </c>
      <c r="D184" s="4">
        <v>20096</v>
      </c>
      <c r="E184" s="4">
        <v>45439</v>
      </c>
      <c r="F184" s="9">
        <v>45453</v>
      </c>
      <c r="G184" t="s">
        <v>46</v>
      </c>
      <c r="H184" t="s">
        <v>30</v>
      </c>
      <c r="I184" t="s">
        <v>2535</v>
      </c>
      <c r="J184" s="7">
        <v>2628500</v>
      </c>
      <c r="K184" t="s">
        <v>43</v>
      </c>
      <c r="L184" t="s">
        <v>34</v>
      </c>
      <c r="M184" t="s">
        <v>24</v>
      </c>
      <c r="N184" s="6">
        <v>14</v>
      </c>
      <c r="O184" t="s">
        <v>2531</v>
      </c>
      <c r="P184">
        <f t="shared" si="2"/>
        <v>69</v>
      </c>
    </row>
    <row r="185" spans="1:16" x14ac:dyDescent="0.2">
      <c r="A185" t="s">
        <v>337</v>
      </c>
      <c r="B185" t="s">
        <v>119</v>
      </c>
      <c r="C185" t="s">
        <v>28</v>
      </c>
      <c r="D185" s="4">
        <v>34393</v>
      </c>
      <c r="E185" s="4">
        <v>45336</v>
      </c>
      <c r="F185" s="9" t="s">
        <v>2536</v>
      </c>
      <c r="G185" t="s">
        <v>88</v>
      </c>
      <c r="H185" t="s">
        <v>66</v>
      </c>
      <c r="I185" t="s">
        <v>2535</v>
      </c>
      <c r="J185" s="7">
        <v>2067056</v>
      </c>
      <c r="K185" t="s">
        <v>43</v>
      </c>
      <c r="L185" t="s">
        <v>2527</v>
      </c>
      <c r="M185" t="s">
        <v>35</v>
      </c>
      <c r="N185" s="6" t="s">
        <v>2525</v>
      </c>
      <c r="O185" t="s">
        <v>25</v>
      </c>
      <c r="P185">
        <f t="shared" si="2"/>
        <v>30</v>
      </c>
    </row>
    <row r="186" spans="1:16" x14ac:dyDescent="0.2">
      <c r="A186" t="s">
        <v>339</v>
      </c>
      <c r="B186" t="s">
        <v>59</v>
      </c>
      <c r="C186" t="s">
        <v>28</v>
      </c>
      <c r="D186" s="4">
        <v>24079</v>
      </c>
      <c r="E186" s="4">
        <v>45307</v>
      </c>
      <c r="F186" s="9" t="s">
        <v>2536</v>
      </c>
      <c r="G186" t="s">
        <v>46</v>
      </c>
      <c r="H186" t="s">
        <v>30</v>
      </c>
      <c r="I186" t="s">
        <v>67</v>
      </c>
      <c r="J186" s="7">
        <v>4119500</v>
      </c>
      <c r="K186" t="s">
        <v>48</v>
      </c>
      <c r="L186" t="s">
        <v>2527</v>
      </c>
      <c r="M186" t="s">
        <v>24</v>
      </c>
      <c r="N186" s="6" t="s">
        <v>2525</v>
      </c>
      <c r="O186" t="s">
        <v>2531</v>
      </c>
      <c r="P186">
        <f t="shared" si="2"/>
        <v>59</v>
      </c>
    </row>
    <row r="187" spans="1:16" x14ac:dyDescent="0.2">
      <c r="A187" t="s">
        <v>341</v>
      </c>
      <c r="B187" t="s">
        <v>59</v>
      </c>
      <c r="C187" t="s">
        <v>92</v>
      </c>
      <c r="D187" s="4">
        <v>28835</v>
      </c>
      <c r="E187" s="4">
        <v>45332</v>
      </c>
      <c r="F187" s="9">
        <v>45340</v>
      </c>
      <c r="G187" t="s">
        <v>46</v>
      </c>
      <c r="H187" t="s">
        <v>30</v>
      </c>
      <c r="I187" t="s">
        <v>2535</v>
      </c>
      <c r="J187" s="7">
        <v>4746000</v>
      </c>
      <c r="K187" t="s">
        <v>48</v>
      </c>
      <c r="L187" t="s">
        <v>23</v>
      </c>
      <c r="M187" t="s">
        <v>78</v>
      </c>
      <c r="N187" s="6">
        <v>8</v>
      </c>
      <c r="O187" t="s">
        <v>36</v>
      </c>
      <c r="P187">
        <f t="shared" si="2"/>
        <v>46</v>
      </c>
    </row>
    <row r="188" spans="1:16" x14ac:dyDescent="0.2">
      <c r="A188" t="s">
        <v>343</v>
      </c>
      <c r="B188" t="s">
        <v>140</v>
      </c>
      <c r="C188" t="s">
        <v>28</v>
      </c>
      <c r="D188" s="4">
        <v>18322</v>
      </c>
      <c r="E188" s="4">
        <v>45437</v>
      </c>
      <c r="F188" s="9">
        <v>45443</v>
      </c>
      <c r="G188" t="s">
        <v>72</v>
      </c>
      <c r="H188" t="s">
        <v>2529</v>
      </c>
      <c r="I188" t="s">
        <v>67</v>
      </c>
      <c r="J188" s="7">
        <v>4209552</v>
      </c>
      <c r="K188" t="s">
        <v>48</v>
      </c>
      <c r="L188" t="s">
        <v>34</v>
      </c>
      <c r="M188" t="s">
        <v>35</v>
      </c>
      <c r="N188" s="6">
        <v>6</v>
      </c>
      <c r="O188" t="s">
        <v>25</v>
      </c>
      <c r="P188">
        <f t="shared" si="2"/>
        <v>74</v>
      </c>
    </row>
    <row r="189" spans="1:16" x14ac:dyDescent="0.2">
      <c r="A189" t="s">
        <v>1854</v>
      </c>
      <c r="B189" t="s">
        <v>150</v>
      </c>
      <c r="C189" t="s">
        <v>39</v>
      </c>
      <c r="D189" s="4">
        <v>39206</v>
      </c>
      <c r="E189" s="4">
        <v>45406</v>
      </c>
      <c r="F189" s="9">
        <v>45410</v>
      </c>
      <c r="G189" t="s">
        <v>83</v>
      </c>
      <c r="H189" t="s">
        <v>66</v>
      </c>
      <c r="I189" t="s">
        <v>41</v>
      </c>
      <c r="J189" s="7">
        <v>1210812</v>
      </c>
      <c r="K189" t="s">
        <v>48</v>
      </c>
      <c r="L189" t="s">
        <v>2527</v>
      </c>
      <c r="M189" t="s">
        <v>78</v>
      </c>
      <c r="N189" s="6">
        <v>4</v>
      </c>
      <c r="O189" t="s">
        <v>36</v>
      </c>
      <c r="P189">
        <f t="shared" si="2"/>
        <v>17</v>
      </c>
    </row>
    <row r="190" spans="1:16" x14ac:dyDescent="0.2">
      <c r="A190" t="s">
        <v>1855</v>
      </c>
      <c r="B190" t="s">
        <v>118</v>
      </c>
      <c r="C190" t="s">
        <v>92</v>
      </c>
      <c r="D190" s="4">
        <v>36156</v>
      </c>
      <c r="E190" s="4">
        <v>45317</v>
      </c>
      <c r="F190" s="9">
        <v>45327</v>
      </c>
      <c r="G190" t="s">
        <v>46</v>
      </c>
      <c r="H190" t="s">
        <v>30</v>
      </c>
      <c r="I190" t="s">
        <v>67</v>
      </c>
      <c r="J190" s="7">
        <v>588000</v>
      </c>
      <c r="K190" t="s">
        <v>48</v>
      </c>
      <c r="L190" t="s">
        <v>2527</v>
      </c>
      <c r="M190" t="s">
        <v>78</v>
      </c>
      <c r="N190" s="6">
        <v>10</v>
      </c>
      <c r="O190" t="s">
        <v>36</v>
      </c>
      <c r="P190">
        <f t="shared" si="2"/>
        <v>26</v>
      </c>
    </row>
    <row r="191" spans="1:16" x14ac:dyDescent="0.2">
      <c r="A191" t="s">
        <v>348</v>
      </c>
      <c r="B191" t="s">
        <v>118</v>
      </c>
      <c r="C191" t="s">
        <v>28</v>
      </c>
      <c r="D191" s="4">
        <v>20721</v>
      </c>
      <c r="E191" s="4">
        <v>45378</v>
      </c>
      <c r="F191" s="9">
        <v>45385</v>
      </c>
      <c r="G191" t="s">
        <v>18</v>
      </c>
      <c r="H191" t="s">
        <v>2529</v>
      </c>
      <c r="I191" t="s">
        <v>67</v>
      </c>
      <c r="J191" s="7">
        <v>788348</v>
      </c>
      <c r="K191" t="s">
        <v>48</v>
      </c>
      <c r="L191" t="s">
        <v>23</v>
      </c>
      <c r="M191" t="s">
        <v>35</v>
      </c>
      <c r="N191" s="6">
        <v>7</v>
      </c>
      <c r="O191" t="s">
        <v>2531</v>
      </c>
      <c r="P191">
        <f t="shared" si="2"/>
        <v>68</v>
      </c>
    </row>
    <row r="192" spans="1:16" x14ac:dyDescent="0.2">
      <c r="A192" t="s">
        <v>1856</v>
      </c>
      <c r="B192" t="s">
        <v>27</v>
      </c>
      <c r="C192" t="s">
        <v>92</v>
      </c>
      <c r="D192" s="4">
        <v>39910</v>
      </c>
      <c r="E192" s="4">
        <v>45368</v>
      </c>
      <c r="F192" s="9" t="s">
        <v>2536</v>
      </c>
      <c r="G192" t="s">
        <v>29</v>
      </c>
      <c r="H192" t="s">
        <v>19</v>
      </c>
      <c r="I192" t="s">
        <v>2535</v>
      </c>
      <c r="J192" s="7">
        <v>4168060</v>
      </c>
      <c r="K192" t="s">
        <v>48</v>
      </c>
      <c r="L192" t="s">
        <v>2527</v>
      </c>
      <c r="M192" t="s">
        <v>35</v>
      </c>
      <c r="N192" s="6" t="s">
        <v>2525</v>
      </c>
      <c r="O192" t="s">
        <v>2531</v>
      </c>
      <c r="P192">
        <f t="shared" si="2"/>
        <v>15</v>
      </c>
    </row>
    <row r="193" spans="1:16" x14ac:dyDescent="0.2">
      <c r="A193" t="s">
        <v>1857</v>
      </c>
      <c r="B193" t="s">
        <v>85</v>
      </c>
      <c r="C193" t="s">
        <v>28</v>
      </c>
      <c r="D193" s="4">
        <v>24806</v>
      </c>
      <c r="E193" s="4">
        <v>45298</v>
      </c>
      <c r="F193" s="9">
        <v>45303</v>
      </c>
      <c r="G193" t="s">
        <v>100</v>
      </c>
      <c r="H193" t="s">
        <v>61</v>
      </c>
      <c r="I193" t="s">
        <v>67</v>
      </c>
      <c r="J193" s="7">
        <v>2757332</v>
      </c>
      <c r="K193" t="s">
        <v>71</v>
      </c>
      <c r="L193" t="s">
        <v>2527</v>
      </c>
      <c r="M193" t="s">
        <v>24</v>
      </c>
      <c r="N193" s="6">
        <v>5</v>
      </c>
      <c r="O193" t="s">
        <v>2531</v>
      </c>
      <c r="P193">
        <f t="shared" si="2"/>
        <v>57</v>
      </c>
    </row>
    <row r="194" spans="1:16" x14ac:dyDescent="0.2">
      <c r="A194" t="s">
        <v>1858</v>
      </c>
      <c r="B194" t="s">
        <v>118</v>
      </c>
      <c r="C194" t="s">
        <v>28</v>
      </c>
      <c r="D194" s="4">
        <v>30421</v>
      </c>
      <c r="E194" s="4">
        <v>45386</v>
      </c>
      <c r="F194" s="9">
        <v>45391</v>
      </c>
      <c r="G194" t="s">
        <v>100</v>
      </c>
      <c r="H194" t="s">
        <v>61</v>
      </c>
      <c r="I194" t="s">
        <v>67</v>
      </c>
      <c r="J194" s="7">
        <v>2451800</v>
      </c>
      <c r="K194" t="s">
        <v>48</v>
      </c>
      <c r="L194" t="s">
        <v>34</v>
      </c>
      <c r="M194" t="s">
        <v>35</v>
      </c>
      <c r="N194" s="6">
        <v>5</v>
      </c>
      <c r="O194" t="s">
        <v>2531</v>
      </c>
      <c r="P194">
        <f t="shared" si="2"/>
        <v>41</v>
      </c>
    </row>
    <row r="195" spans="1:16" x14ac:dyDescent="0.2">
      <c r="A195" t="s">
        <v>1859</v>
      </c>
      <c r="B195" t="s">
        <v>119</v>
      </c>
      <c r="C195" t="s">
        <v>28</v>
      </c>
      <c r="D195" s="4">
        <v>36404</v>
      </c>
      <c r="E195" s="4">
        <v>45391</v>
      </c>
      <c r="F195" s="9">
        <v>45402</v>
      </c>
      <c r="G195" t="s">
        <v>18</v>
      </c>
      <c r="H195" t="s">
        <v>2529</v>
      </c>
      <c r="I195" t="s">
        <v>2533</v>
      </c>
      <c r="J195" s="7">
        <v>2685664</v>
      </c>
      <c r="K195" t="s">
        <v>71</v>
      </c>
      <c r="L195" t="s">
        <v>34</v>
      </c>
      <c r="M195" t="s">
        <v>24</v>
      </c>
      <c r="N195" s="6">
        <v>11</v>
      </c>
      <c r="O195" t="s">
        <v>2531</v>
      </c>
      <c r="P195">
        <f t="shared" ref="P195:P258" si="3">YEAR(E195)-YEAR(D195)</f>
        <v>25</v>
      </c>
    </row>
    <row r="196" spans="1:16" x14ac:dyDescent="0.2">
      <c r="A196" t="s">
        <v>1860</v>
      </c>
      <c r="B196" t="s">
        <v>85</v>
      </c>
      <c r="C196" t="s">
        <v>28</v>
      </c>
      <c r="D196" s="4">
        <v>22205</v>
      </c>
      <c r="E196" s="4">
        <v>45336</v>
      </c>
      <c r="F196" s="9">
        <v>45349</v>
      </c>
      <c r="G196" t="s">
        <v>46</v>
      </c>
      <c r="H196" t="s">
        <v>30</v>
      </c>
      <c r="I196" t="s">
        <v>2533</v>
      </c>
      <c r="J196" s="7">
        <v>980720</v>
      </c>
      <c r="K196" t="s">
        <v>48</v>
      </c>
      <c r="L196" t="s">
        <v>23</v>
      </c>
      <c r="M196" t="s">
        <v>24</v>
      </c>
      <c r="N196" s="6">
        <v>13</v>
      </c>
      <c r="O196" t="s">
        <v>2531</v>
      </c>
      <c r="P196">
        <f t="shared" si="3"/>
        <v>64</v>
      </c>
    </row>
    <row r="197" spans="1:16" x14ac:dyDescent="0.2">
      <c r="A197" t="s">
        <v>357</v>
      </c>
      <c r="B197" t="s">
        <v>150</v>
      </c>
      <c r="C197" t="s">
        <v>28</v>
      </c>
      <c r="D197" s="4">
        <v>36494</v>
      </c>
      <c r="E197" s="4">
        <v>45433</v>
      </c>
      <c r="F197" s="9">
        <v>45442</v>
      </c>
      <c r="G197" t="s">
        <v>88</v>
      </c>
      <c r="H197" t="s">
        <v>66</v>
      </c>
      <c r="I197" t="s">
        <v>2534</v>
      </c>
      <c r="J197" s="7">
        <v>5190272</v>
      </c>
      <c r="K197" t="s">
        <v>48</v>
      </c>
      <c r="L197" t="s">
        <v>2527</v>
      </c>
      <c r="M197" t="s">
        <v>35</v>
      </c>
      <c r="N197" s="6">
        <v>9</v>
      </c>
      <c r="O197" t="s">
        <v>2531</v>
      </c>
      <c r="P197">
        <f t="shared" si="3"/>
        <v>25</v>
      </c>
    </row>
    <row r="198" spans="1:16" x14ac:dyDescent="0.2">
      <c r="A198" t="s">
        <v>1861</v>
      </c>
      <c r="B198" t="s">
        <v>16</v>
      </c>
      <c r="C198" t="s">
        <v>92</v>
      </c>
      <c r="D198" s="4">
        <v>36702</v>
      </c>
      <c r="E198" s="4">
        <v>45365</v>
      </c>
      <c r="F198" s="9">
        <v>45370</v>
      </c>
      <c r="G198" t="s">
        <v>72</v>
      </c>
      <c r="H198" t="s">
        <v>2529</v>
      </c>
      <c r="I198" t="s">
        <v>2535</v>
      </c>
      <c r="J198" s="7">
        <v>5080884</v>
      </c>
      <c r="K198" t="s">
        <v>48</v>
      </c>
      <c r="L198" t="s">
        <v>23</v>
      </c>
      <c r="M198" t="s">
        <v>78</v>
      </c>
      <c r="N198" s="6">
        <v>5</v>
      </c>
      <c r="O198" t="s">
        <v>2531</v>
      </c>
      <c r="P198">
        <f t="shared" si="3"/>
        <v>24</v>
      </c>
    </row>
    <row r="199" spans="1:16" x14ac:dyDescent="0.2">
      <c r="A199" t="s">
        <v>1862</v>
      </c>
      <c r="B199" t="s">
        <v>118</v>
      </c>
      <c r="C199" t="s">
        <v>92</v>
      </c>
      <c r="D199" s="4">
        <v>31233</v>
      </c>
      <c r="E199" s="4">
        <v>45468</v>
      </c>
      <c r="F199" s="9" t="s">
        <v>2536</v>
      </c>
      <c r="G199" t="s">
        <v>100</v>
      </c>
      <c r="H199" t="s">
        <v>61</v>
      </c>
      <c r="I199" t="s">
        <v>2533</v>
      </c>
      <c r="J199" s="7">
        <v>493500</v>
      </c>
      <c r="K199" t="s">
        <v>48</v>
      </c>
      <c r="L199" t="s">
        <v>2527</v>
      </c>
      <c r="M199" t="s">
        <v>78</v>
      </c>
      <c r="N199" s="6" t="s">
        <v>2525</v>
      </c>
      <c r="O199" t="s">
        <v>2531</v>
      </c>
      <c r="P199">
        <f t="shared" si="3"/>
        <v>39</v>
      </c>
    </row>
    <row r="200" spans="1:16" x14ac:dyDescent="0.2">
      <c r="A200" t="s">
        <v>1863</v>
      </c>
      <c r="B200" t="s">
        <v>16</v>
      </c>
      <c r="C200" t="s">
        <v>39</v>
      </c>
      <c r="D200" s="4">
        <v>25733</v>
      </c>
      <c r="E200" s="4">
        <v>45368</v>
      </c>
      <c r="F200" s="9">
        <v>45374</v>
      </c>
      <c r="G200" t="s">
        <v>29</v>
      </c>
      <c r="H200" t="s">
        <v>19</v>
      </c>
      <c r="I200" t="s">
        <v>2534</v>
      </c>
      <c r="J200" s="7">
        <v>1063704</v>
      </c>
      <c r="K200" t="s">
        <v>71</v>
      </c>
      <c r="L200" t="s">
        <v>23</v>
      </c>
      <c r="M200" t="s">
        <v>78</v>
      </c>
      <c r="N200" s="6">
        <v>6</v>
      </c>
      <c r="O200" t="s">
        <v>2531</v>
      </c>
      <c r="P200">
        <f t="shared" si="3"/>
        <v>54</v>
      </c>
    </row>
    <row r="201" spans="1:16" x14ac:dyDescent="0.2">
      <c r="A201" t="s">
        <v>1864</v>
      </c>
      <c r="B201" t="s">
        <v>80</v>
      </c>
      <c r="C201" t="s">
        <v>92</v>
      </c>
      <c r="D201" s="4">
        <v>23473</v>
      </c>
      <c r="E201" s="4">
        <v>45371</v>
      </c>
      <c r="F201" s="9" t="s">
        <v>2536</v>
      </c>
      <c r="G201" t="s">
        <v>40</v>
      </c>
      <c r="H201" t="s">
        <v>75</v>
      </c>
      <c r="I201" t="s">
        <v>67</v>
      </c>
      <c r="J201" s="7">
        <v>1716260</v>
      </c>
      <c r="K201" t="s">
        <v>48</v>
      </c>
      <c r="L201" t="s">
        <v>34</v>
      </c>
      <c r="M201" t="s">
        <v>35</v>
      </c>
      <c r="N201" s="6" t="s">
        <v>2525</v>
      </c>
      <c r="O201" t="s">
        <v>25</v>
      </c>
      <c r="P201">
        <f t="shared" si="3"/>
        <v>60</v>
      </c>
    </row>
    <row r="202" spans="1:16" x14ac:dyDescent="0.2">
      <c r="A202" t="s">
        <v>1865</v>
      </c>
      <c r="B202" t="s">
        <v>51</v>
      </c>
      <c r="C202" t="s">
        <v>92</v>
      </c>
      <c r="D202" s="4">
        <v>30334</v>
      </c>
      <c r="E202" s="4">
        <v>45421</v>
      </c>
      <c r="F202" s="9">
        <v>45423</v>
      </c>
      <c r="G202" t="s">
        <v>50</v>
      </c>
      <c r="H202" t="s">
        <v>2528</v>
      </c>
      <c r="I202" t="s">
        <v>2533</v>
      </c>
      <c r="J202" s="7">
        <v>4963952</v>
      </c>
      <c r="K202" t="s">
        <v>48</v>
      </c>
      <c r="L202" t="s">
        <v>2527</v>
      </c>
      <c r="M202" t="s">
        <v>24</v>
      </c>
      <c r="N202" s="6">
        <v>2</v>
      </c>
      <c r="O202" t="s">
        <v>25</v>
      </c>
      <c r="P202">
        <f t="shared" si="3"/>
        <v>41</v>
      </c>
    </row>
    <row r="203" spans="1:16" x14ac:dyDescent="0.2">
      <c r="A203" t="s">
        <v>1866</v>
      </c>
      <c r="B203" t="s">
        <v>150</v>
      </c>
      <c r="C203" t="s">
        <v>92</v>
      </c>
      <c r="D203" s="4">
        <v>19163</v>
      </c>
      <c r="E203" s="4">
        <v>45304</v>
      </c>
      <c r="F203" s="9">
        <v>45317</v>
      </c>
      <c r="G203" t="s">
        <v>50</v>
      </c>
      <c r="H203" t="s">
        <v>2528</v>
      </c>
      <c r="I203" t="s">
        <v>67</v>
      </c>
      <c r="J203" s="7">
        <v>5608964</v>
      </c>
      <c r="K203" t="s">
        <v>48</v>
      </c>
      <c r="L203" t="s">
        <v>2527</v>
      </c>
      <c r="M203" t="s">
        <v>24</v>
      </c>
      <c r="N203" s="6">
        <v>13</v>
      </c>
      <c r="O203" t="s">
        <v>2531</v>
      </c>
      <c r="P203">
        <f t="shared" si="3"/>
        <v>72</v>
      </c>
    </row>
    <row r="204" spans="1:16" x14ac:dyDescent="0.2">
      <c r="A204" t="s">
        <v>365</v>
      </c>
      <c r="B204" t="s">
        <v>56</v>
      </c>
      <c r="C204" t="s">
        <v>28</v>
      </c>
      <c r="D204" s="4">
        <v>39477</v>
      </c>
      <c r="E204" s="4">
        <v>45445</v>
      </c>
      <c r="F204" s="9">
        <v>45455</v>
      </c>
      <c r="G204" t="s">
        <v>72</v>
      </c>
      <c r="H204" t="s">
        <v>2529</v>
      </c>
      <c r="I204" t="s">
        <v>2533</v>
      </c>
      <c r="J204" s="7">
        <v>3048500</v>
      </c>
      <c r="K204" t="s">
        <v>71</v>
      </c>
      <c r="L204" t="s">
        <v>2527</v>
      </c>
      <c r="M204" t="s">
        <v>35</v>
      </c>
      <c r="N204" s="6">
        <v>10</v>
      </c>
      <c r="O204" t="s">
        <v>2531</v>
      </c>
      <c r="P204">
        <f t="shared" si="3"/>
        <v>16</v>
      </c>
    </row>
    <row r="205" spans="1:16" x14ac:dyDescent="0.2">
      <c r="A205" t="s">
        <v>1867</v>
      </c>
      <c r="B205" t="s">
        <v>118</v>
      </c>
      <c r="C205" t="s">
        <v>92</v>
      </c>
      <c r="D205" s="4">
        <v>21616</v>
      </c>
      <c r="E205" s="4">
        <v>45422</v>
      </c>
      <c r="F205" s="9">
        <v>45432</v>
      </c>
      <c r="G205" t="s">
        <v>60</v>
      </c>
      <c r="H205" t="s">
        <v>66</v>
      </c>
      <c r="I205" t="s">
        <v>67</v>
      </c>
      <c r="J205" s="7">
        <v>4096392</v>
      </c>
      <c r="K205" t="s">
        <v>48</v>
      </c>
      <c r="L205" t="s">
        <v>2527</v>
      </c>
      <c r="M205" t="s">
        <v>24</v>
      </c>
      <c r="N205" s="6">
        <v>10</v>
      </c>
      <c r="O205" t="s">
        <v>36</v>
      </c>
      <c r="P205">
        <f t="shared" si="3"/>
        <v>65</v>
      </c>
    </row>
    <row r="206" spans="1:16" x14ac:dyDescent="0.2">
      <c r="A206" t="s">
        <v>1868</v>
      </c>
      <c r="B206" t="s">
        <v>45</v>
      </c>
      <c r="C206" t="s">
        <v>28</v>
      </c>
      <c r="D206" s="4">
        <v>23176</v>
      </c>
      <c r="E206" s="4">
        <v>45306</v>
      </c>
      <c r="F206" s="9">
        <v>45317</v>
      </c>
      <c r="G206" t="s">
        <v>88</v>
      </c>
      <c r="H206" t="s">
        <v>66</v>
      </c>
      <c r="I206" t="s">
        <v>2533</v>
      </c>
      <c r="J206" s="7">
        <v>2467500</v>
      </c>
      <c r="K206" t="s">
        <v>71</v>
      </c>
      <c r="L206" t="s">
        <v>2527</v>
      </c>
      <c r="M206" t="s">
        <v>78</v>
      </c>
      <c r="N206" s="6">
        <v>11</v>
      </c>
      <c r="O206" t="s">
        <v>2531</v>
      </c>
      <c r="P206">
        <f t="shared" si="3"/>
        <v>61</v>
      </c>
    </row>
    <row r="207" spans="1:16" x14ac:dyDescent="0.2">
      <c r="A207" t="s">
        <v>1869</v>
      </c>
      <c r="B207" t="s">
        <v>51</v>
      </c>
      <c r="C207" t="s">
        <v>92</v>
      </c>
      <c r="D207" s="4">
        <v>25550</v>
      </c>
      <c r="E207" s="4">
        <v>45463</v>
      </c>
      <c r="F207" s="9">
        <v>45477</v>
      </c>
      <c r="G207" t="s">
        <v>72</v>
      </c>
      <c r="H207" t="s">
        <v>2529</v>
      </c>
      <c r="I207" t="s">
        <v>67</v>
      </c>
      <c r="J207" s="7">
        <v>2644172</v>
      </c>
      <c r="K207" t="s">
        <v>71</v>
      </c>
      <c r="L207" t="s">
        <v>23</v>
      </c>
      <c r="M207" t="s">
        <v>24</v>
      </c>
      <c r="N207" s="6">
        <v>14</v>
      </c>
      <c r="O207" t="s">
        <v>2531</v>
      </c>
      <c r="P207">
        <f t="shared" si="3"/>
        <v>55</v>
      </c>
    </row>
    <row r="208" spans="1:16" x14ac:dyDescent="0.2">
      <c r="A208" t="s">
        <v>373</v>
      </c>
      <c r="B208" t="s">
        <v>59</v>
      </c>
      <c r="C208" t="s">
        <v>28</v>
      </c>
      <c r="D208" s="4">
        <v>21190</v>
      </c>
      <c r="E208" s="4">
        <v>45382</v>
      </c>
      <c r="F208" s="9">
        <v>45387</v>
      </c>
      <c r="G208" t="s">
        <v>83</v>
      </c>
      <c r="H208" t="s">
        <v>66</v>
      </c>
      <c r="I208" t="s">
        <v>2533</v>
      </c>
      <c r="J208" s="7">
        <v>4546500</v>
      </c>
      <c r="K208" t="s">
        <v>71</v>
      </c>
      <c r="L208" t="s">
        <v>34</v>
      </c>
      <c r="M208" t="s">
        <v>78</v>
      </c>
      <c r="N208" s="6">
        <v>5</v>
      </c>
      <c r="O208" t="s">
        <v>2531</v>
      </c>
      <c r="P208">
        <f t="shared" si="3"/>
        <v>66</v>
      </c>
    </row>
    <row r="209" spans="1:16" x14ac:dyDescent="0.2">
      <c r="A209" t="s">
        <v>1870</v>
      </c>
      <c r="B209" t="s">
        <v>119</v>
      </c>
      <c r="C209" t="s">
        <v>92</v>
      </c>
      <c r="D209" s="4">
        <v>20597</v>
      </c>
      <c r="E209" s="4">
        <v>45341</v>
      </c>
      <c r="F209" s="9">
        <v>45348</v>
      </c>
      <c r="G209" t="s">
        <v>29</v>
      </c>
      <c r="H209" t="s">
        <v>19</v>
      </c>
      <c r="I209" t="s">
        <v>41</v>
      </c>
      <c r="J209" s="7">
        <v>1538976</v>
      </c>
      <c r="K209" t="s">
        <v>48</v>
      </c>
      <c r="L209" t="s">
        <v>2527</v>
      </c>
      <c r="M209" t="s">
        <v>78</v>
      </c>
      <c r="N209" s="6">
        <v>7</v>
      </c>
      <c r="O209" t="s">
        <v>36</v>
      </c>
      <c r="P209">
        <f t="shared" si="3"/>
        <v>68</v>
      </c>
    </row>
    <row r="210" spans="1:16" x14ac:dyDescent="0.2">
      <c r="A210" t="s">
        <v>377</v>
      </c>
      <c r="B210" t="s">
        <v>59</v>
      </c>
      <c r="C210" t="s">
        <v>39</v>
      </c>
      <c r="D210" s="4">
        <v>24173</v>
      </c>
      <c r="E210" s="4">
        <v>45416</v>
      </c>
      <c r="F210" s="9">
        <v>45419</v>
      </c>
      <c r="G210" t="s">
        <v>72</v>
      </c>
      <c r="H210" t="s">
        <v>2529</v>
      </c>
      <c r="I210" t="s">
        <v>67</v>
      </c>
      <c r="J210" s="7">
        <v>3587500</v>
      </c>
      <c r="K210" t="s">
        <v>48</v>
      </c>
      <c r="L210" t="s">
        <v>23</v>
      </c>
      <c r="M210" t="s">
        <v>24</v>
      </c>
      <c r="N210" s="6">
        <v>3</v>
      </c>
      <c r="O210" t="s">
        <v>25</v>
      </c>
      <c r="P210">
        <f t="shared" si="3"/>
        <v>58</v>
      </c>
    </row>
    <row r="211" spans="1:16" x14ac:dyDescent="0.2">
      <c r="A211" t="s">
        <v>379</v>
      </c>
      <c r="B211" t="s">
        <v>85</v>
      </c>
      <c r="C211" t="s">
        <v>28</v>
      </c>
      <c r="D211" s="4">
        <v>39022</v>
      </c>
      <c r="E211" s="4">
        <v>45395</v>
      </c>
      <c r="F211" s="9">
        <v>45402</v>
      </c>
      <c r="G211" t="s">
        <v>88</v>
      </c>
      <c r="H211" t="s">
        <v>66</v>
      </c>
      <c r="I211" t="s">
        <v>67</v>
      </c>
      <c r="J211" s="7">
        <v>3259008</v>
      </c>
      <c r="K211" t="s">
        <v>48</v>
      </c>
      <c r="L211" t="s">
        <v>23</v>
      </c>
      <c r="M211" t="s">
        <v>35</v>
      </c>
      <c r="N211" s="6">
        <v>7</v>
      </c>
      <c r="O211" t="s">
        <v>2531</v>
      </c>
      <c r="P211">
        <f t="shared" si="3"/>
        <v>18</v>
      </c>
    </row>
    <row r="212" spans="1:16" x14ac:dyDescent="0.2">
      <c r="A212" t="s">
        <v>381</v>
      </c>
      <c r="B212" t="s">
        <v>91</v>
      </c>
      <c r="C212" t="s">
        <v>28</v>
      </c>
      <c r="D212" s="4">
        <v>29547</v>
      </c>
      <c r="E212" s="4">
        <v>45325</v>
      </c>
      <c r="F212" s="9">
        <v>45335</v>
      </c>
      <c r="G212" t="s">
        <v>46</v>
      </c>
      <c r="H212" t="s">
        <v>30</v>
      </c>
      <c r="I212" t="s">
        <v>41</v>
      </c>
      <c r="J212" s="7">
        <v>675500</v>
      </c>
      <c r="K212" t="s">
        <v>48</v>
      </c>
      <c r="L212" t="s">
        <v>2527</v>
      </c>
      <c r="M212" t="s">
        <v>24</v>
      </c>
      <c r="N212" s="6">
        <v>10</v>
      </c>
      <c r="O212" t="s">
        <v>36</v>
      </c>
      <c r="P212">
        <f t="shared" si="3"/>
        <v>44</v>
      </c>
    </row>
    <row r="213" spans="1:16" x14ac:dyDescent="0.2">
      <c r="A213" t="s">
        <v>1871</v>
      </c>
      <c r="B213" t="s">
        <v>87</v>
      </c>
      <c r="C213" t="s">
        <v>92</v>
      </c>
      <c r="D213" s="4">
        <v>34326</v>
      </c>
      <c r="E213" s="4">
        <v>45340</v>
      </c>
      <c r="F213" s="9">
        <v>45355</v>
      </c>
      <c r="G213" t="s">
        <v>88</v>
      </c>
      <c r="H213" t="s">
        <v>66</v>
      </c>
      <c r="I213" t="s">
        <v>67</v>
      </c>
      <c r="J213" s="7">
        <v>1388096</v>
      </c>
      <c r="K213" t="s">
        <v>48</v>
      </c>
      <c r="L213" t="s">
        <v>23</v>
      </c>
      <c r="M213" t="s">
        <v>35</v>
      </c>
      <c r="N213" s="6">
        <v>15</v>
      </c>
      <c r="O213" t="s">
        <v>25</v>
      </c>
      <c r="P213">
        <f t="shared" si="3"/>
        <v>31</v>
      </c>
    </row>
    <row r="214" spans="1:16" x14ac:dyDescent="0.2">
      <c r="A214" t="s">
        <v>1872</v>
      </c>
      <c r="B214" t="s">
        <v>38</v>
      </c>
      <c r="C214" t="s">
        <v>39</v>
      </c>
      <c r="D214" s="4">
        <v>35786</v>
      </c>
      <c r="E214" s="4">
        <v>45444</v>
      </c>
      <c r="F214" s="9">
        <v>45455</v>
      </c>
      <c r="G214" t="s">
        <v>88</v>
      </c>
      <c r="H214" t="s">
        <v>66</v>
      </c>
      <c r="I214" t="s">
        <v>67</v>
      </c>
      <c r="J214" s="7">
        <v>3594716</v>
      </c>
      <c r="K214" t="s">
        <v>71</v>
      </c>
      <c r="L214" t="s">
        <v>34</v>
      </c>
      <c r="M214" t="s">
        <v>24</v>
      </c>
      <c r="N214" s="6">
        <v>11</v>
      </c>
      <c r="O214" t="s">
        <v>2531</v>
      </c>
      <c r="P214">
        <f t="shared" si="3"/>
        <v>27</v>
      </c>
    </row>
    <row r="215" spans="1:16" x14ac:dyDescent="0.2">
      <c r="A215" t="s">
        <v>384</v>
      </c>
      <c r="B215" t="s">
        <v>51</v>
      </c>
      <c r="C215" t="s">
        <v>28</v>
      </c>
      <c r="D215" s="4">
        <v>38918</v>
      </c>
      <c r="E215" s="4">
        <v>45369</v>
      </c>
      <c r="F215" s="9">
        <v>45380</v>
      </c>
      <c r="G215" t="s">
        <v>18</v>
      </c>
      <c r="H215" t="s">
        <v>2529</v>
      </c>
      <c r="I215" t="s">
        <v>2534</v>
      </c>
      <c r="J215" s="7">
        <v>1433360</v>
      </c>
      <c r="K215" t="s">
        <v>48</v>
      </c>
      <c r="L215" t="s">
        <v>34</v>
      </c>
      <c r="M215" t="s">
        <v>78</v>
      </c>
      <c r="N215" s="6">
        <v>11</v>
      </c>
      <c r="O215" t="s">
        <v>25</v>
      </c>
      <c r="P215">
        <f t="shared" si="3"/>
        <v>18</v>
      </c>
    </row>
    <row r="216" spans="1:16" x14ac:dyDescent="0.2">
      <c r="A216" t="s">
        <v>1873</v>
      </c>
      <c r="B216" t="s">
        <v>51</v>
      </c>
      <c r="C216" t="s">
        <v>92</v>
      </c>
      <c r="D216" s="4">
        <v>24809</v>
      </c>
      <c r="E216" s="4">
        <v>45425</v>
      </c>
      <c r="F216" s="9">
        <v>45432</v>
      </c>
      <c r="G216" t="s">
        <v>46</v>
      </c>
      <c r="H216" t="s">
        <v>30</v>
      </c>
      <c r="I216" t="s">
        <v>2535</v>
      </c>
      <c r="J216" s="7">
        <v>4209552</v>
      </c>
      <c r="K216" t="s">
        <v>71</v>
      </c>
      <c r="L216" t="s">
        <v>2527</v>
      </c>
      <c r="M216" t="s">
        <v>35</v>
      </c>
      <c r="N216" s="6">
        <v>7</v>
      </c>
      <c r="O216" t="s">
        <v>2531</v>
      </c>
      <c r="P216">
        <f t="shared" si="3"/>
        <v>57</v>
      </c>
    </row>
    <row r="217" spans="1:16" x14ac:dyDescent="0.2">
      <c r="A217" t="s">
        <v>385</v>
      </c>
      <c r="B217" t="s">
        <v>16</v>
      </c>
      <c r="C217" t="s">
        <v>39</v>
      </c>
      <c r="D217" s="4">
        <v>37077</v>
      </c>
      <c r="E217" s="4">
        <v>45330</v>
      </c>
      <c r="F217" s="9">
        <v>45332</v>
      </c>
      <c r="G217" t="s">
        <v>60</v>
      </c>
      <c r="H217" t="s">
        <v>66</v>
      </c>
      <c r="I217" t="s">
        <v>67</v>
      </c>
      <c r="J217" s="7">
        <v>3622500</v>
      </c>
      <c r="K217" t="s">
        <v>48</v>
      </c>
      <c r="L217" t="s">
        <v>2527</v>
      </c>
      <c r="M217" t="s">
        <v>35</v>
      </c>
      <c r="N217" s="6">
        <v>2</v>
      </c>
      <c r="O217" t="s">
        <v>25</v>
      </c>
      <c r="P217">
        <f t="shared" si="3"/>
        <v>23</v>
      </c>
    </row>
    <row r="218" spans="1:16" x14ac:dyDescent="0.2">
      <c r="A218" t="s">
        <v>387</v>
      </c>
      <c r="B218" t="s">
        <v>45</v>
      </c>
      <c r="C218" t="s">
        <v>92</v>
      </c>
      <c r="D218" s="4">
        <v>28510</v>
      </c>
      <c r="E218" s="4">
        <v>45321</v>
      </c>
      <c r="F218" s="9">
        <v>45336</v>
      </c>
      <c r="G218" t="s">
        <v>88</v>
      </c>
      <c r="H218" t="s">
        <v>66</v>
      </c>
      <c r="I218" t="s">
        <v>67</v>
      </c>
      <c r="J218" s="7">
        <v>5499576</v>
      </c>
      <c r="K218" t="s">
        <v>48</v>
      </c>
      <c r="L218" t="s">
        <v>2527</v>
      </c>
      <c r="M218" t="s">
        <v>78</v>
      </c>
      <c r="N218" s="6">
        <v>15</v>
      </c>
      <c r="O218" t="s">
        <v>2531</v>
      </c>
      <c r="P218">
        <f t="shared" si="3"/>
        <v>46</v>
      </c>
    </row>
    <row r="219" spans="1:16" x14ac:dyDescent="0.2">
      <c r="A219" t="s">
        <v>389</v>
      </c>
      <c r="B219" t="s">
        <v>102</v>
      </c>
      <c r="C219" t="s">
        <v>39</v>
      </c>
      <c r="D219" s="4">
        <v>29494</v>
      </c>
      <c r="E219" s="4">
        <v>45321</v>
      </c>
      <c r="F219" s="9">
        <v>45329</v>
      </c>
      <c r="G219" t="s">
        <v>29</v>
      </c>
      <c r="H219" t="s">
        <v>19</v>
      </c>
      <c r="I219" t="s">
        <v>41</v>
      </c>
      <c r="J219" s="7">
        <v>4069988</v>
      </c>
      <c r="K219" t="s">
        <v>48</v>
      </c>
      <c r="L219" t="s">
        <v>34</v>
      </c>
      <c r="M219" t="s">
        <v>35</v>
      </c>
      <c r="N219" s="6">
        <v>8</v>
      </c>
      <c r="O219" t="s">
        <v>25</v>
      </c>
      <c r="P219">
        <f t="shared" si="3"/>
        <v>44</v>
      </c>
    </row>
    <row r="220" spans="1:16" x14ac:dyDescent="0.2">
      <c r="A220" t="s">
        <v>390</v>
      </c>
      <c r="B220" t="s">
        <v>82</v>
      </c>
      <c r="C220" t="s">
        <v>92</v>
      </c>
      <c r="D220" s="4">
        <v>34080</v>
      </c>
      <c r="E220" s="4">
        <v>45338</v>
      </c>
      <c r="F220" s="9">
        <v>45348</v>
      </c>
      <c r="G220" t="s">
        <v>72</v>
      </c>
      <c r="H220" t="s">
        <v>2529</v>
      </c>
      <c r="I220" t="s">
        <v>2534</v>
      </c>
      <c r="J220" s="7">
        <v>1384324</v>
      </c>
      <c r="K220" t="s">
        <v>71</v>
      </c>
      <c r="L220" t="s">
        <v>34</v>
      </c>
      <c r="M220" t="s">
        <v>78</v>
      </c>
      <c r="N220" s="6">
        <v>10</v>
      </c>
      <c r="O220" t="s">
        <v>36</v>
      </c>
      <c r="P220">
        <f t="shared" si="3"/>
        <v>31</v>
      </c>
    </row>
    <row r="221" spans="1:16" x14ac:dyDescent="0.2">
      <c r="A221" t="s">
        <v>1874</v>
      </c>
      <c r="B221" t="s">
        <v>59</v>
      </c>
      <c r="C221" t="s">
        <v>92</v>
      </c>
      <c r="D221" s="4">
        <v>35461</v>
      </c>
      <c r="E221" s="4">
        <v>45463</v>
      </c>
      <c r="F221" s="9">
        <v>45475</v>
      </c>
      <c r="G221" t="s">
        <v>29</v>
      </c>
      <c r="H221" t="s">
        <v>19</v>
      </c>
      <c r="I221" t="s">
        <v>2534</v>
      </c>
      <c r="J221" s="7">
        <v>2297148</v>
      </c>
      <c r="K221" t="s">
        <v>48</v>
      </c>
      <c r="L221" t="s">
        <v>2527</v>
      </c>
      <c r="M221" t="s">
        <v>35</v>
      </c>
      <c r="N221" s="6">
        <v>12</v>
      </c>
      <c r="O221" t="s">
        <v>2531</v>
      </c>
      <c r="P221">
        <f t="shared" si="3"/>
        <v>27</v>
      </c>
    </row>
    <row r="222" spans="1:16" x14ac:dyDescent="0.2">
      <c r="A222" t="s">
        <v>392</v>
      </c>
      <c r="B222" t="s">
        <v>64</v>
      </c>
      <c r="C222" t="s">
        <v>28</v>
      </c>
      <c r="D222" s="4">
        <v>23406</v>
      </c>
      <c r="E222" s="4">
        <v>45418</v>
      </c>
      <c r="F222" s="9" t="s">
        <v>2536</v>
      </c>
      <c r="G222" t="s">
        <v>100</v>
      </c>
      <c r="H222" t="s">
        <v>61</v>
      </c>
      <c r="I222" t="s">
        <v>67</v>
      </c>
      <c r="J222" s="7">
        <v>2719500</v>
      </c>
      <c r="K222" t="s">
        <v>48</v>
      </c>
      <c r="L222" t="s">
        <v>23</v>
      </c>
      <c r="M222" t="s">
        <v>24</v>
      </c>
      <c r="N222" s="6" t="s">
        <v>2525</v>
      </c>
      <c r="O222" t="s">
        <v>25</v>
      </c>
      <c r="P222">
        <f t="shared" si="3"/>
        <v>60</v>
      </c>
    </row>
    <row r="223" spans="1:16" x14ac:dyDescent="0.2">
      <c r="A223" t="s">
        <v>394</v>
      </c>
      <c r="B223" t="s">
        <v>114</v>
      </c>
      <c r="C223" t="s">
        <v>28</v>
      </c>
      <c r="D223" s="4">
        <v>37041</v>
      </c>
      <c r="E223" s="4">
        <v>45314</v>
      </c>
      <c r="F223" s="9">
        <v>45316</v>
      </c>
      <c r="G223" t="s">
        <v>72</v>
      </c>
      <c r="H223" t="s">
        <v>2529</v>
      </c>
      <c r="I223" t="s">
        <v>67</v>
      </c>
      <c r="J223" s="7">
        <v>3492872</v>
      </c>
      <c r="K223" t="s">
        <v>48</v>
      </c>
      <c r="L223" t="s">
        <v>34</v>
      </c>
      <c r="M223" t="s">
        <v>35</v>
      </c>
      <c r="N223" s="6">
        <v>2</v>
      </c>
      <c r="O223" t="s">
        <v>2531</v>
      </c>
      <c r="P223">
        <f t="shared" si="3"/>
        <v>23</v>
      </c>
    </row>
    <row r="224" spans="1:16" x14ac:dyDescent="0.2">
      <c r="A224" t="s">
        <v>1875</v>
      </c>
      <c r="B224" t="s">
        <v>105</v>
      </c>
      <c r="C224" t="s">
        <v>92</v>
      </c>
      <c r="D224" s="4">
        <v>25042</v>
      </c>
      <c r="E224" s="4">
        <v>45379</v>
      </c>
      <c r="F224" s="9">
        <v>45393</v>
      </c>
      <c r="G224" t="s">
        <v>100</v>
      </c>
      <c r="H224" t="s">
        <v>61</v>
      </c>
      <c r="I224" t="s">
        <v>2535</v>
      </c>
      <c r="J224" s="7">
        <v>5163868</v>
      </c>
      <c r="K224" t="s">
        <v>48</v>
      </c>
      <c r="L224" t="s">
        <v>2527</v>
      </c>
      <c r="M224" t="s">
        <v>35</v>
      </c>
      <c r="N224" s="6">
        <v>14</v>
      </c>
      <c r="O224" t="s">
        <v>2531</v>
      </c>
      <c r="P224">
        <f t="shared" si="3"/>
        <v>56</v>
      </c>
    </row>
    <row r="225" spans="1:16" x14ac:dyDescent="0.2">
      <c r="A225" t="s">
        <v>395</v>
      </c>
      <c r="B225" t="s">
        <v>64</v>
      </c>
      <c r="C225" t="s">
        <v>92</v>
      </c>
      <c r="D225" s="4">
        <v>29901</v>
      </c>
      <c r="E225" s="4">
        <v>45432</v>
      </c>
      <c r="F225" s="9">
        <v>45433</v>
      </c>
      <c r="G225" t="s">
        <v>100</v>
      </c>
      <c r="H225" t="s">
        <v>61</v>
      </c>
      <c r="I225" t="s">
        <v>41</v>
      </c>
      <c r="J225" s="7">
        <v>3538136</v>
      </c>
      <c r="K225" t="s">
        <v>48</v>
      </c>
      <c r="L225" t="s">
        <v>23</v>
      </c>
      <c r="M225" t="s">
        <v>35</v>
      </c>
      <c r="N225" s="6">
        <v>1</v>
      </c>
      <c r="O225" t="s">
        <v>36</v>
      </c>
      <c r="P225">
        <f t="shared" si="3"/>
        <v>43</v>
      </c>
    </row>
    <row r="226" spans="1:16" x14ac:dyDescent="0.2">
      <c r="A226" t="s">
        <v>397</v>
      </c>
      <c r="B226" t="s">
        <v>114</v>
      </c>
      <c r="C226" t="s">
        <v>39</v>
      </c>
      <c r="D226" s="4">
        <v>24508</v>
      </c>
      <c r="E226" s="4">
        <v>45319</v>
      </c>
      <c r="F226" s="9" t="s">
        <v>2536</v>
      </c>
      <c r="G226" t="s">
        <v>72</v>
      </c>
      <c r="H226" t="s">
        <v>2529</v>
      </c>
      <c r="I226" t="s">
        <v>2534</v>
      </c>
      <c r="J226" s="7">
        <v>4922460</v>
      </c>
      <c r="K226" t="s">
        <v>71</v>
      </c>
      <c r="L226" t="s">
        <v>2527</v>
      </c>
      <c r="M226" t="s">
        <v>24</v>
      </c>
      <c r="N226" s="6" t="s">
        <v>2525</v>
      </c>
      <c r="O226" t="s">
        <v>25</v>
      </c>
      <c r="P226">
        <f t="shared" si="3"/>
        <v>57</v>
      </c>
    </row>
    <row r="227" spans="1:16" x14ac:dyDescent="0.2">
      <c r="A227" t="s">
        <v>1876</v>
      </c>
      <c r="B227" t="s">
        <v>64</v>
      </c>
      <c r="C227" t="s">
        <v>92</v>
      </c>
      <c r="D227" s="4">
        <v>19855</v>
      </c>
      <c r="E227" s="4">
        <v>45441</v>
      </c>
      <c r="F227" s="9">
        <v>45454</v>
      </c>
      <c r="G227" t="s">
        <v>18</v>
      </c>
      <c r="H227" t="s">
        <v>2529</v>
      </c>
      <c r="I227" t="s">
        <v>2534</v>
      </c>
      <c r="J227" s="7">
        <v>1365464</v>
      </c>
      <c r="K227" t="s">
        <v>71</v>
      </c>
      <c r="L227" t="s">
        <v>2527</v>
      </c>
      <c r="M227" t="s">
        <v>24</v>
      </c>
      <c r="N227" s="6">
        <v>13</v>
      </c>
      <c r="O227" t="s">
        <v>2531</v>
      </c>
      <c r="P227">
        <f t="shared" si="3"/>
        <v>70</v>
      </c>
    </row>
    <row r="228" spans="1:16" x14ac:dyDescent="0.2">
      <c r="A228" t="s">
        <v>1877</v>
      </c>
      <c r="B228" t="s">
        <v>91</v>
      </c>
      <c r="C228" t="s">
        <v>92</v>
      </c>
      <c r="D228" s="4">
        <v>31301</v>
      </c>
      <c r="E228" s="4">
        <v>45367</v>
      </c>
      <c r="F228" s="9">
        <v>45370</v>
      </c>
      <c r="G228" t="s">
        <v>18</v>
      </c>
      <c r="H228" t="s">
        <v>2529</v>
      </c>
      <c r="I228" t="s">
        <v>2534</v>
      </c>
      <c r="J228" s="7">
        <v>4021500</v>
      </c>
      <c r="K228" t="s">
        <v>43</v>
      </c>
      <c r="L228" t="s">
        <v>2527</v>
      </c>
      <c r="M228" t="s">
        <v>24</v>
      </c>
      <c r="N228" s="6">
        <v>3</v>
      </c>
      <c r="O228" t="s">
        <v>2531</v>
      </c>
      <c r="P228">
        <f t="shared" si="3"/>
        <v>39</v>
      </c>
    </row>
    <row r="229" spans="1:16" x14ac:dyDescent="0.2">
      <c r="A229" t="s">
        <v>402</v>
      </c>
      <c r="B229" t="s">
        <v>51</v>
      </c>
      <c r="C229" t="s">
        <v>28</v>
      </c>
      <c r="D229" s="4">
        <v>38716</v>
      </c>
      <c r="E229" s="4">
        <v>45467</v>
      </c>
      <c r="F229" s="9">
        <v>45470</v>
      </c>
      <c r="G229" t="s">
        <v>40</v>
      </c>
      <c r="H229" t="s">
        <v>75</v>
      </c>
      <c r="I229" t="s">
        <v>2534</v>
      </c>
      <c r="J229" s="7">
        <v>4914000</v>
      </c>
      <c r="K229" t="s">
        <v>48</v>
      </c>
      <c r="L229" t="s">
        <v>2527</v>
      </c>
      <c r="M229" t="s">
        <v>24</v>
      </c>
      <c r="N229" s="6">
        <v>3</v>
      </c>
      <c r="O229" t="s">
        <v>2531</v>
      </c>
      <c r="P229">
        <f t="shared" si="3"/>
        <v>19</v>
      </c>
    </row>
    <row r="230" spans="1:16" x14ac:dyDescent="0.2">
      <c r="A230" t="s">
        <v>1878</v>
      </c>
      <c r="B230" t="s">
        <v>82</v>
      </c>
      <c r="C230" t="s">
        <v>28</v>
      </c>
      <c r="D230" s="4">
        <v>35758</v>
      </c>
      <c r="E230" s="4">
        <v>45400</v>
      </c>
      <c r="F230" s="9">
        <v>45401</v>
      </c>
      <c r="G230" t="s">
        <v>46</v>
      </c>
      <c r="H230" t="s">
        <v>30</v>
      </c>
      <c r="I230" t="s">
        <v>2534</v>
      </c>
      <c r="J230" s="7">
        <v>810980</v>
      </c>
      <c r="K230" t="s">
        <v>48</v>
      </c>
      <c r="L230" t="s">
        <v>23</v>
      </c>
      <c r="M230" t="s">
        <v>78</v>
      </c>
      <c r="N230" s="6">
        <v>1</v>
      </c>
      <c r="O230" t="s">
        <v>25</v>
      </c>
      <c r="P230">
        <f t="shared" si="3"/>
        <v>27</v>
      </c>
    </row>
    <row r="231" spans="1:16" x14ac:dyDescent="0.2">
      <c r="A231" t="s">
        <v>1879</v>
      </c>
      <c r="B231" t="s">
        <v>45</v>
      </c>
      <c r="C231" t="s">
        <v>28</v>
      </c>
      <c r="D231" s="4">
        <v>35997</v>
      </c>
      <c r="E231" s="4">
        <v>45383</v>
      </c>
      <c r="F231" s="9" t="s">
        <v>2536</v>
      </c>
      <c r="G231" t="s">
        <v>72</v>
      </c>
      <c r="H231" t="s">
        <v>2529</v>
      </c>
      <c r="I231" t="s">
        <v>2535</v>
      </c>
      <c r="J231" s="7">
        <v>2108548</v>
      </c>
      <c r="K231" t="s">
        <v>48</v>
      </c>
      <c r="L231" t="s">
        <v>2527</v>
      </c>
      <c r="M231" t="s">
        <v>24</v>
      </c>
      <c r="N231" s="6" t="s">
        <v>2525</v>
      </c>
      <c r="O231" t="s">
        <v>36</v>
      </c>
      <c r="P231">
        <f t="shared" si="3"/>
        <v>26</v>
      </c>
    </row>
    <row r="232" spans="1:16" x14ac:dyDescent="0.2">
      <c r="A232" t="s">
        <v>1880</v>
      </c>
      <c r="B232" t="s">
        <v>82</v>
      </c>
      <c r="C232" t="s">
        <v>39</v>
      </c>
      <c r="D232" s="4">
        <v>28509</v>
      </c>
      <c r="E232" s="4">
        <v>45295</v>
      </c>
      <c r="F232" s="9">
        <v>45309</v>
      </c>
      <c r="G232" t="s">
        <v>50</v>
      </c>
      <c r="H232" t="s">
        <v>2528</v>
      </c>
      <c r="I232" t="s">
        <v>2534</v>
      </c>
      <c r="J232" s="7">
        <v>4991000</v>
      </c>
      <c r="K232" t="s">
        <v>43</v>
      </c>
      <c r="L232" t="s">
        <v>23</v>
      </c>
      <c r="M232" t="s">
        <v>24</v>
      </c>
      <c r="N232" s="6">
        <v>14</v>
      </c>
      <c r="O232" t="s">
        <v>36</v>
      </c>
      <c r="P232">
        <f t="shared" si="3"/>
        <v>46</v>
      </c>
    </row>
    <row r="233" spans="1:16" x14ac:dyDescent="0.2">
      <c r="A233" t="s">
        <v>408</v>
      </c>
      <c r="B233" t="s">
        <v>150</v>
      </c>
      <c r="C233" t="s">
        <v>28</v>
      </c>
      <c r="D233" s="4">
        <v>23958</v>
      </c>
      <c r="E233" s="4">
        <v>45388</v>
      </c>
      <c r="F233" s="9">
        <v>45397</v>
      </c>
      <c r="G233" t="s">
        <v>46</v>
      </c>
      <c r="H233" t="s">
        <v>30</v>
      </c>
      <c r="I233" t="s">
        <v>2535</v>
      </c>
      <c r="J233" s="7">
        <v>2346184</v>
      </c>
      <c r="K233" t="s">
        <v>48</v>
      </c>
      <c r="L233" t="s">
        <v>2527</v>
      </c>
      <c r="M233" t="s">
        <v>24</v>
      </c>
      <c r="N233" s="6">
        <v>9</v>
      </c>
      <c r="O233" t="s">
        <v>25</v>
      </c>
      <c r="P233">
        <f t="shared" si="3"/>
        <v>59</v>
      </c>
    </row>
    <row r="234" spans="1:16" x14ac:dyDescent="0.2">
      <c r="A234" t="s">
        <v>1881</v>
      </c>
      <c r="B234" t="s">
        <v>85</v>
      </c>
      <c r="C234" t="s">
        <v>92</v>
      </c>
      <c r="D234" s="4">
        <v>38756</v>
      </c>
      <c r="E234" s="4">
        <v>45417</v>
      </c>
      <c r="F234" s="9" t="s">
        <v>2536</v>
      </c>
      <c r="G234" t="s">
        <v>83</v>
      </c>
      <c r="H234" t="s">
        <v>66</v>
      </c>
      <c r="I234" t="s">
        <v>67</v>
      </c>
      <c r="J234" s="7">
        <v>1795472</v>
      </c>
      <c r="K234" t="s">
        <v>43</v>
      </c>
      <c r="L234" t="s">
        <v>23</v>
      </c>
      <c r="M234" t="s">
        <v>78</v>
      </c>
      <c r="N234" s="6" t="s">
        <v>2525</v>
      </c>
      <c r="O234" t="s">
        <v>25</v>
      </c>
      <c r="P234">
        <f t="shared" si="3"/>
        <v>18</v>
      </c>
    </row>
    <row r="235" spans="1:16" x14ac:dyDescent="0.2">
      <c r="A235" t="s">
        <v>1882</v>
      </c>
      <c r="B235" t="s">
        <v>91</v>
      </c>
      <c r="C235" t="s">
        <v>28</v>
      </c>
      <c r="D235" s="4">
        <v>40000</v>
      </c>
      <c r="E235" s="4">
        <v>45376</v>
      </c>
      <c r="F235" s="9">
        <v>45389</v>
      </c>
      <c r="G235" t="s">
        <v>40</v>
      </c>
      <c r="H235" t="s">
        <v>75</v>
      </c>
      <c r="I235" t="s">
        <v>41</v>
      </c>
      <c r="J235" s="7">
        <v>5390188</v>
      </c>
      <c r="K235" t="s">
        <v>48</v>
      </c>
      <c r="L235" t="s">
        <v>2527</v>
      </c>
      <c r="M235" t="s">
        <v>78</v>
      </c>
      <c r="N235" s="6">
        <v>13</v>
      </c>
      <c r="O235" t="s">
        <v>2531</v>
      </c>
      <c r="P235">
        <f t="shared" si="3"/>
        <v>15</v>
      </c>
    </row>
    <row r="236" spans="1:16" x14ac:dyDescent="0.2">
      <c r="A236" t="s">
        <v>1883</v>
      </c>
      <c r="B236" t="s">
        <v>85</v>
      </c>
      <c r="C236" t="s">
        <v>28</v>
      </c>
      <c r="D236" s="4">
        <v>19570</v>
      </c>
      <c r="E236" s="4">
        <v>45389</v>
      </c>
      <c r="F236" s="9">
        <v>45398</v>
      </c>
      <c r="G236" t="s">
        <v>88</v>
      </c>
      <c r="H236" t="s">
        <v>66</v>
      </c>
      <c r="I236" t="s">
        <v>41</v>
      </c>
      <c r="J236" s="7">
        <v>3270324</v>
      </c>
      <c r="K236" t="s">
        <v>71</v>
      </c>
      <c r="L236" t="s">
        <v>34</v>
      </c>
      <c r="M236" t="s">
        <v>78</v>
      </c>
      <c r="N236" s="6">
        <v>9</v>
      </c>
      <c r="O236" t="s">
        <v>36</v>
      </c>
      <c r="P236">
        <f t="shared" si="3"/>
        <v>71</v>
      </c>
    </row>
    <row r="237" spans="1:16" x14ac:dyDescent="0.2">
      <c r="A237" t="s">
        <v>1884</v>
      </c>
      <c r="B237" t="s">
        <v>150</v>
      </c>
      <c r="C237" t="s">
        <v>92</v>
      </c>
      <c r="D237" s="4">
        <v>23749</v>
      </c>
      <c r="E237" s="4">
        <v>45452</v>
      </c>
      <c r="F237" s="9">
        <v>45463</v>
      </c>
      <c r="G237" t="s">
        <v>72</v>
      </c>
      <c r="H237" t="s">
        <v>2529</v>
      </c>
      <c r="I237" t="s">
        <v>41</v>
      </c>
      <c r="J237" s="7">
        <v>1176864</v>
      </c>
      <c r="K237" t="s">
        <v>43</v>
      </c>
      <c r="L237" t="s">
        <v>2527</v>
      </c>
      <c r="M237" t="s">
        <v>24</v>
      </c>
      <c r="N237" s="6">
        <v>11</v>
      </c>
      <c r="O237" t="s">
        <v>2531</v>
      </c>
      <c r="P237">
        <f t="shared" si="3"/>
        <v>59</v>
      </c>
    </row>
    <row r="238" spans="1:16" x14ac:dyDescent="0.2">
      <c r="A238" t="s">
        <v>1885</v>
      </c>
      <c r="B238" t="s">
        <v>87</v>
      </c>
      <c r="C238" t="s">
        <v>92</v>
      </c>
      <c r="D238" s="4">
        <v>33311</v>
      </c>
      <c r="E238" s="4">
        <v>45301</v>
      </c>
      <c r="F238" s="9" t="s">
        <v>2536</v>
      </c>
      <c r="G238" t="s">
        <v>46</v>
      </c>
      <c r="H238" t="s">
        <v>30</v>
      </c>
      <c r="I238" t="s">
        <v>2533</v>
      </c>
      <c r="J238" s="7">
        <v>4684824</v>
      </c>
      <c r="K238" t="s">
        <v>43</v>
      </c>
      <c r="L238" t="s">
        <v>23</v>
      </c>
      <c r="M238" t="s">
        <v>78</v>
      </c>
      <c r="N238" s="6" t="s">
        <v>2525</v>
      </c>
      <c r="O238" t="s">
        <v>2531</v>
      </c>
      <c r="P238">
        <f t="shared" si="3"/>
        <v>33</v>
      </c>
    </row>
    <row r="239" spans="1:16" x14ac:dyDescent="0.2">
      <c r="A239" t="s">
        <v>1886</v>
      </c>
      <c r="B239" t="s">
        <v>82</v>
      </c>
      <c r="C239" t="s">
        <v>92</v>
      </c>
      <c r="D239" s="4">
        <v>18817</v>
      </c>
      <c r="E239" s="4">
        <v>45464</v>
      </c>
      <c r="F239" s="9">
        <v>45475</v>
      </c>
      <c r="G239" t="s">
        <v>18</v>
      </c>
      <c r="H239" t="s">
        <v>2529</v>
      </c>
      <c r="I239" t="s">
        <v>2534</v>
      </c>
      <c r="J239" s="7">
        <v>868000</v>
      </c>
      <c r="K239" t="s">
        <v>43</v>
      </c>
      <c r="L239" t="s">
        <v>34</v>
      </c>
      <c r="M239" t="s">
        <v>78</v>
      </c>
      <c r="N239" s="6">
        <v>11</v>
      </c>
      <c r="O239" t="s">
        <v>2531</v>
      </c>
      <c r="P239">
        <f t="shared" si="3"/>
        <v>73</v>
      </c>
    </row>
    <row r="240" spans="1:16" x14ac:dyDescent="0.2">
      <c r="A240" t="s">
        <v>418</v>
      </c>
      <c r="B240" t="s">
        <v>45</v>
      </c>
      <c r="C240" t="s">
        <v>39</v>
      </c>
      <c r="D240" s="4">
        <v>32605</v>
      </c>
      <c r="E240" s="4">
        <v>45393</v>
      </c>
      <c r="F240" s="9">
        <v>45402</v>
      </c>
      <c r="G240" t="s">
        <v>46</v>
      </c>
      <c r="H240" t="s">
        <v>30</v>
      </c>
      <c r="I240" t="s">
        <v>2533</v>
      </c>
      <c r="J240" s="7">
        <v>4259500</v>
      </c>
      <c r="K240" t="s">
        <v>48</v>
      </c>
      <c r="L240" t="s">
        <v>2527</v>
      </c>
      <c r="M240" t="s">
        <v>24</v>
      </c>
      <c r="N240" s="6">
        <v>9</v>
      </c>
      <c r="O240" t="s">
        <v>2531</v>
      </c>
      <c r="P240">
        <f t="shared" si="3"/>
        <v>35</v>
      </c>
    </row>
    <row r="241" spans="1:16" x14ac:dyDescent="0.2">
      <c r="A241" t="s">
        <v>1887</v>
      </c>
      <c r="B241" t="s">
        <v>102</v>
      </c>
      <c r="C241" t="s">
        <v>92</v>
      </c>
      <c r="D241" s="4">
        <v>36401</v>
      </c>
      <c r="E241" s="4">
        <v>45323</v>
      </c>
      <c r="F241" s="9" t="s">
        <v>2536</v>
      </c>
      <c r="G241" t="s">
        <v>18</v>
      </c>
      <c r="H241" t="s">
        <v>2529</v>
      </c>
      <c r="I241" t="s">
        <v>2535</v>
      </c>
      <c r="J241" s="7">
        <v>4605612</v>
      </c>
      <c r="K241" t="s">
        <v>48</v>
      </c>
      <c r="L241" t="s">
        <v>23</v>
      </c>
      <c r="M241" t="s">
        <v>24</v>
      </c>
      <c r="N241" s="6" t="s">
        <v>2525</v>
      </c>
      <c r="O241" t="s">
        <v>36</v>
      </c>
      <c r="P241">
        <f t="shared" si="3"/>
        <v>25</v>
      </c>
    </row>
    <row r="242" spans="1:16" x14ac:dyDescent="0.2">
      <c r="A242" t="s">
        <v>421</v>
      </c>
      <c r="B242" t="s">
        <v>82</v>
      </c>
      <c r="C242" t="s">
        <v>28</v>
      </c>
      <c r="D242" s="4">
        <v>35059</v>
      </c>
      <c r="E242" s="4">
        <v>45333</v>
      </c>
      <c r="F242" s="9">
        <v>45347</v>
      </c>
      <c r="G242" t="s">
        <v>50</v>
      </c>
      <c r="H242" t="s">
        <v>2528</v>
      </c>
      <c r="I242" t="s">
        <v>67</v>
      </c>
      <c r="J242" s="7">
        <v>5559928</v>
      </c>
      <c r="K242" t="s">
        <v>43</v>
      </c>
      <c r="L242" t="s">
        <v>2527</v>
      </c>
      <c r="M242" t="s">
        <v>24</v>
      </c>
      <c r="N242" s="6">
        <v>14</v>
      </c>
      <c r="O242" t="s">
        <v>2531</v>
      </c>
      <c r="P242">
        <f t="shared" si="3"/>
        <v>29</v>
      </c>
    </row>
    <row r="243" spans="1:16" x14ac:dyDescent="0.2">
      <c r="A243" t="s">
        <v>423</v>
      </c>
      <c r="B243" t="s">
        <v>38</v>
      </c>
      <c r="C243" t="s">
        <v>92</v>
      </c>
      <c r="D243" s="4">
        <v>24732</v>
      </c>
      <c r="E243" s="4">
        <v>45376</v>
      </c>
      <c r="F243" s="9" t="s">
        <v>2536</v>
      </c>
      <c r="G243" t="s">
        <v>72</v>
      </c>
      <c r="H243" t="s">
        <v>2529</v>
      </c>
      <c r="I243" t="s">
        <v>67</v>
      </c>
      <c r="J243" s="7">
        <v>2576276</v>
      </c>
      <c r="K243" t="s">
        <v>48</v>
      </c>
      <c r="L243" t="s">
        <v>2527</v>
      </c>
      <c r="M243" t="s">
        <v>78</v>
      </c>
      <c r="N243" s="6" t="s">
        <v>2525</v>
      </c>
      <c r="O243" t="s">
        <v>2531</v>
      </c>
      <c r="P243">
        <f t="shared" si="3"/>
        <v>57</v>
      </c>
    </row>
    <row r="244" spans="1:16" x14ac:dyDescent="0.2">
      <c r="A244" t="s">
        <v>1888</v>
      </c>
      <c r="B244" t="s">
        <v>119</v>
      </c>
      <c r="C244" t="s">
        <v>28</v>
      </c>
      <c r="D244" s="4">
        <v>36796</v>
      </c>
      <c r="E244" s="4">
        <v>45372</v>
      </c>
      <c r="F244" s="9">
        <v>45378</v>
      </c>
      <c r="G244" t="s">
        <v>50</v>
      </c>
      <c r="H244" t="s">
        <v>2528</v>
      </c>
      <c r="I244" t="s">
        <v>2534</v>
      </c>
      <c r="J244" s="7">
        <v>5326064</v>
      </c>
      <c r="K244" t="s">
        <v>48</v>
      </c>
      <c r="L244" t="s">
        <v>2527</v>
      </c>
      <c r="M244" t="s">
        <v>35</v>
      </c>
      <c r="N244" s="6">
        <v>6</v>
      </c>
      <c r="O244" t="s">
        <v>36</v>
      </c>
      <c r="P244">
        <f t="shared" si="3"/>
        <v>24</v>
      </c>
    </row>
    <row r="245" spans="1:16" x14ac:dyDescent="0.2">
      <c r="A245" t="s">
        <v>1889</v>
      </c>
      <c r="B245" t="s">
        <v>114</v>
      </c>
      <c r="C245" t="s">
        <v>92</v>
      </c>
      <c r="D245" s="4">
        <v>28273</v>
      </c>
      <c r="E245" s="4">
        <v>45433</v>
      </c>
      <c r="F245" s="9">
        <v>45443</v>
      </c>
      <c r="G245" t="s">
        <v>60</v>
      </c>
      <c r="H245" t="s">
        <v>66</v>
      </c>
      <c r="I245" t="s">
        <v>41</v>
      </c>
      <c r="J245" s="7">
        <v>1455992</v>
      </c>
      <c r="K245" t="s">
        <v>48</v>
      </c>
      <c r="L245" t="s">
        <v>34</v>
      </c>
      <c r="M245" t="s">
        <v>24</v>
      </c>
      <c r="N245" s="6">
        <v>10</v>
      </c>
      <c r="O245" t="s">
        <v>25</v>
      </c>
      <c r="P245">
        <f t="shared" si="3"/>
        <v>47</v>
      </c>
    </row>
    <row r="246" spans="1:16" x14ac:dyDescent="0.2">
      <c r="A246" t="s">
        <v>1890</v>
      </c>
      <c r="B246" t="s">
        <v>64</v>
      </c>
      <c r="C246" t="s">
        <v>39</v>
      </c>
      <c r="D246" s="4">
        <v>37331</v>
      </c>
      <c r="E246" s="4">
        <v>45443</v>
      </c>
      <c r="F246" s="9">
        <v>45452</v>
      </c>
      <c r="G246" t="s">
        <v>40</v>
      </c>
      <c r="H246" t="s">
        <v>75</v>
      </c>
      <c r="I246" t="s">
        <v>2533</v>
      </c>
      <c r="J246" s="7">
        <v>5427908</v>
      </c>
      <c r="K246" t="s">
        <v>48</v>
      </c>
      <c r="L246" t="s">
        <v>2527</v>
      </c>
      <c r="M246" t="s">
        <v>35</v>
      </c>
      <c r="N246" s="6">
        <v>9</v>
      </c>
      <c r="O246" t="s">
        <v>2531</v>
      </c>
      <c r="P246">
        <f t="shared" si="3"/>
        <v>22</v>
      </c>
    </row>
    <row r="247" spans="1:16" x14ac:dyDescent="0.2">
      <c r="A247" t="s">
        <v>1891</v>
      </c>
      <c r="B247" t="s">
        <v>87</v>
      </c>
      <c r="C247" t="s">
        <v>28</v>
      </c>
      <c r="D247" s="4">
        <v>34684</v>
      </c>
      <c r="E247" s="4">
        <v>45393</v>
      </c>
      <c r="F247" s="9">
        <v>45404</v>
      </c>
      <c r="G247" t="s">
        <v>18</v>
      </c>
      <c r="H247" t="s">
        <v>2529</v>
      </c>
      <c r="I247" t="s">
        <v>67</v>
      </c>
      <c r="J247" s="7">
        <v>4345344</v>
      </c>
      <c r="K247" t="s">
        <v>71</v>
      </c>
      <c r="L247" t="s">
        <v>23</v>
      </c>
      <c r="M247" t="s">
        <v>35</v>
      </c>
      <c r="N247" s="6">
        <v>11</v>
      </c>
      <c r="O247" t="s">
        <v>2531</v>
      </c>
      <c r="P247">
        <f t="shared" si="3"/>
        <v>30</v>
      </c>
    </row>
    <row r="248" spans="1:16" x14ac:dyDescent="0.2">
      <c r="A248" t="s">
        <v>428</v>
      </c>
      <c r="B248" t="s">
        <v>56</v>
      </c>
      <c r="C248" t="s">
        <v>92</v>
      </c>
      <c r="D248" s="4">
        <v>19588</v>
      </c>
      <c r="E248" s="4">
        <v>45416</v>
      </c>
      <c r="F248" s="9" t="s">
        <v>2536</v>
      </c>
      <c r="G248" t="s">
        <v>83</v>
      </c>
      <c r="H248" t="s">
        <v>66</v>
      </c>
      <c r="I248" t="s">
        <v>67</v>
      </c>
      <c r="J248" s="7">
        <v>5541068</v>
      </c>
      <c r="K248" t="s">
        <v>43</v>
      </c>
      <c r="L248" t="s">
        <v>2527</v>
      </c>
      <c r="M248" t="s">
        <v>78</v>
      </c>
      <c r="N248" s="6" t="s">
        <v>2525</v>
      </c>
      <c r="O248" t="s">
        <v>25</v>
      </c>
      <c r="P248">
        <f t="shared" si="3"/>
        <v>71</v>
      </c>
    </row>
    <row r="249" spans="1:16" x14ac:dyDescent="0.2">
      <c r="A249" t="s">
        <v>430</v>
      </c>
      <c r="B249" t="s">
        <v>59</v>
      </c>
      <c r="C249" t="s">
        <v>92</v>
      </c>
      <c r="D249" s="4">
        <v>35348</v>
      </c>
      <c r="E249" s="4">
        <v>45359</v>
      </c>
      <c r="F249" s="9">
        <v>45366</v>
      </c>
      <c r="G249" t="s">
        <v>18</v>
      </c>
      <c r="H249" t="s">
        <v>2529</v>
      </c>
      <c r="I249" t="s">
        <v>41</v>
      </c>
      <c r="J249" s="7">
        <v>906500</v>
      </c>
      <c r="K249" t="s">
        <v>71</v>
      </c>
      <c r="L249" t="s">
        <v>23</v>
      </c>
      <c r="M249" t="s">
        <v>24</v>
      </c>
      <c r="N249" s="6">
        <v>7</v>
      </c>
      <c r="O249" t="s">
        <v>36</v>
      </c>
      <c r="P249">
        <f t="shared" si="3"/>
        <v>28</v>
      </c>
    </row>
    <row r="250" spans="1:16" x14ac:dyDescent="0.2">
      <c r="A250" t="s">
        <v>1892</v>
      </c>
      <c r="B250" t="s">
        <v>56</v>
      </c>
      <c r="C250" t="s">
        <v>92</v>
      </c>
      <c r="D250" s="4">
        <v>18480</v>
      </c>
      <c r="E250" s="4">
        <v>45404</v>
      </c>
      <c r="F250" s="9">
        <v>45413</v>
      </c>
      <c r="G250" t="s">
        <v>50</v>
      </c>
      <c r="H250" t="s">
        <v>2528</v>
      </c>
      <c r="I250" t="s">
        <v>67</v>
      </c>
      <c r="J250" s="7">
        <v>1477000</v>
      </c>
      <c r="K250" t="s">
        <v>43</v>
      </c>
      <c r="L250" t="s">
        <v>34</v>
      </c>
      <c r="M250" t="s">
        <v>24</v>
      </c>
      <c r="N250" s="6">
        <v>9</v>
      </c>
      <c r="O250" t="s">
        <v>36</v>
      </c>
      <c r="P250">
        <f t="shared" si="3"/>
        <v>74</v>
      </c>
    </row>
    <row r="251" spans="1:16" x14ac:dyDescent="0.2">
      <c r="A251" t="s">
        <v>1893</v>
      </c>
      <c r="B251" t="s">
        <v>16</v>
      </c>
      <c r="C251" t="s">
        <v>28</v>
      </c>
      <c r="D251" s="4">
        <v>33953</v>
      </c>
      <c r="E251" s="4">
        <v>45345</v>
      </c>
      <c r="F251" s="9">
        <v>45352</v>
      </c>
      <c r="G251" t="s">
        <v>50</v>
      </c>
      <c r="H251" t="s">
        <v>2528</v>
      </c>
      <c r="I251" t="s">
        <v>67</v>
      </c>
      <c r="J251" s="7">
        <v>4805528</v>
      </c>
      <c r="K251" t="s">
        <v>48</v>
      </c>
      <c r="L251" t="s">
        <v>34</v>
      </c>
      <c r="M251" t="s">
        <v>24</v>
      </c>
      <c r="N251" s="6">
        <v>7</v>
      </c>
      <c r="O251" t="s">
        <v>25</v>
      </c>
      <c r="P251">
        <f t="shared" si="3"/>
        <v>32</v>
      </c>
    </row>
    <row r="252" spans="1:16" x14ac:dyDescent="0.2">
      <c r="A252" t="s">
        <v>1894</v>
      </c>
      <c r="B252" t="s">
        <v>140</v>
      </c>
      <c r="C252" t="s">
        <v>92</v>
      </c>
      <c r="D252" s="4">
        <v>31549</v>
      </c>
      <c r="E252" s="4">
        <v>45461</v>
      </c>
      <c r="F252" s="9">
        <v>45465</v>
      </c>
      <c r="G252" t="s">
        <v>18</v>
      </c>
      <c r="H252" t="s">
        <v>2529</v>
      </c>
      <c r="I252" t="s">
        <v>41</v>
      </c>
      <c r="J252" s="7">
        <v>4096392</v>
      </c>
      <c r="K252" t="s">
        <v>48</v>
      </c>
      <c r="L252" t="s">
        <v>2527</v>
      </c>
      <c r="M252" t="s">
        <v>24</v>
      </c>
      <c r="N252" s="6">
        <v>4</v>
      </c>
      <c r="O252" t="s">
        <v>2531</v>
      </c>
      <c r="P252">
        <f t="shared" si="3"/>
        <v>38</v>
      </c>
    </row>
    <row r="253" spans="1:16" x14ac:dyDescent="0.2">
      <c r="A253" t="s">
        <v>436</v>
      </c>
      <c r="B253" t="s">
        <v>85</v>
      </c>
      <c r="C253" t="s">
        <v>28</v>
      </c>
      <c r="D253" s="4">
        <v>35002</v>
      </c>
      <c r="E253" s="4">
        <v>45334</v>
      </c>
      <c r="F253" s="9">
        <v>45344</v>
      </c>
      <c r="G253" t="s">
        <v>50</v>
      </c>
      <c r="H253" t="s">
        <v>2528</v>
      </c>
      <c r="I253" t="s">
        <v>2533</v>
      </c>
      <c r="J253" s="7">
        <v>1395640</v>
      </c>
      <c r="K253" t="s">
        <v>48</v>
      </c>
      <c r="L253" t="s">
        <v>23</v>
      </c>
      <c r="M253" t="s">
        <v>24</v>
      </c>
      <c r="N253" s="6">
        <v>10</v>
      </c>
      <c r="O253" t="s">
        <v>2531</v>
      </c>
      <c r="P253">
        <f t="shared" si="3"/>
        <v>29</v>
      </c>
    </row>
    <row r="254" spans="1:16" x14ac:dyDescent="0.2">
      <c r="A254" t="s">
        <v>1895</v>
      </c>
      <c r="B254" t="s">
        <v>87</v>
      </c>
      <c r="C254" t="s">
        <v>92</v>
      </c>
      <c r="D254" s="4">
        <v>21419</v>
      </c>
      <c r="E254" s="4">
        <v>45413</v>
      </c>
      <c r="F254" s="9">
        <v>45422</v>
      </c>
      <c r="G254" t="s">
        <v>74</v>
      </c>
      <c r="H254" t="s">
        <v>2528</v>
      </c>
      <c r="I254" t="s">
        <v>2534</v>
      </c>
      <c r="J254" s="7">
        <v>1380552</v>
      </c>
      <c r="K254" t="s">
        <v>71</v>
      </c>
      <c r="L254" t="s">
        <v>2527</v>
      </c>
      <c r="M254" t="s">
        <v>78</v>
      </c>
      <c r="N254" s="6">
        <v>9</v>
      </c>
      <c r="O254" t="s">
        <v>2531</v>
      </c>
      <c r="P254">
        <f t="shared" si="3"/>
        <v>66</v>
      </c>
    </row>
    <row r="255" spans="1:16" x14ac:dyDescent="0.2">
      <c r="A255" t="s">
        <v>1896</v>
      </c>
      <c r="B255" t="s">
        <v>91</v>
      </c>
      <c r="C255" t="s">
        <v>39</v>
      </c>
      <c r="D255" s="4">
        <v>34062</v>
      </c>
      <c r="E255" s="4">
        <v>45381</v>
      </c>
      <c r="F255" s="9">
        <v>45386</v>
      </c>
      <c r="G255" t="s">
        <v>50</v>
      </c>
      <c r="H255" t="s">
        <v>2528</v>
      </c>
      <c r="I255" t="s">
        <v>67</v>
      </c>
      <c r="J255" s="7">
        <v>2564960</v>
      </c>
      <c r="K255" t="s">
        <v>48</v>
      </c>
      <c r="L255" t="s">
        <v>23</v>
      </c>
      <c r="M255" t="s">
        <v>35</v>
      </c>
      <c r="N255" s="6">
        <v>5</v>
      </c>
      <c r="O255" t="s">
        <v>25</v>
      </c>
      <c r="P255">
        <f t="shared" si="3"/>
        <v>31</v>
      </c>
    </row>
    <row r="256" spans="1:16" x14ac:dyDescent="0.2">
      <c r="A256" t="s">
        <v>1897</v>
      </c>
      <c r="B256" t="s">
        <v>105</v>
      </c>
      <c r="C256" t="s">
        <v>92</v>
      </c>
      <c r="D256" s="4">
        <v>35295</v>
      </c>
      <c r="E256" s="4">
        <v>45388</v>
      </c>
      <c r="F256" s="9">
        <v>45394</v>
      </c>
      <c r="G256" t="s">
        <v>83</v>
      </c>
      <c r="H256" t="s">
        <v>66</v>
      </c>
      <c r="I256" t="s">
        <v>67</v>
      </c>
      <c r="J256" s="7">
        <v>3402000</v>
      </c>
      <c r="K256" t="s">
        <v>48</v>
      </c>
      <c r="L256" t="s">
        <v>2527</v>
      </c>
      <c r="M256" t="s">
        <v>24</v>
      </c>
      <c r="N256" s="6">
        <v>6</v>
      </c>
      <c r="O256" t="s">
        <v>2531</v>
      </c>
      <c r="P256">
        <f t="shared" si="3"/>
        <v>28</v>
      </c>
    </row>
    <row r="257" spans="1:16" x14ac:dyDescent="0.2">
      <c r="A257" t="s">
        <v>1898</v>
      </c>
      <c r="B257" t="s">
        <v>51</v>
      </c>
      <c r="C257" t="s">
        <v>28</v>
      </c>
      <c r="D257" s="4">
        <v>36355</v>
      </c>
      <c r="E257" s="4">
        <v>45337</v>
      </c>
      <c r="F257" s="9">
        <v>45345</v>
      </c>
      <c r="G257" t="s">
        <v>60</v>
      </c>
      <c r="H257" t="s">
        <v>66</v>
      </c>
      <c r="I257" t="s">
        <v>2533</v>
      </c>
      <c r="J257" s="7">
        <v>3451380</v>
      </c>
      <c r="K257" t="s">
        <v>48</v>
      </c>
      <c r="L257" t="s">
        <v>23</v>
      </c>
      <c r="M257" t="s">
        <v>78</v>
      </c>
      <c r="N257" s="6">
        <v>8</v>
      </c>
      <c r="O257" t="s">
        <v>25</v>
      </c>
      <c r="P257">
        <f t="shared" si="3"/>
        <v>25</v>
      </c>
    </row>
    <row r="258" spans="1:16" x14ac:dyDescent="0.2">
      <c r="A258" t="s">
        <v>442</v>
      </c>
      <c r="B258" t="s">
        <v>105</v>
      </c>
      <c r="C258" t="s">
        <v>28</v>
      </c>
      <c r="D258" s="4">
        <v>29353</v>
      </c>
      <c r="E258" s="4">
        <v>45333</v>
      </c>
      <c r="F258" s="9">
        <v>45334</v>
      </c>
      <c r="G258" t="s">
        <v>46</v>
      </c>
      <c r="H258" t="s">
        <v>30</v>
      </c>
      <c r="I258" t="s">
        <v>2535</v>
      </c>
      <c r="J258" s="7">
        <v>3738052</v>
      </c>
      <c r="K258" t="s">
        <v>48</v>
      </c>
      <c r="L258" t="s">
        <v>2527</v>
      </c>
      <c r="M258" t="s">
        <v>35</v>
      </c>
      <c r="N258" s="6">
        <v>1</v>
      </c>
      <c r="O258" t="s">
        <v>25</v>
      </c>
      <c r="P258">
        <f t="shared" si="3"/>
        <v>44</v>
      </c>
    </row>
    <row r="259" spans="1:16" x14ac:dyDescent="0.2">
      <c r="A259" t="s">
        <v>1899</v>
      </c>
      <c r="B259" t="s">
        <v>118</v>
      </c>
      <c r="C259" t="s">
        <v>28</v>
      </c>
      <c r="D259" s="4">
        <v>38382</v>
      </c>
      <c r="E259" s="4">
        <v>45444</v>
      </c>
      <c r="F259" s="9">
        <v>45458</v>
      </c>
      <c r="G259" t="s">
        <v>72</v>
      </c>
      <c r="H259" t="s">
        <v>2529</v>
      </c>
      <c r="I259" t="s">
        <v>2533</v>
      </c>
      <c r="J259" s="7">
        <v>456412</v>
      </c>
      <c r="K259" t="s">
        <v>43</v>
      </c>
      <c r="L259" t="s">
        <v>2527</v>
      </c>
      <c r="M259" t="s">
        <v>35</v>
      </c>
      <c r="N259" s="6">
        <v>14</v>
      </c>
      <c r="O259" t="s">
        <v>2531</v>
      </c>
      <c r="P259">
        <f t="shared" ref="P259:P322" si="4">YEAR(E259)-YEAR(D259)</f>
        <v>19</v>
      </c>
    </row>
    <row r="260" spans="1:16" x14ac:dyDescent="0.2">
      <c r="A260" t="s">
        <v>1900</v>
      </c>
      <c r="B260" t="s">
        <v>105</v>
      </c>
      <c r="C260" t="s">
        <v>28</v>
      </c>
      <c r="D260" s="4">
        <v>25855</v>
      </c>
      <c r="E260" s="4">
        <v>45464</v>
      </c>
      <c r="F260" s="9">
        <v>45475</v>
      </c>
      <c r="G260" t="s">
        <v>46</v>
      </c>
      <c r="H260" t="s">
        <v>30</v>
      </c>
      <c r="I260" t="s">
        <v>2533</v>
      </c>
      <c r="J260" s="7">
        <v>3213000</v>
      </c>
      <c r="K260" t="s">
        <v>71</v>
      </c>
      <c r="L260" t="s">
        <v>2527</v>
      </c>
      <c r="M260" t="s">
        <v>24</v>
      </c>
      <c r="N260" s="6">
        <v>11</v>
      </c>
      <c r="O260" t="s">
        <v>25</v>
      </c>
      <c r="P260">
        <f t="shared" si="4"/>
        <v>54</v>
      </c>
    </row>
    <row r="261" spans="1:16" x14ac:dyDescent="0.2">
      <c r="A261" t="s">
        <v>1901</v>
      </c>
      <c r="B261" t="s">
        <v>150</v>
      </c>
      <c r="C261" t="s">
        <v>92</v>
      </c>
      <c r="D261" s="4">
        <v>36273</v>
      </c>
      <c r="E261" s="4">
        <v>45435</v>
      </c>
      <c r="F261" s="9">
        <v>45449</v>
      </c>
      <c r="G261" t="s">
        <v>50</v>
      </c>
      <c r="H261" t="s">
        <v>2528</v>
      </c>
      <c r="I261" t="s">
        <v>67</v>
      </c>
      <c r="J261" s="7">
        <v>3888932</v>
      </c>
      <c r="K261" t="s">
        <v>43</v>
      </c>
      <c r="L261" t="s">
        <v>34</v>
      </c>
      <c r="M261" t="s">
        <v>78</v>
      </c>
      <c r="N261" s="6">
        <v>14</v>
      </c>
      <c r="O261" t="s">
        <v>2531</v>
      </c>
      <c r="P261">
        <f t="shared" si="4"/>
        <v>25</v>
      </c>
    </row>
    <row r="262" spans="1:16" x14ac:dyDescent="0.2">
      <c r="A262" t="s">
        <v>449</v>
      </c>
      <c r="B262" t="s">
        <v>27</v>
      </c>
      <c r="C262" t="s">
        <v>92</v>
      </c>
      <c r="D262" s="4">
        <v>34751</v>
      </c>
      <c r="E262" s="4">
        <v>45379</v>
      </c>
      <c r="F262" s="9">
        <v>45384</v>
      </c>
      <c r="G262" t="s">
        <v>100</v>
      </c>
      <c r="H262" t="s">
        <v>61</v>
      </c>
      <c r="I262" t="s">
        <v>2535</v>
      </c>
      <c r="J262" s="7">
        <v>4111480</v>
      </c>
      <c r="K262" t="s">
        <v>48</v>
      </c>
      <c r="L262" t="s">
        <v>2527</v>
      </c>
      <c r="M262" t="s">
        <v>24</v>
      </c>
      <c r="N262" s="6">
        <v>5</v>
      </c>
      <c r="O262" t="s">
        <v>25</v>
      </c>
      <c r="P262">
        <f t="shared" si="4"/>
        <v>29</v>
      </c>
    </row>
    <row r="263" spans="1:16" x14ac:dyDescent="0.2">
      <c r="A263" t="s">
        <v>1902</v>
      </c>
      <c r="B263" t="s">
        <v>16</v>
      </c>
      <c r="C263" t="s">
        <v>92</v>
      </c>
      <c r="D263" s="4">
        <v>20477</v>
      </c>
      <c r="E263" s="4">
        <v>45454</v>
      </c>
      <c r="F263" s="9">
        <v>45458</v>
      </c>
      <c r="G263" t="s">
        <v>29</v>
      </c>
      <c r="H263" t="s">
        <v>19</v>
      </c>
      <c r="I263" t="s">
        <v>2535</v>
      </c>
      <c r="J263" s="7">
        <v>4515084</v>
      </c>
      <c r="K263" t="s">
        <v>48</v>
      </c>
      <c r="L263" t="s">
        <v>23</v>
      </c>
      <c r="M263" t="s">
        <v>78</v>
      </c>
      <c r="N263" s="6">
        <v>4</v>
      </c>
      <c r="O263" t="s">
        <v>2531</v>
      </c>
      <c r="P263">
        <f t="shared" si="4"/>
        <v>68</v>
      </c>
    </row>
    <row r="264" spans="1:16" x14ac:dyDescent="0.2">
      <c r="A264" t="s">
        <v>1903</v>
      </c>
      <c r="B264" t="s">
        <v>59</v>
      </c>
      <c r="C264" t="s">
        <v>92</v>
      </c>
      <c r="D264" s="4">
        <v>36435</v>
      </c>
      <c r="E264" s="4">
        <v>45413</v>
      </c>
      <c r="F264" s="9">
        <v>45428</v>
      </c>
      <c r="G264" t="s">
        <v>46</v>
      </c>
      <c r="H264" t="s">
        <v>30</v>
      </c>
      <c r="I264" t="s">
        <v>2534</v>
      </c>
      <c r="J264" s="7">
        <v>1844508</v>
      </c>
      <c r="K264" t="s">
        <v>48</v>
      </c>
      <c r="L264" t="s">
        <v>23</v>
      </c>
      <c r="M264" t="s">
        <v>24</v>
      </c>
      <c r="N264" s="6">
        <v>15</v>
      </c>
      <c r="O264" t="s">
        <v>36</v>
      </c>
      <c r="P264">
        <f t="shared" si="4"/>
        <v>25</v>
      </c>
    </row>
    <row r="265" spans="1:16" x14ac:dyDescent="0.2">
      <c r="A265" t="s">
        <v>453</v>
      </c>
      <c r="B265" t="s">
        <v>91</v>
      </c>
      <c r="C265" t="s">
        <v>28</v>
      </c>
      <c r="D265" s="4">
        <v>26446</v>
      </c>
      <c r="E265" s="4">
        <v>45331</v>
      </c>
      <c r="F265" s="9" t="s">
        <v>2536</v>
      </c>
      <c r="G265" t="s">
        <v>74</v>
      </c>
      <c r="H265" t="s">
        <v>2528</v>
      </c>
      <c r="I265" t="s">
        <v>2534</v>
      </c>
      <c r="J265" s="7">
        <v>4179376</v>
      </c>
      <c r="K265" t="s">
        <v>43</v>
      </c>
      <c r="L265" t="s">
        <v>34</v>
      </c>
      <c r="M265" t="s">
        <v>78</v>
      </c>
      <c r="N265" s="6" t="s">
        <v>2525</v>
      </c>
      <c r="O265" t="s">
        <v>36</v>
      </c>
      <c r="P265">
        <f t="shared" si="4"/>
        <v>52</v>
      </c>
    </row>
    <row r="266" spans="1:16" x14ac:dyDescent="0.2">
      <c r="A266" t="s">
        <v>1904</v>
      </c>
      <c r="B266" t="s">
        <v>38</v>
      </c>
      <c r="C266" t="s">
        <v>28</v>
      </c>
      <c r="D266" s="4">
        <v>24256</v>
      </c>
      <c r="E266" s="4">
        <v>45393</v>
      </c>
      <c r="F266" s="9">
        <v>45396</v>
      </c>
      <c r="G266" t="s">
        <v>40</v>
      </c>
      <c r="H266" t="s">
        <v>75</v>
      </c>
      <c r="I266" t="s">
        <v>2533</v>
      </c>
      <c r="J266" s="7">
        <v>4069988</v>
      </c>
      <c r="K266" t="s">
        <v>43</v>
      </c>
      <c r="L266" t="s">
        <v>2527</v>
      </c>
      <c r="M266" t="s">
        <v>78</v>
      </c>
      <c r="N266" s="6">
        <v>3</v>
      </c>
      <c r="O266" t="s">
        <v>25</v>
      </c>
      <c r="P266">
        <f t="shared" si="4"/>
        <v>58</v>
      </c>
    </row>
    <row r="267" spans="1:16" x14ac:dyDescent="0.2">
      <c r="A267" t="s">
        <v>1905</v>
      </c>
      <c r="B267" t="s">
        <v>16</v>
      </c>
      <c r="C267" t="s">
        <v>28</v>
      </c>
      <c r="D267" s="4">
        <v>35244</v>
      </c>
      <c r="E267" s="4">
        <v>45372</v>
      </c>
      <c r="F267" s="9" t="s">
        <v>2536</v>
      </c>
      <c r="G267" t="s">
        <v>50</v>
      </c>
      <c r="H267" t="s">
        <v>2528</v>
      </c>
      <c r="I267" t="s">
        <v>2535</v>
      </c>
      <c r="J267" s="7">
        <v>1071000</v>
      </c>
      <c r="K267" t="s">
        <v>48</v>
      </c>
      <c r="L267" t="s">
        <v>2527</v>
      </c>
      <c r="M267" t="s">
        <v>35</v>
      </c>
      <c r="N267" s="6" t="s">
        <v>2525</v>
      </c>
      <c r="O267" t="s">
        <v>36</v>
      </c>
      <c r="P267">
        <f t="shared" si="4"/>
        <v>28</v>
      </c>
    </row>
    <row r="268" spans="1:16" x14ac:dyDescent="0.2">
      <c r="A268" t="s">
        <v>1906</v>
      </c>
      <c r="B268" t="s">
        <v>85</v>
      </c>
      <c r="C268" t="s">
        <v>92</v>
      </c>
      <c r="D268" s="4">
        <v>30254</v>
      </c>
      <c r="E268" s="4">
        <v>45419</v>
      </c>
      <c r="F268" s="9">
        <v>45431</v>
      </c>
      <c r="G268" t="s">
        <v>83</v>
      </c>
      <c r="H268" t="s">
        <v>66</v>
      </c>
      <c r="I268" t="s">
        <v>2533</v>
      </c>
      <c r="J268" s="7">
        <v>2534784</v>
      </c>
      <c r="K268" t="s">
        <v>48</v>
      </c>
      <c r="L268" t="s">
        <v>23</v>
      </c>
      <c r="M268" t="s">
        <v>24</v>
      </c>
      <c r="N268" s="6">
        <v>12</v>
      </c>
      <c r="O268" t="s">
        <v>25</v>
      </c>
      <c r="P268">
        <f t="shared" si="4"/>
        <v>42</v>
      </c>
    </row>
    <row r="269" spans="1:16" x14ac:dyDescent="0.2">
      <c r="A269" t="s">
        <v>1907</v>
      </c>
      <c r="B269" t="s">
        <v>38</v>
      </c>
      <c r="C269" t="s">
        <v>39</v>
      </c>
      <c r="D269" s="4">
        <v>25990</v>
      </c>
      <c r="E269" s="4">
        <v>45389</v>
      </c>
      <c r="F269" s="9" t="s">
        <v>2536</v>
      </c>
      <c r="G269" t="s">
        <v>46</v>
      </c>
      <c r="H269" t="s">
        <v>30</v>
      </c>
      <c r="I269" t="s">
        <v>41</v>
      </c>
      <c r="J269" s="7">
        <v>448868</v>
      </c>
      <c r="K269" t="s">
        <v>71</v>
      </c>
      <c r="L269" t="s">
        <v>2527</v>
      </c>
      <c r="M269" t="s">
        <v>35</v>
      </c>
      <c r="N269" s="6" t="s">
        <v>2525</v>
      </c>
      <c r="O269" t="s">
        <v>2531</v>
      </c>
      <c r="P269">
        <f t="shared" si="4"/>
        <v>53</v>
      </c>
    </row>
    <row r="270" spans="1:16" x14ac:dyDescent="0.2">
      <c r="A270" t="s">
        <v>1908</v>
      </c>
      <c r="B270" t="s">
        <v>27</v>
      </c>
      <c r="C270" t="s">
        <v>28</v>
      </c>
      <c r="D270" s="4">
        <v>28609</v>
      </c>
      <c r="E270" s="4">
        <v>45368</v>
      </c>
      <c r="F270" s="9">
        <v>45378</v>
      </c>
      <c r="G270" t="s">
        <v>29</v>
      </c>
      <c r="H270" t="s">
        <v>19</v>
      </c>
      <c r="I270" t="s">
        <v>2534</v>
      </c>
      <c r="J270" s="7">
        <v>1637048</v>
      </c>
      <c r="K270" t="s">
        <v>48</v>
      </c>
      <c r="L270" t="s">
        <v>2527</v>
      </c>
      <c r="M270" t="s">
        <v>78</v>
      </c>
      <c r="N270" s="6">
        <v>10</v>
      </c>
      <c r="O270" t="s">
        <v>36</v>
      </c>
      <c r="P270">
        <f t="shared" si="4"/>
        <v>46</v>
      </c>
    </row>
    <row r="271" spans="1:16" x14ac:dyDescent="0.2">
      <c r="A271" t="s">
        <v>1909</v>
      </c>
      <c r="B271" t="s">
        <v>59</v>
      </c>
      <c r="C271" t="s">
        <v>92</v>
      </c>
      <c r="D271" s="4">
        <v>30092</v>
      </c>
      <c r="E271" s="4">
        <v>45435</v>
      </c>
      <c r="F271" s="9">
        <v>45442</v>
      </c>
      <c r="G271" t="s">
        <v>83</v>
      </c>
      <c r="H271" t="s">
        <v>66</v>
      </c>
      <c r="I271" t="s">
        <v>2534</v>
      </c>
      <c r="J271" s="7">
        <v>5054480</v>
      </c>
      <c r="K271" t="s">
        <v>43</v>
      </c>
      <c r="L271" t="s">
        <v>23</v>
      </c>
      <c r="M271" t="s">
        <v>78</v>
      </c>
      <c r="N271" s="6">
        <v>7</v>
      </c>
      <c r="O271" t="s">
        <v>2531</v>
      </c>
      <c r="P271">
        <f t="shared" si="4"/>
        <v>42</v>
      </c>
    </row>
    <row r="272" spans="1:16" x14ac:dyDescent="0.2">
      <c r="A272" t="s">
        <v>1910</v>
      </c>
      <c r="B272" t="s">
        <v>114</v>
      </c>
      <c r="C272" t="s">
        <v>92</v>
      </c>
      <c r="D272" s="4">
        <v>30750</v>
      </c>
      <c r="E272" s="4">
        <v>45410</v>
      </c>
      <c r="F272" s="9">
        <v>45421</v>
      </c>
      <c r="G272" t="s">
        <v>29</v>
      </c>
      <c r="H272" t="s">
        <v>19</v>
      </c>
      <c r="I272" t="s">
        <v>2535</v>
      </c>
      <c r="J272" s="7">
        <v>4790440</v>
      </c>
      <c r="K272" t="s">
        <v>48</v>
      </c>
      <c r="L272" t="s">
        <v>34</v>
      </c>
      <c r="M272" t="s">
        <v>35</v>
      </c>
      <c r="N272" s="6">
        <v>11</v>
      </c>
      <c r="O272" t="s">
        <v>36</v>
      </c>
      <c r="P272">
        <f t="shared" si="4"/>
        <v>40</v>
      </c>
    </row>
    <row r="273" spans="1:16" x14ac:dyDescent="0.2">
      <c r="A273" t="s">
        <v>1911</v>
      </c>
      <c r="B273" t="s">
        <v>45</v>
      </c>
      <c r="C273" t="s">
        <v>28</v>
      </c>
      <c r="D273" s="4">
        <v>27028</v>
      </c>
      <c r="E273" s="4">
        <v>45361</v>
      </c>
      <c r="F273" s="9">
        <v>45367</v>
      </c>
      <c r="G273" t="s">
        <v>29</v>
      </c>
      <c r="H273" t="s">
        <v>19</v>
      </c>
      <c r="I273" t="s">
        <v>67</v>
      </c>
      <c r="J273" s="7">
        <v>554484</v>
      </c>
      <c r="K273" t="s">
        <v>48</v>
      </c>
      <c r="L273" t="s">
        <v>2527</v>
      </c>
      <c r="M273" t="s">
        <v>24</v>
      </c>
      <c r="N273" s="6">
        <v>6</v>
      </c>
      <c r="O273" t="s">
        <v>25</v>
      </c>
      <c r="P273">
        <f t="shared" si="4"/>
        <v>51</v>
      </c>
    </row>
    <row r="274" spans="1:16" x14ac:dyDescent="0.2">
      <c r="A274" t="s">
        <v>466</v>
      </c>
      <c r="B274" t="s">
        <v>118</v>
      </c>
      <c r="C274" t="s">
        <v>92</v>
      </c>
      <c r="D274" s="4">
        <v>21395</v>
      </c>
      <c r="E274" s="4">
        <v>45413</v>
      </c>
      <c r="F274" s="9" t="s">
        <v>2536</v>
      </c>
      <c r="G274" t="s">
        <v>29</v>
      </c>
      <c r="H274" t="s">
        <v>19</v>
      </c>
      <c r="I274" t="s">
        <v>41</v>
      </c>
      <c r="J274" s="7">
        <v>1018440</v>
      </c>
      <c r="K274" t="s">
        <v>48</v>
      </c>
      <c r="L274" t="s">
        <v>23</v>
      </c>
      <c r="M274" t="s">
        <v>35</v>
      </c>
      <c r="N274" s="6" t="s">
        <v>2525</v>
      </c>
      <c r="O274" t="s">
        <v>36</v>
      </c>
      <c r="P274">
        <f t="shared" si="4"/>
        <v>66</v>
      </c>
    </row>
    <row r="275" spans="1:16" x14ac:dyDescent="0.2">
      <c r="A275" t="s">
        <v>1912</v>
      </c>
      <c r="B275" t="s">
        <v>91</v>
      </c>
      <c r="C275" t="s">
        <v>28</v>
      </c>
      <c r="D275" s="4">
        <v>27575</v>
      </c>
      <c r="E275" s="4">
        <v>45452</v>
      </c>
      <c r="F275" s="9" t="s">
        <v>2536</v>
      </c>
      <c r="G275" t="s">
        <v>46</v>
      </c>
      <c r="H275" t="s">
        <v>30</v>
      </c>
      <c r="I275" t="s">
        <v>67</v>
      </c>
      <c r="J275" s="7">
        <v>5103000</v>
      </c>
      <c r="K275" t="s">
        <v>48</v>
      </c>
      <c r="L275" t="s">
        <v>2527</v>
      </c>
      <c r="M275" t="s">
        <v>78</v>
      </c>
      <c r="N275" s="6" t="s">
        <v>2525</v>
      </c>
      <c r="O275" t="s">
        <v>36</v>
      </c>
      <c r="P275">
        <f t="shared" si="4"/>
        <v>49</v>
      </c>
    </row>
    <row r="276" spans="1:16" x14ac:dyDescent="0.2">
      <c r="A276" t="s">
        <v>1913</v>
      </c>
      <c r="B276" t="s">
        <v>114</v>
      </c>
      <c r="C276" t="s">
        <v>28</v>
      </c>
      <c r="D276" s="4">
        <v>35935</v>
      </c>
      <c r="E276" s="4">
        <v>45443</v>
      </c>
      <c r="F276" s="9">
        <v>45454</v>
      </c>
      <c r="G276" t="s">
        <v>40</v>
      </c>
      <c r="H276" t="s">
        <v>75</v>
      </c>
      <c r="I276" t="s">
        <v>2534</v>
      </c>
      <c r="J276" s="7">
        <v>4175500</v>
      </c>
      <c r="K276" t="s">
        <v>48</v>
      </c>
      <c r="L276" t="s">
        <v>2527</v>
      </c>
      <c r="M276" t="s">
        <v>24</v>
      </c>
      <c r="N276" s="6">
        <v>11</v>
      </c>
      <c r="O276" t="s">
        <v>25</v>
      </c>
      <c r="P276">
        <f t="shared" si="4"/>
        <v>26</v>
      </c>
    </row>
    <row r="277" spans="1:16" x14ac:dyDescent="0.2">
      <c r="A277" t="s">
        <v>1914</v>
      </c>
      <c r="B277" t="s">
        <v>45</v>
      </c>
      <c r="C277" t="s">
        <v>92</v>
      </c>
      <c r="D277" s="4">
        <v>31771</v>
      </c>
      <c r="E277" s="4">
        <v>45331</v>
      </c>
      <c r="F277" s="9" t="s">
        <v>2536</v>
      </c>
      <c r="G277" t="s">
        <v>40</v>
      </c>
      <c r="H277" t="s">
        <v>75</v>
      </c>
      <c r="I277" t="s">
        <v>41</v>
      </c>
      <c r="J277" s="7">
        <v>1326500</v>
      </c>
      <c r="K277" t="s">
        <v>48</v>
      </c>
      <c r="L277" t="s">
        <v>2527</v>
      </c>
      <c r="M277" t="s">
        <v>24</v>
      </c>
      <c r="N277" s="6" t="s">
        <v>2525</v>
      </c>
      <c r="O277" t="s">
        <v>36</v>
      </c>
      <c r="P277">
        <f t="shared" si="4"/>
        <v>38</v>
      </c>
    </row>
    <row r="278" spans="1:16" x14ac:dyDescent="0.2">
      <c r="A278" t="s">
        <v>1915</v>
      </c>
      <c r="B278" t="s">
        <v>45</v>
      </c>
      <c r="C278" t="s">
        <v>92</v>
      </c>
      <c r="D278" s="4">
        <v>32368</v>
      </c>
      <c r="E278" s="4">
        <v>45444</v>
      </c>
      <c r="F278" s="9">
        <v>45453</v>
      </c>
      <c r="G278" t="s">
        <v>50</v>
      </c>
      <c r="H278" t="s">
        <v>2528</v>
      </c>
      <c r="I278" t="s">
        <v>2535</v>
      </c>
      <c r="J278" s="7">
        <v>3753140</v>
      </c>
      <c r="K278" t="s">
        <v>48</v>
      </c>
      <c r="L278" t="s">
        <v>23</v>
      </c>
      <c r="M278" t="s">
        <v>24</v>
      </c>
      <c r="N278" s="6">
        <v>9</v>
      </c>
      <c r="O278" t="s">
        <v>36</v>
      </c>
      <c r="P278">
        <f t="shared" si="4"/>
        <v>36</v>
      </c>
    </row>
    <row r="279" spans="1:16" x14ac:dyDescent="0.2">
      <c r="A279" t="s">
        <v>472</v>
      </c>
      <c r="B279" t="s">
        <v>38</v>
      </c>
      <c r="C279" t="s">
        <v>92</v>
      </c>
      <c r="D279" s="4">
        <v>32099</v>
      </c>
      <c r="E279" s="4">
        <v>45424</v>
      </c>
      <c r="F279" s="9">
        <v>45436</v>
      </c>
      <c r="G279" t="s">
        <v>29</v>
      </c>
      <c r="H279" t="s">
        <v>19</v>
      </c>
      <c r="I279" t="s">
        <v>41</v>
      </c>
      <c r="J279" s="7">
        <v>905280</v>
      </c>
      <c r="K279" t="s">
        <v>48</v>
      </c>
      <c r="L279" t="s">
        <v>2527</v>
      </c>
      <c r="M279" t="s">
        <v>35</v>
      </c>
      <c r="N279" s="6">
        <v>12</v>
      </c>
      <c r="O279" t="s">
        <v>36</v>
      </c>
      <c r="P279">
        <f t="shared" si="4"/>
        <v>37</v>
      </c>
    </row>
    <row r="280" spans="1:16" x14ac:dyDescent="0.2">
      <c r="A280" t="s">
        <v>1916</v>
      </c>
      <c r="B280" t="s">
        <v>85</v>
      </c>
      <c r="C280" t="s">
        <v>28</v>
      </c>
      <c r="D280" s="4">
        <v>24417</v>
      </c>
      <c r="E280" s="4">
        <v>45296</v>
      </c>
      <c r="F280" s="9" t="s">
        <v>2536</v>
      </c>
      <c r="G280" t="s">
        <v>40</v>
      </c>
      <c r="H280" t="s">
        <v>75</v>
      </c>
      <c r="I280" t="s">
        <v>67</v>
      </c>
      <c r="J280" s="7">
        <v>1081500</v>
      </c>
      <c r="K280" t="s">
        <v>48</v>
      </c>
      <c r="L280" t="s">
        <v>23</v>
      </c>
      <c r="M280" t="s">
        <v>24</v>
      </c>
      <c r="N280" s="6" t="s">
        <v>2525</v>
      </c>
      <c r="O280" t="s">
        <v>25</v>
      </c>
      <c r="P280">
        <f t="shared" si="4"/>
        <v>58</v>
      </c>
    </row>
    <row r="281" spans="1:16" x14ac:dyDescent="0.2">
      <c r="A281" t="s">
        <v>475</v>
      </c>
      <c r="B281" t="s">
        <v>87</v>
      </c>
      <c r="C281" t="s">
        <v>92</v>
      </c>
      <c r="D281" s="4">
        <v>34437</v>
      </c>
      <c r="E281" s="4">
        <v>45379</v>
      </c>
      <c r="F281" s="9">
        <v>45392</v>
      </c>
      <c r="G281" t="s">
        <v>83</v>
      </c>
      <c r="H281" t="s">
        <v>66</v>
      </c>
      <c r="I281" t="s">
        <v>2534</v>
      </c>
      <c r="J281" s="7">
        <v>574000</v>
      </c>
      <c r="K281" t="s">
        <v>48</v>
      </c>
      <c r="L281" t="s">
        <v>23</v>
      </c>
      <c r="M281" t="s">
        <v>35</v>
      </c>
      <c r="N281" s="6">
        <v>13</v>
      </c>
      <c r="O281" t="s">
        <v>36</v>
      </c>
      <c r="P281">
        <f t="shared" si="4"/>
        <v>30</v>
      </c>
    </row>
    <row r="282" spans="1:16" x14ac:dyDescent="0.2">
      <c r="A282" t="s">
        <v>477</v>
      </c>
      <c r="B282" t="s">
        <v>27</v>
      </c>
      <c r="C282" t="s">
        <v>28</v>
      </c>
      <c r="D282" s="4">
        <v>24214</v>
      </c>
      <c r="E282" s="4">
        <v>45356</v>
      </c>
      <c r="F282" s="9">
        <v>45358</v>
      </c>
      <c r="G282" t="s">
        <v>29</v>
      </c>
      <c r="H282" t="s">
        <v>19</v>
      </c>
      <c r="I282" t="s">
        <v>2533</v>
      </c>
      <c r="J282" s="7">
        <v>2285832</v>
      </c>
      <c r="K282" t="s">
        <v>48</v>
      </c>
      <c r="L282" t="s">
        <v>2527</v>
      </c>
      <c r="M282" t="s">
        <v>24</v>
      </c>
      <c r="N282" s="6">
        <v>2</v>
      </c>
      <c r="O282" t="s">
        <v>2531</v>
      </c>
      <c r="P282">
        <f t="shared" si="4"/>
        <v>58</v>
      </c>
    </row>
    <row r="283" spans="1:16" x14ac:dyDescent="0.2">
      <c r="A283" t="s">
        <v>479</v>
      </c>
      <c r="B283" t="s">
        <v>56</v>
      </c>
      <c r="C283" t="s">
        <v>28</v>
      </c>
      <c r="D283" s="4">
        <v>28491</v>
      </c>
      <c r="E283" s="4">
        <v>45332</v>
      </c>
      <c r="F283" s="9">
        <v>45341</v>
      </c>
      <c r="G283" t="s">
        <v>60</v>
      </c>
      <c r="H283" t="s">
        <v>66</v>
      </c>
      <c r="I283" t="s">
        <v>2534</v>
      </c>
      <c r="J283" s="7">
        <v>2681892</v>
      </c>
      <c r="K283" t="s">
        <v>48</v>
      </c>
      <c r="L283" t="s">
        <v>34</v>
      </c>
      <c r="M283" t="s">
        <v>24</v>
      </c>
      <c r="N283" s="6">
        <v>9</v>
      </c>
      <c r="O283" t="s">
        <v>25</v>
      </c>
      <c r="P283">
        <f t="shared" si="4"/>
        <v>46</v>
      </c>
    </row>
    <row r="284" spans="1:16" x14ac:dyDescent="0.2">
      <c r="A284" t="s">
        <v>481</v>
      </c>
      <c r="B284" t="s">
        <v>82</v>
      </c>
      <c r="C284" t="s">
        <v>92</v>
      </c>
      <c r="D284" s="4">
        <v>18757</v>
      </c>
      <c r="E284" s="4">
        <v>45362</v>
      </c>
      <c r="F284" s="9">
        <v>45366</v>
      </c>
      <c r="G284" t="s">
        <v>88</v>
      </c>
      <c r="H284" t="s">
        <v>66</v>
      </c>
      <c r="I284" t="s">
        <v>41</v>
      </c>
      <c r="J284" s="7">
        <v>4047356</v>
      </c>
      <c r="K284" t="s">
        <v>48</v>
      </c>
      <c r="L284" t="s">
        <v>34</v>
      </c>
      <c r="M284" t="s">
        <v>35</v>
      </c>
      <c r="N284" s="6">
        <v>4</v>
      </c>
      <c r="O284" t="s">
        <v>25</v>
      </c>
      <c r="P284">
        <f t="shared" si="4"/>
        <v>73</v>
      </c>
    </row>
    <row r="285" spans="1:16" x14ac:dyDescent="0.2">
      <c r="A285" t="s">
        <v>1917</v>
      </c>
      <c r="B285" t="s">
        <v>85</v>
      </c>
      <c r="C285" t="s">
        <v>92</v>
      </c>
      <c r="D285" s="4">
        <v>38748</v>
      </c>
      <c r="E285" s="4">
        <v>45307</v>
      </c>
      <c r="F285" s="9">
        <v>45319</v>
      </c>
      <c r="G285" t="s">
        <v>46</v>
      </c>
      <c r="H285" t="s">
        <v>30</v>
      </c>
      <c r="I285" t="s">
        <v>67</v>
      </c>
      <c r="J285" s="7">
        <v>2618000</v>
      </c>
      <c r="K285" t="s">
        <v>71</v>
      </c>
      <c r="L285" t="s">
        <v>23</v>
      </c>
      <c r="M285" t="s">
        <v>35</v>
      </c>
      <c r="N285" s="6">
        <v>12</v>
      </c>
      <c r="O285" t="s">
        <v>2531</v>
      </c>
      <c r="P285">
        <f t="shared" si="4"/>
        <v>18</v>
      </c>
    </row>
    <row r="286" spans="1:16" x14ac:dyDescent="0.2">
      <c r="A286" t="s">
        <v>485</v>
      </c>
      <c r="B286" t="s">
        <v>38</v>
      </c>
      <c r="C286" t="s">
        <v>92</v>
      </c>
      <c r="D286" s="4">
        <v>34166</v>
      </c>
      <c r="E286" s="4">
        <v>45435</v>
      </c>
      <c r="F286" s="9">
        <v>45443</v>
      </c>
      <c r="G286" t="s">
        <v>18</v>
      </c>
      <c r="H286" t="s">
        <v>2529</v>
      </c>
      <c r="I286" t="s">
        <v>2535</v>
      </c>
      <c r="J286" s="7">
        <v>2842000</v>
      </c>
      <c r="K286" t="s">
        <v>71</v>
      </c>
      <c r="L286" t="s">
        <v>2527</v>
      </c>
      <c r="M286" t="s">
        <v>24</v>
      </c>
      <c r="N286" s="6">
        <v>8</v>
      </c>
      <c r="O286" t="s">
        <v>25</v>
      </c>
      <c r="P286">
        <f t="shared" si="4"/>
        <v>31</v>
      </c>
    </row>
    <row r="287" spans="1:16" x14ac:dyDescent="0.2">
      <c r="A287" t="s">
        <v>487</v>
      </c>
      <c r="B287" t="s">
        <v>105</v>
      </c>
      <c r="C287" t="s">
        <v>28</v>
      </c>
      <c r="D287" s="4">
        <v>32989</v>
      </c>
      <c r="E287" s="4">
        <v>45359</v>
      </c>
      <c r="F287" s="9">
        <v>45372</v>
      </c>
      <c r="G287" t="s">
        <v>46</v>
      </c>
      <c r="H287" t="s">
        <v>30</v>
      </c>
      <c r="I287" t="s">
        <v>2535</v>
      </c>
      <c r="J287" s="7">
        <v>3187340</v>
      </c>
      <c r="K287" t="s">
        <v>48</v>
      </c>
      <c r="L287" t="s">
        <v>34</v>
      </c>
      <c r="M287" t="s">
        <v>24</v>
      </c>
      <c r="N287" s="6">
        <v>13</v>
      </c>
      <c r="O287" t="s">
        <v>36</v>
      </c>
      <c r="P287">
        <f t="shared" si="4"/>
        <v>34</v>
      </c>
    </row>
    <row r="288" spans="1:16" x14ac:dyDescent="0.2">
      <c r="A288" t="s">
        <v>489</v>
      </c>
      <c r="B288" t="s">
        <v>105</v>
      </c>
      <c r="C288" t="s">
        <v>28</v>
      </c>
      <c r="D288" s="4">
        <v>34567</v>
      </c>
      <c r="E288" s="4">
        <v>45448</v>
      </c>
      <c r="F288" s="9">
        <v>45459</v>
      </c>
      <c r="G288" t="s">
        <v>74</v>
      </c>
      <c r="H288" t="s">
        <v>2528</v>
      </c>
      <c r="I288" t="s">
        <v>2535</v>
      </c>
      <c r="J288" s="7">
        <v>5465628</v>
      </c>
      <c r="K288" t="s">
        <v>48</v>
      </c>
      <c r="L288" t="s">
        <v>23</v>
      </c>
      <c r="M288" t="s">
        <v>35</v>
      </c>
      <c r="N288" s="6">
        <v>11</v>
      </c>
      <c r="O288" t="s">
        <v>25</v>
      </c>
      <c r="P288">
        <f t="shared" si="4"/>
        <v>30</v>
      </c>
    </row>
    <row r="289" spans="1:16" x14ac:dyDescent="0.2">
      <c r="A289" t="s">
        <v>1918</v>
      </c>
      <c r="B289" t="s">
        <v>51</v>
      </c>
      <c r="C289" t="s">
        <v>92</v>
      </c>
      <c r="D289" s="4">
        <v>19306</v>
      </c>
      <c r="E289" s="4">
        <v>45460</v>
      </c>
      <c r="F289" s="9">
        <v>45472</v>
      </c>
      <c r="G289" t="s">
        <v>88</v>
      </c>
      <c r="H289" t="s">
        <v>66</v>
      </c>
      <c r="I289" t="s">
        <v>67</v>
      </c>
      <c r="J289" s="7">
        <v>5054480</v>
      </c>
      <c r="K289" t="s">
        <v>48</v>
      </c>
      <c r="L289" t="s">
        <v>23</v>
      </c>
      <c r="M289" t="s">
        <v>24</v>
      </c>
      <c r="N289" s="6">
        <v>12</v>
      </c>
      <c r="O289" t="s">
        <v>25</v>
      </c>
      <c r="P289">
        <f t="shared" si="4"/>
        <v>72</v>
      </c>
    </row>
    <row r="290" spans="1:16" x14ac:dyDescent="0.2">
      <c r="A290" t="s">
        <v>1919</v>
      </c>
      <c r="B290" t="s">
        <v>80</v>
      </c>
      <c r="C290" t="s">
        <v>92</v>
      </c>
      <c r="D290" s="4">
        <v>36549</v>
      </c>
      <c r="E290" s="4">
        <v>45386</v>
      </c>
      <c r="F290" s="9">
        <v>45391</v>
      </c>
      <c r="G290" t="s">
        <v>74</v>
      </c>
      <c r="H290" t="s">
        <v>2528</v>
      </c>
      <c r="I290" t="s">
        <v>2533</v>
      </c>
      <c r="J290" s="7">
        <v>976948</v>
      </c>
      <c r="K290" t="s">
        <v>43</v>
      </c>
      <c r="L290" t="s">
        <v>34</v>
      </c>
      <c r="M290" t="s">
        <v>35</v>
      </c>
      <c r="N290" s="6">
        <v>5</v>
      </c>
      <c r="O290" t="s">
        <v>36</v>
      </c>
      <c r="P290">
        <f t="shared" si="4"/>
        <v>24</v>
      </c>
    </row>
    <row r="291" spans="1:16" x14ac:dyDescent="0.2">
      <c r="A291" t="s">
        <v>492</v>
      </c>
      <c r="B291" t="s">
        <v>51</v>
      </c>
      <c r="C291" t="s">
        <v>92</v>
      </c>
      <c r="D291" s="4">
        <v>39788</v>
      </c>
      <c r="E291" s="4">
        <v>45437</v>
      </c>
      <c r="F291" s="9">
        <v>45446</v>
      </c>
      <c r="G291" t="s">
        <v>74</v>
      </c>
      <c r="H291" t="s">
        <v>2528</v>
      </c>
      <c r="I291" t="s">
        <v>2534</v>
      </c>
      <c r="J291" s="7">
        <v>4480000</v>
      </c>
      <c r="K291" t="s">
        <v>71</v>
      </c>
      <c r="L291" t="s">
        <v>2527</v>
      </c>
      <c r="M291" t="s">
        <v>35</v>
      </c>
      <c r="N291" s="6">
        <v>9</v>
      </c>
      <c r="O291" t="s">
        <v>25</v>
      </c>
      <c r="P291">
        <f t="shared" si="4"/>
        <v>16</v>
      </c>
    </row>
    <row r="292" spans="1:16" x14ac:dyDescent="0.2">
      <c r="A292" t="s">
        <v>1920</v>
      </c>
      <c r="B292" t="s">
        <v>118</v>
      </c>
      <c r="C292" t="s">
        <v>92</v>
      </c>
      <c r="D292" s="4">
        <v>29323</v>
      </c>
      <c r="E292" s="4">
        <v>45428</v>
      </c>
      <c r="F292" s="9">
        <v>45443</v>
      </c>
      <c r="G292" t="s">
        <v>40</v>
      </c>
      <c r="H292" t="s">
        <v>75</v>
      </c>
      <c r="I292" t="s">
        <v>41</v>
      </c>
      <c r="J292" s="7">
        <v>3247692</v>
      </c>
      <c r="K292" t="s">
        <v>71</v>
      </c>
      <c r="L292" t="s">
        <v>2527</v>
      </c>
      <c r="M292" t="s">
        <v>24</v>
      </c>
      <c r="N292" s="6">
        <v>15</v>
      </c>
      <c r="O292" t="s">
        <v>2531</v>
      </c>
      <c r="P292">
        <f t="shared" si="4"/>
        <v>44</v>
      </c>
    </row>
    <row r="293" spans="1:16" x14ac:dyDescent="0.2">
      <c r="A293" t="s">
        <v>495</v>
      </c>
      <c r="B293" t="s">
        <v>118</v>
      </c>
      <c r="C293" t="s">
        <v>39</v>
      </c>
      <c r="D293" s="4">
        <v>36294</v>
      </c>
      <c r="E293" s="4">
        <v>45384</v>
      </c>
      <c r="F293" s="9">
        <v>45391</v>
      </c>
      <c r="G293" t="s">
        <v>88</v>
      </c>
      <c r="H293" t="s">
        <v>66</v>
      </c>
      <c r="I293" t="s">
        <v>2535</v>
      </c>
      <c r="J293" s="7">
        <v>501676</v>
      </c>
      <c r="K293" t="s">
        <v>48</v>
      </c>
      <c r="L293" t="s">
        <v>34</v>
      </c>
      <c r="M293" t="s">
        <v>78</v>
      </c>
      <c r="N293" s="6">
        <v>7</v>
      </c>
      <c r="O293" t="s">
        <v>36</v>
      </c>
      <c r="P293">
        <f t="shared" si="4"/>
        <v>25</v>
      </c>
    </row>
    <row r="294" spans="1:16" x14ac:dyDescent="0.2">
      <c r="A294" t="s">
        <v>497</v>
      </c>
      <c r="B294" t="s">
        <v>38</v>
      </c>
      <c r="C294" t="s">
        <v>92</v>
      </c>
      <c r="D294" s="4">
        <v>35017</v>
      </c>
      <c r="E294" s="4">
        <v>45316</v>
      </c>
      <c r="F294" s="9">
        <v>45319</v>
      </c>
      <c r="G294" t="s">
        <v>60</v>
      </c>
      <c r="H294" t="s">
        <v>66</v>
      </c>
      <c r="I294" t="s">
        <v>2535</v>
      </c>
      <c r="J294" s="7">
        <v>2304692</v>
      </c>
      <c r="K294" t="s">
        <v>48</v>
      </c>
      <c r="L294" t="s">
        <v>2527</v>
      </c>
      <c r="M294" t="s">
        <v>35</v>
      </c>
      <c r="N294" s="6">
        <v>3</v>
      </c>
      <c r="O294" t="s">
        <v>25</v>
      </c>
      <c r="P294">
        <f t="shared" si="4"/>
        <v>29</v>
      </c>
    </row>
    <row r="295" spans="1:16" x14ac:dyDescent="0.2">
      <c r="A295" t="s">
        <v>1921</v>
      </c>
      <c r="B295" t="s">
        <v>150</v>
      </c>
      <c r="C295" t="s">
        <v>28</v>
      </c>
      <c r="D295" s="4">
        <v>28903</v>
      </c>
      <c r="E295" s="4">
        <v>45336</v>
      </c>
      <c r="F295" s="9">
        <v>45348</v>
      </c>
      <c r="G295" t="s">
        <v>18</v>
      </c>
      <c r="H295" t="s">
        <v>2529</v>
      </c>
      <c r="I295" t="s">
        <v>2533</v>
      </c>
      <c r="J295" s="7">
        <v>663872</v>
      </c>
      <c r="K295" t="s">
        <v>48</v>
      </c>
      <c r="L295" t="s">
        <v>34</v>
      </c>
      <c r="M295" t="s">
        <v>78</v>
      </c>
      <c r="N295" s="6">
        <v>12</v>
      </c>
      <c r="O295" t="s">
        <v>36</v>
      </c>
      <c r="P295">
        <f t="shared" si="4"/>
        <v>45</v>
      </c>
    </row>
    <row r="296" spans="1:16" x14ac:dyDescent="0.2">
      <c r="A296" t="s">
        <v>1922</v>
      </c>
      <c r="B296" t="s">
        <v>16</v>
      </c>
      <c r="C296" t="s">
        <v>39</v>
      </c>
      <c r="D296" s="4">
        <v>25693</v>
      </c>
      <c r="E296" s="4">
        <v>45454</v>
      </c>
      <c r="F296" s="9" t="s">
        <v>2536</v>
      </c>
      <c r="G296" t="s">
        <v>40</v>
      </c>
      <c r="H296" t="s">
        <v>75</v>
      </c>
      <c r="I296" t="s">
        <v>2533</v>
      </c>
      <c r="J296" s="7">
        <v>4545260</v>
      </c>
      <c r="K296" t="s">
        <v>48</v>
      </c>
      <c r="L296" t="s">
        <v>23</v>
      </c>
      <c r="M296" t="s">
        <v>35</v>
      </c>
      <c r="N296" s="6" t="s">
        <v>2525</v>
      </c>
      <c r="O296" t="s">
        <v>2531</v>
      </c>
      <c r="P296">
        <f t="shared" si="4"/>
        <v>54</v>
      </c>
    </row>
    <row r="297" spans="1:16" x14ac:dyDescent="0.2">
      <c r="A297" t="s">
        <v>1923</v>
      </c>
      <c r="B297" t="s">
        <v>114</v>
      </c>
      <c r="C297" t="s">
        <v>39</v>
      </c>
      <c r="D297" s="4">
        <v>37765</v>
      </c>
      <c r="E297" s="4">
        <v>45348</v>
      </c>
      <c r="F297" s="9">
        <v>45355</v>
      </c>
      <c r="G297" t="s">
        <v>46</v>
      </c>
      <c r="H297" t="s">
        <v>30</v>
      </c>
      <c r="I297" t="s">
        <v>67</v>
      </c>
      <c r="J297" s="7">
        <v>4051128</v>
      </c>
      <c r="K297" t="s">
        <v>43</v>
      </c>
      <c r="L297" t="s">
        <v>2527</v>
      </c>
      <c r="M297" t="s">
        <v>78</v>
      </c>
      <c r="N297" s="6">
        <v>7</v>
      </c>
      <c r="O297" t="s">
        <v>2531</v>
      </c>
      <c r="P297">
        <f t="shared" si="4"/>
        <v>21</v>
      </c>
    </row>
    <row r="298" spans="1:16" x14ac:dyDescent="0.2">
      <c r="A298" t="s">
        <v>1924</v>
      </c>
      <c r="B298" t="s">
        <v>87</v>
      </c>
      <c r="C298" t="s">
        <v>39</v>
      </c>
      <c r="D298" s="4">
        <v>22683</v>
      </c>
      <c r="E298" s="4">
        <v>45435</v>
      </c>
      <c r="F298" s="9">
        <v>45446</v>
      </c>
      <c r="G298" t="s">
        <v>40</v>
      </c>
      <c r="H298" t="s">
        <v>75</v>
      </c>
      <c r="I298" t="s">
        <v>2534</v>
      </c>
      <c r="J298" s="7">
        <v>4424556</v>
      </c>
      <c r="K298" t="s">
        <v>48</v>
      </c>
      <c r="L298" t="s">
        <v>34</v>
      </c>
      <c r="M298" t="s">
        <v>78</v>
      </c>
      <c r="N298" s="6">
        <v>11</v>
      </c>
      <c r="O298" t="s">
        <v>2531</v>
      </c>
      <c r="P298">
        <f t="shared" si="4"/>
        <v>62</v>
      </c>
    </row>
    <row r="299" spans="1:16" x14ac:dyDescent="0.2">
      <c r="A299" t="s">
        <v>1925</v>
      </c>
      <c r="B299" t="s">
        <v>150</v>
      </c>
      <c r="C299" t="s">
        <v>92</v>
      </c>
      <c r="D299" s="4">
        <v>31816</v>
      </c>
      <c r="E299" s="4">
        <v>45385</v>
      </c>
      <c r="F299" s="9">
        <v>45391</v>
      </c>
      <c r="G299" t="s">
        <v>60</v>
      </c>
      <c r="H299" t="s">
        <v>66</v>
      </c>
      <c r="I299" t="s">
        <v>2533</v>
      </c>
      <c r="J299" s="7">
        <v>5137464</v>
      </c>
      <c r="K299" t="s">
        <v>43</v>
      </c>
      <c r="L299" t="s">
        <v>23</v>
      </c>
      <c r="M299" t="s">
        <v>78</v>
      </c>
      <c r="N299" s="6">
        <v>6</v>
      </c>
      <c r="O299" t="s">
        <v>25</v>
      </c>
      <c r="P299">
        <f t="shared" si="4"/>
        <v>37</v>
      </c>
    </row>
    <row r="300" spans="1:16" x14ac:dyDescent="0.2">
      <c r="A300" t="s">
        <v>504</v>
      </c>
      <c r="B300" t="s">
        <v>102</v>
      </c>
      <c r="C300" t="s">
        <v>28</v>
      </c>
      <c r="D300" s="4">
        <v>21075</v>
      </c>
      <c r="E300" s="4">
        <v>45305</v>
      </c>
      <c r="F300" s="9">
        <v>45320</v>
      </c>
      <c r="G300" t="s">
        <v>60</v>
      </c>
      <c r="H300" t="s">
        <v>66</v>
      </c>
      <c r="I300" t="s">
        <v>2533</v>
      </c>
      <c r="J300" s="7">
        <v>1144500</v>
      </c>
      <c r="K300" t="s">
        <v>71</v>
      </c>
      <c r="L300" t="s">
        <v>2527</v>
      </c>
      <c r="M300" t="s">
        <v>35</v>
      </c>
      <c r="N300" s="6">
        <v>15</v>
      </c>
      <c r="O300" t="s">
        <v>2531</v>
      </c>
      <c r="P300">
        <f t="shared" si="4"/>
        <v>67</v>
      </c>
    </row>
    <row r="301" spans="1:16" x14ac:dyDescent="0.2">
      <c r="A301" t="s">
        <v>506</v>
      </c>
      <c r="B301" t="s">
        <v>51</v>
      </c>
      <c r="C301" t="s">
        <v>92</v>
      </c>
      <c r="D301" s="4">
        <v>35410</v>
      </c>
      <c r="E301" s="4">
        <v>45432</v>
      </c>
      <c r="F301" s="9">
        <v>45435</v>
      </c>
      <c r="G301" t="s">
        <v>29</v>
      </c>
      <c r="H301" t="s">
        <v>19</v>
      </c>
      <c r="I301" t="s">
        <v>2534</v>
      </c>
      <c r="J301" s="7">
        <v>4443416</v>
      </c>
      <c r="K301" t="s">
        <v>48</v>
      </c>
      <c r="L301" t="s">
        <v>23</v>
      </c>
      <c r="M301" t="s">
        <v>35</v>
      </c>
      <c r="N301" s="6">
        <v>3</v>
      </c>
      <c r="O301" t="s">
        <v>2531</v>
      </c>
      <c r="P301">
        <f t="shared" si="4"/>
        <v>28</v>
      </c>
    </row>
    <row r="302" spans="1:16" x14ac:dyDescent="0.2">
      <c r="A302" t="s">
        <v>1926</v>
      </c>
      <c r="B302" t="s">
        <v>38</v>
      </c>
      <c r="C302" t="s">
        <v>92</v>
      </c>
      <c r="D302" s="4">
        <v>33499</v>
      </c>
      <c r="E302" s="4">
        <v>45309</v>
      </c>
      <c r="F302" s="9">
        <v>45320</v>
      </c>
      <c r="G302" t="s">
        <v>74</v>
      </c>
      <c r="H302" t="s">
        <v>2528</v>
      </c>
      <c r="I302" t="s">
        <v>2533</v>
      </c>
      <c r="J302" s="7">
        <v>5390188</v>
      </c>
      <c r="K302" t="s">
        <v>48</v>
      </c>
      <c r="L302" t="s">
        <v>2527</v>
      </c>
      <c r="M302" t="s">
        <v>24</v>
      </c>
      <c r="N302" s="6">
        <v>11</v>
      </c>
      <c r="O302" t="s">
        <v>36</v>
      </c>
      <c r="P302">
        <f t="shared" si="4"/>
        <v>33</v>
      </c>
    </row>
    <row r="303" spans="1:16" x14ac:dyDescent="0.2">
      <c r="A303" t="s">
        <v>1927</v>
      </c>
      <c r="B303" t="s">
        <v>85</v>
      </c>
      <c r="C303" t="s">
        <v>92</v>
      </c>
      <c r="D303" s="4">
        <v>21148</v>
      </c>
      <c r="E303" s="4">
        <v>45342</v>
      </c>
      <c r="F303" s="9">
        <v>45354</v>
      </c>
      <c r="G303" t="s">
        <v>88</v>
      </c>
      <c r="H303" t="s">
        <v>66</v>
      </c>
      <c r="I303" t="s">
        <v>2535</v>
      </c>
      <c r="J303" s="7">
        <v>2534000</v>
      </c>
      <c r="K303" t="s">
        <v>71</v>
      </c>
      <c r="L303" t="s">
        <v>2527</v>
      </c>
      <c r="M303" t="s">
        <v>24</v>
      </c>
      <c r="N303" s="6">
        <v>12</v>
      </c>
      <c r="O303" t="s">
        <v>36</v>
      </c>
      <c r="P303">
        <f t="shared" si="4"/>
        <v>67</v>
      </c>
    </row>
    <row r="304" spans="1:16" x14ac:dyDescent="0.2">
      <c r="A304" t="s">
        <v>1928</v>
      </c>
      <c r="B304" t="s">
        <v>102</v>
      </c>
      <c r="C304" t="s">
        <v>92</v>
      </c>
      <c r="D304" s="4">
        <v>38751</v>
      </c>
      <c r="E304" s="4">
        <v>45352</v>
      </c>
      <c r="F304" s="9">
        <v>45363</v>
      </c>
      <c r="G304" t="s">
        <v>29</v>
      </c>
      <c r="H304" t="s">
        <v>19</v>
      </c>
      <c r="I304" t="s">
        <v>67</v>
      </c>
      <c r="J304" s="7">
        <v>4326000</v>
      </c>
      <c r="K304" t="s">
        <v>48</v>
      </c>
      <c r="L304" t="s">
        <v>23</v>
      </c>
      <c r="M304" t="s">
        <v>78</v>
      </c>
      <c r="N304" s="6">
        <v>11</v>
      </c>
      <c r="O304" t="s">
        <v>25</v>
      </c>
      <c r="P304">
        <f t="shared" si="4"/>
        <v>18</v>
      </c>
    </row>
    <row r="305" spans="1:16" x14ac:dyDescent="0.2">
      <c r="A305" t="s">
        <v>512</v>
      </c>
      <c r="B305" t="s">
        <v>118</v>
      </c>
      <c r="C305" t="s">
        <v>92</v>
      </c>
      <c r="D305" s="4">
        <v>38332</v>
      </c>
      <c r="E305" s="4">
        <v>45398</v>
      </c>
      <c r="F305" s="9">
        <v>45405</v>
      </c>
      <c r="G305" t="s">
        <v>18</v>
      </c>
      <c r="H305" t="s">
        <v>2529</v>
      </c>
      <c r="I305" t="s">
        <v>2533</v>
      </c>
      <c r="J305" s="7">
        <v>4564120</v>
      </c>
      <c r="K305" t="s">
        <v>48</v>
      </c>
      <c r="L305" t="s">
        <v>23</v>
      </c>
      <c r="M305" t="s">
        <v>24</v>
      </c>
      <c r="N305" s="6">
        <v>7</v>
      </c>
      <c r="O305" t="s">
        <v>25</v>
      </c>
      <c r="P305">
        <f t="shared" si="4"/>
        <v>20</v>
      </c>
    </row>
    <row r="306" spans="1:16" x14ac:dyDescent="0.2">
      <c r="A306" t="s">
        <v>514</v>
      </c>
      <c r="B306" t="s">
        <v>45</v>
      </c>
      <c r="C306" t="s">
        <v>28</v>
      </c>
      <c r="D306" s="4">
        <v>35428</v>
      </c>
      <c r="E306" s="4">
        <v>45402</v>
      </c>
      <c r="F306" s="9">
        <v>45412</v>
      </c>
      <c r="G306" t="s">
        <v>83</v>
      </c>
      <c r="H306" t="s">
        <v>66</v>
      </c>
      <c r="I306" t="s">
        <v>2535</v>
      </c>
      <c r="J306" s="7">
        <v>4492452</v>
      </c>
      <c r="K306" t="s">
        <v>48</v>
      </c>
      <c r="L306" t="s">
        <v>2527</v>
      </c>
      <c r="M306" t="s">
        <v>35</v>
      </c>
      <c r="N306" s="6">
        <v>10</v>
      </c>
      <c r="O306" t="s">
        <v>36</v>
      </c>
      <c r="P306">
        <f t="shared" si="4"/>
        <v>28</v>
      </c>
    </row>
    <row r="307" spans="1:16" x14ac:dyDescent="0.2">
      <c r="A307" t="s">
        <v>1929</v>
      </c>
      <c r="B307" t="s">
        <v>82</v>
      </c>
      <c r="C307" t="s">
        <v>92</v>
      </c>
      <c r="D307" s="4">
        <v>32780</v>
      </c>
      <c r="E307" s="4">
        <v>45330</v>
      </c>
      <c r="F307" s="9" t="s">
        <v>2536</v>
      </c>
      <c r="G307" t="s">
        <v>46</v>
      </c>
      <c r="H307" t="s">
        <v>30</v>
      </c>
      <c r="I307" t="s">
        <v>41</v>
      </c>
      <c r="J307" s="7">
        <v>4735500</v>
      </c>
      <c r="K307" t="s">
        <v>43</v>
      </c>
      <c r="L307" t="s">
        <v>23</v>
      </c>
      <c r="M307" t="s">
        <v>24</v>
      </c>
      <c r="N307" s="6" t="s">
        <v>2525</v>
      </c>
      <c r="O307" t="s">
        <v>2531</v>
      </c>
      <c r="P307">
        <f t="shared" si="4"/>
        <v>35</v>
      </c>
    </row>
    <row r="308" spans="1:16" x14ac:dyDescent="0.2">
      <c r="A308" t="s">
        <v>517</v>
      </c>
      <c r="B308" t="s">
        <v>102</v>
      </c>
      <c r="C308" t="s">
        <v>92</v>
      </c>
      <c r="D308" s="4">
        <v>33881</v>
      </c>
      <c r="E308" s="4">
        <v>45420</v>
      </c>
      <c r="F308" s="9">
        <v>45426</v>
      </c>
      <c r="G308" t="s">
        <v>29</v>
      </c>
      <c r="H308" t="s">
        <v>19</v>
      </c>
      <c r="I308" t="s">
        <v>2533</v>
      </c>
      <c r="J308" s="7">
        <v>1437132</v>
      </c>
      <c r="K308" t="s">
        <v>48</v>
      </c>
      <c r="L308" t="s">
        <v>23</v>
      </c>
      <c r="M308" t="s">
        <v>35</v>
      </c>
      <c r="N308" s="6">
        <v>6</v>
      </c>
      <c r="O308" t="s">
        <v>36</v>
      </c>
      <c r="P308">
        <f t="shared" si="4"/>
        <v>32</v>
      </c>
    </row>
    <row r="309" spans="1:16" x14ac:dyDescent="0.2">
      <c r="A309" t="s">
        <v>1930</v>
      </c>
      <c r="B309" t="s">
        <v>91</v>
      </c>
      <c r="C309" t="s">
        <v>28</v>
      </c>
      <c r="D309" s="4">
        <v>24910</v>
      </c>
      <c r="E309" s="4">
        <v>45308</v>
      </c>
      <c r="F309" s="9">
        <v>45316</v>
      </c>
      <c r="G309" t="s">
        <v>83</v>
      </c>
      <c r="H309" t="s">
        <v>66</v>
      </c>
      <c r="I309" t="s">
        <v>2533</v>
      </c>
      <c r="J309" s="7">
        <v>2282060</v>
      </c>
      <c r="K309" t="s">
        <v>71</v>
      </c>
      <c r="L309" t="s">
        <v>34</v>
      </c>
      <c r="M309" t="s">
        <v>24</v>
      </c>
      <c r="N309" s="6">
        <v>8</v>
      </c>
      <c r="O309" t="s">
        <v>2531</v>
      </c>
      <c r="P309">
        <f t="shared" si="4"/>
        <v>56</v>
      </c>
    </row>
    <row r="310" spans="1:16" x14ac:dyDescent="0.2">
      <c r="A310" t="s">
        <v>1931</v>
      </c>
      <c r="B310" t="s">
        <v>118</v>
      </c>
      <c r="C310" t="s">
        <v>92</v>
      </c>
      <c r="D310" s="4">
        <v>37005</v>
      </c>
      <c r="E310" s="4">
        <v>45425</v>
      </c>
      <c r="F310" s="9">
        <v>45439</v>
      </c>
      <c r="G310" t="s">
        <v>50</v>
      </c>
      <c r="H310" t="s">
        <v>2528</v>
      </c>
      <c r="I310" t="s">
        <v>2535</v>
      </c>
      <c r="J310" s="7">
        <v>3432520</v>
      </c>
      <c r="K310" t="s">
        <v>43</v>
      </c>
      <c r="L310" t="s">
        <v>2527</v>
      </c>
      <c r="M310" t="s">
        <v>24</v>
      </c>
      <c r="N310" s="6">
        <v>14</v>
      </c>
      <c r="O310" t="s">
        <v>25</v>
      </c>
      <c r="P310">
        <f t="shared" si="4"/>
        <v>23</v>
      </c>
    </row>
    <row r="311" spans="1:16" x14ac:dyDescent="0.2">
      <c r="A311" t="s">
        <v>1932</v>
      </c>
      <c r="B311" t="s">
        <v>114</v>
      </c>
      <c r="C311" t="s">
        <v>28</v>
      </c>
      <c r="D311" s="4">
        <v>28243</v>
      </c>
      <c r="E311" s="4">
        <v>45410</v>
      </c>
      <c r="F311" s="9">
        <v>45420</v>
      </c>
      <c r="G311" t="s">
        <v>40</v>
      </c>
      <c r="H311" t="s">
        <v>75</v>
      </c>
      <c r="I311" t="s">
        <v>2533</v>
      </c>
      <c r="J311" s="7">
        <v>5367556</v>
      </c>
      <c r="K311" t="s">
        <v>48</v>
      </c>
      <c r="L311" t="s">
        <v>34</v>
      </c>
      <c r="M311" t="s">
        <v>35</v>
      </c>
      <c r="N311" s="6">
        <v>10</v>
      </c>
      <c r="O311" t="s">
        <v>2531</v>
      </c>
      <c r="P311">
        <f t="shared" si="4"/>
        <v>47</v>
      </c>
    </row>
    <row r="312" spans="1:16" x14ac:dyDescent="0.2">
      <c r="A312" t="s">
        <v>1933</v>
      </c>
      <c r="B312" t="s">
        <v>87</v>
      </c>
      <c r="C312" t="s">
        <v>28</v>
      </c>
      <c r="D312" s="4">
        <v>31815</v>
      </c>
      <c r="E312" s="4">
        <v>45407</v>
      </c>
      <c r="F312" s="9">
        <v>45417</v>
      </c>
      <c r="G312" t="s">
        <v>100</v>
      </c>
      <c r="H312" t="s">
        <v>61</v>
      </c>
      <c r="I312" t="s">
        <v>2533</v>
      </c>
      <c r="J312" s="7">
        <v>2878036</v>
      </c>
      <c r="K312" t="s">
        <v>48</v>
      </c>
      <c r="L312" t="s">
        <v>34</v>
      </c>
      <c r="M312" t="s">
        <v>35</v>
      </c>
      <c r="N312" s="6">
        <v>10</v>
      </c>
      <c r="O312" t="s">
        <v>36</v>
      </c>
      <c r="P312">
        <f t="shared" si="4"/>
        <v>37</v>
      </c>
    </row>
    <row r="313" spans="1:16" x14ac:dyDescent="0.2">
      <c r="A313" t="s">
        <v>522</v>
      </c>
      <c r="B313" t="s">
        <v>105</v>
      </c>
      <c r="C313" t="s">
        <v>28</v>
      </c>
      <c r="D313" s="4">
        <v>30849</v>
      </c>
      <c r="E313" s="4">
        <v>45388</v>
      </c>
      <c r="F313" s="9" t="s">
        <v>2536</v>
      </c>
      <c r="G313" t="s">
        <v>46</v>
      </c>
      <c r="H313" t="s">
        <v>30</v>
      </c>
      <c r="I313" t="s">
        <v>2535</v>
      </c>
      <c r="J313" s="7">
        <v>5469400</v>
      </c>
      <c r="K313" t="s">
        <v>48</v>
      </c>
      <c r="L313" t="s">
        <v>23</v>
      </c>
      <c r="M313" t="s">
        <v>35</v>
      </c>
      <c r="N313" s="6" t="s">
        <v>2525</v>
      </c>
      <c r="O313" t="s">
        <v>36</v>
      </c>
      <c r="P313">
        <f t="shared" si="4"/>
        <v>40</v>
      </c>
    </row>
    <row r="314" spans="1:16" x14ac:dyDescent="0.2">
      <c r="A314" t="s">
        <v>1934</v>
      </c>
      <c r="B314" t="s">
        <v>45</v>
      </c>
      <c r="C314" t="s">
        <v>28</v>
      </c>
      <c r="D314" s="4">
        <v>32886</v>
      </c>
      <c r="E314" s="4">
        <v>45452</v>
      </c>
      <c r="F314" s="9" t="s">
        <v>2536</v>
      </c>
      <c r="G314" t="s">
        <v>46</v>
      </c>
      <c r="H314" t="s">
        <v>30</v>
      </c>
      <c r="I314" t="s">
        <v>67</v>
      </c>
      <c r="J314" s="7">
        <v>4812500</v>
      </c>
      <c r="K314" t="s">
        <v>48</v>
      </c>
      <c r="L314" t="s">
        <v>2527</v>
      </c>
      <c r="M314" t="s">
        <v>78</v>
      </c>
      <c r="N314" s="6" t="s">
        <v>2525</v>
      </c>
      <c r="O314" t="s">
        <v>25</v>
      </c>
      <c r="P314">
        <f t="shared" si="4"/>
        <v>34</v>
      </c>
    </row>
    <row r="315" spans="1:16" x14ac:dyDescent="0.2">
      <c r="A315" t="s">
        <v>1935</v>
      </c>
      <c r="B315" t="s">
        <v>56</v>
      </c>
      <c r="C315" t="s">
        <v>28</v>
      </c>
      <c r="D315" s="4">
        <v>25370</v>
      </c>
      <c r="E315" s="4">
        <v>45408</v>
      </c>
      <c r="F315" s="9">
        <v>45418</v>
      </c>
      <c r="G315" t="s">
        <v>50</v>
      </c>
      <c r="H315" t="s">
        <v>2528</v>
      </c>
      <c r="I315" t="s">
        <v>2533</v>
      </c>
      <c r="J315" s="7">
        <v>5163868</v>
      </c>
      <c r="K315" t="s">
        <v>48</v>
      </c>
      <c r="L315" t="s">
        <v>23</v>
      </c>
      <c r="M315" t="s">
        <v>35</v>
      </c>
      <c r="N315" s="6">
        <v>10</v>
      </c>
      <c r="O315" t="s">
        <v>36</v>
      </c>
      <c r="P315">
        <f t="shared" si="4"/>
        <v>55</v>
      </c>
    </row>
    <row r="316" spans="1:16" x14ac:dyDescent="0.2">
      <c r="A316" t="s">
        <v>527</v>
      </c>
      <c r="B316" t="s">
        <v>87</v>
      </c>
      <c r="C316" t="s">
        <v>39</v>
      </c>
      <c r="D316" s="4">
        <v>19326</v>
      </c>
      <c r="E316" s="4">
        <v>45376</v>
      </c>
      <c r="F316" s="9" t="s">
        <v>2536</v>
      </c>
      <c r="G316" t="s">
        <v>29</v>
      </c>
      <c r="H316" t="s">
        <v>19</v>
      </c>
      <c r="I316" t="s">
        <v>67</v>
      </c>
      <c r="J316" s="7">
        <v>5166000</v>
      </c>
      <c r="K316" t="s">
        <v>43</v>
      </c>
      <c r="L316" t="s">
        <v>23</v>
      </c>
      <c r="M316" t="s">
        <v>78</v>
      </c>
      <c r="N316" s="6" t="s">
        <v>2525</v>
      </c>
      <c r="O316" t="s">
        <v>25</v>
      </c>
      <c r="P316">
        <f t="shared" si="4"/>
        <v>72</v>
      </c>
    </row>
    <row r="317" spans="1:16" x14ac:dyDescent="0.2">
      <c r="A317" t="s">
        <v>529</v>
      </c>
      <c r="B317" t="s">
        <v>45</v>
      </c>
      <c r="C317" t="s">
        <v>92</v>
      </c>
      <c r="D317" s="4">
        <v>30341</v>
      </c>
      <c r="E317" s="4">
        <v>45309</v>
      </c>
      <c r="F317" s="9">
        <v>45311</v>
      </c>
      <c r="G317" t="s">
        <v>100</v>
      </c>
      <c r="H317" t="s">
        <v>61</v>
      </c>
      <c r="I317" t="s">
        <v>67</v>
      </c>
      <c r="J317" s="7">
        <v>2317000</v>
      </c>
      <c r="K317" t="s">
        <v>43</v>
      </c>
      <c r="L317" t="s">
        <v>2527</v>
      </c>
      <c r="M317" t="s">
        <v>24</v>
      </c>
      <c r="N317" s="6">
        <v>2</v>
      </c>
      <c r="O317" t="s">
        <v>25</v>
      </c>
      <c r="P317">
        <f t="shared" si="4"/>
        <v>41</v>
      </c>
    </row>
    <row r="318" spans="1:16" x14ac:dyDescent="0.2">
      <c r="A318" t="s">
        <v>1936</v>
      </c>
      <c r="B318" t="s">
        <v>80</v>
      </c>
      <c r="C318" t="s">
        <v>92</v>
      </c>
      <c r="D318" s="4">
        <v>36986</v>
      </c>
      <c r="E318" s="4">
        <v>45415</v>
      </c>
      <c r="F318" s="9">
        <v>45429</v>
      </c>
      <c r="G318" t="s">
        <v>60</v>
      </c>
      <c r="H318" t="s">
        <v>66</v>
      </c>
      <c r="I318" t="s">
        <v>2535</v>
      </c>
      <c r="J318" s="7">
        <v>4816000</v>
      </c>
      <c r="K318" t="s">
        <v>48</v>
      </c>
      <c r="L318" t="s">
        <v>2527</v>
      </c>
      <c r="M318" t="s">
        <v>24</v>
      </c>
      <c r="N318" s="6">
        <v>14</v>
      </c>
      <c r="O318" t="s">
        <v>36</v>
      </c>
      <c r="P318">
        <f t="shared" si="4"/>
        <v>23</v>
      </c>
    </row>
    <row r="319" spans="1:16" x14ac:dyDescent="0.2">
      <c r="A319" t="s">
        <v>533</v>
      </c>
      <c r="B319" t="s">
        <v>85</v>
      </c>
      <c r="C319" t="s">
        <v>28</v>
      </c>
      <c r="D319" s="4">
        <v>27782</v>
      </c>
      <c r="E319" s="4">
        <v>45292</v>
      </c>
      <c r="F319" s="9" t="s">
        <v>2536</v>
      </c>
      <c r="G319" t="s">
        <v>72</v>
      </c>
      <c r="H319" t="s">
        <v>2529</v>
      </c>
      <c r="I319" t="s">
        <v>67</v>
      </c>
      <c r="J319" s="7">
        <v>1976528</v>
      </c>
      <c r="K319" t="s">
        <v>71</v>
      </c>
      <c r="L319" t="s">
        <v>34</v>
      </c>
      <c r="M319" t="s">
        <v>78</v>
      </c>
      <c r="N319" s="6" t="s">
        <v>2525</v>
      </c>
      <c r="O319" t="s">
        <v>2531</v>
      </c>
      <c r="P319">
        <f t="shared" si="4"/>
        <v>48</v>
      </c>
    </row>
    <row r="320" spans="1:16" x14ac:dyDescent="0.2">
      <c r="A320" t="s">
        <v>534</v>
      </c>
      <c r="B320" t="s">
        <v>64</v>
      </c>
      <c r="C320" t="s">
        <v>28</v>
      </c>
      <c r="D320" s="4">
        <v>24856</v>
      </c>
      <c r="E320" s="4">
        <v>45357</v>
      </c>
      <c r="F320" s="9">
        <v>45366</v>
      </c>
      <c r="G320" t="s">
        <v>88</v>
      </c>
      <c r="H320" t="s">
        <v>66</v>
      </c>
      <c r="I320" t="s">
        <v>2534</v>
      </c>
      <c r="J320" s="7">
        <v>2737000</v>
      </c>
      <c r="K320" t="s">
        <v>71</v>
      </c>
      <c r="L320" t="s">
        <v>34</v>
      </c>
      <c r="M320" t="s">
        <v>35</v>
      </c>
      <c r="N320" s="6">
        <v>9</v>
      </c>
      <c r="O320" t="s">
        <v>36</v>
      </c>
      <c r="P320">
        <f t="shared" si="4"/>
        <v>56</v>
      </c>
    </row>
    <row r="321" spans="1:16" x14ac:dyDescent="0.2">
      <c r="A321" t="s">
        <v>1937</v>
      </c>
      <c r="B321" t="s">
        <v>56</v>
      </c>
      <c r="C321" t="s">
        <v>28</v>
      </c>
      <c r="D321" s="4">
        <v>19429</v>
      </c>
      <c r="E321" s="4">
        <v>45415</v>
      </c>
      <c r="F321" s="9">
        <v>45430</v>
      </c>
      <c r="G321" t="s">
        <v>100</v>
      </c>
      <c r="H321" t="s">
        <v>61</v>
      </c>
      <c r="I321" t="s">
        <v>41</v>
      </c>
      <c r="J321" s="7">
        <v>3572084</v>
      </c>
      <c r="K321" t="s">
        <v>43</v>
      </c>
      <c r="L321" t="s">
        <v>2527</v>
      </c>
      <c r="M321" t="s">
        <v>24</v>
      </c>
      <c r="N321" s="6">
        <v>15</v>
      </c>
      <c r="O321" t="s">
        <v>2531</v>
      </c>
      <c r="P321">
        <f t="shared" si="4"/>
        <v>71</v>
      </c>
    </row>
    <row r="322" spans="1:16" x14ac:dyDescent="0.2">
      <c r="A322" t="s">
        <v>1938</v>
      </c>
      <c r="B322" t="s">
        <v>64</v>
      </c>
      <c r="C322" t="s">
        <v>28</v>
      </c>
      <c r="D322" s="4">
        <v>37184</v>
      </c>
      <c r="E322" s="4">
        <v>45382</v>
      </c>
      <c r="F322" s="9">
        <v>45387</v>
      </c>
      <c r="G322" t="s">
        <v>83</v>
      </c>
      <c r="H322" t="s">
        <v>66</v>
      </c>
      <c r="I322" t="s">
        <v>2534</v>
      </c>
      <c r="J322" s="7">
        <v>4503768</v>
      </c>
      <c r="K322" t="s">
        <v>43</v>
      </c>
      <c r="L322" t="s">
        <v>2527</v>
      </c>
      <c r="M322" t="s">
        <v>35</v>
      </c>
      <c r="N322" s="6">
        <v>5</v>
      </c>
      <c r="O322" t="s">
        <v>36</v>
      </c>
      <c r="P322">
        <f t="shared" si="4"/>
        <v>23</v>
      </c>
    </row>
    <row r="323" spans="1:16" x14ac:dyDescent="0.2">
      <c r="A323" t="s">
        <v>1939</v>
      </c>
      <c r="B323" t="s">
        <v>59</v>
      </c>
      <c r="C323" t="s">
        <v>28</v>
      </c>
      <c r="D323" s="4">
        <v>19300</v>
      </c>
      <c r="E323" s="4">
        <v>45397</v>
      </c>
      <c r="F323" s="9">
        <v>45401</v>
      </c>
      <c r="G323" t="s">
        <v>100</v>
      </c>
      <c r="H323" t="s">
        <v>61</v>
      </c>
      <c r="I323" t="s">
        <v>2533</v>
      </c>
      <c r="J323" s="7">
        <v>1897000</v>
      </c>
      <c r="K323" t="s">
        <v>48</v>
      </c>
      <c r="L323" t="s">
        <v>34</v>
      </c>
      <c r="M323" t="s">
        <v>78</v>
      </c>
      <c r="N323" s="6">
        <v>4</v>
      </c>
      <c r="O323" t="s">
        <v>25</v>
      </c>
      <c r="P323">
        <f t="shared" ref="P323:P386" si="5">YEAR(E323)-YEAR(D323)</f>
        <v>72</v>
      </c>
    </row>
    <row r="324" spans="1:16" x14ac:dyDescent="0.2">
      <c r="A324" t="s">
        <v>542</v>
      </c>
      <c r="B324" t="s">
        <v>114</v>
      </c>
      <c r="C324" t="s">
        <v>92</v>
      </c>
      <c r="D324" s="4">
        <v>19081</v>
      </c>
      <c r="E324" s="4">
        <v>45420</v>
      </c>
      <c r="F324" s="9">
        <v>45435</v>
      </c>
      <c r="G324" t="s">
        <v>40</v>
      </c>
      <c r="H324" t="s">
        <v>75</v>
      </c>
      <c r="I324" t="s">
        <v>41</v>
      </c>
      <c r="J324" s="7">
        <v>2904440</v>
      </c>
      <c r="K324" t="s">
        <v>48</v>
      </c>
      <c r="L324" t="s">
        <v>23</v>
      </c>
      <c r="M324" t="s">
        <v>35</v>
      </c>
      <c r="N324" s="6">
        <v>15</v>
      </c>
      <c r="O324" t="s">
        <v>36</v>
      </c>
      <c r="P324">
        <f t="shared" si="5"/>
        <v>72</v>
      </c>
    </row>
    <row r="325" spans="1:16" x14ac:dyDescent="0.2">
      <c r="A325" t="s">
        <v>1940</v>
      </c>
      <c r="B325" t="s">
        <v>105</v>
      </c>
      <c r="C325" t="s">
        <v>92</v>
      </c>
      <c r="D325" s="4">
        <v>18398</v>
      </c>
      <c r="E325" s="4">
        <v>45303</v>
      </c>
      <c r="F325" s="9">
        <v>45318</v>
      </c>
      <c r="G325" t="s">
        <v>74</v>
      </c>
      <c r="H325" t="s">
        <v>2528</v>
      </c>
      <c r="I325" t="s">
        <v>41</v>
      </c>
      <c r="J325" s="7">
        <v>5071500</v>
      </c>
      <c r="K325" t="s">
        <v>48</v>
      </c>
      <c r="L325" t="s">
        <v>2527</v>
      </c>
      <c r="M325" t="s">
        <v>24</v>
      </c>
      <c r="N325" s="6">
        <v>15</v>
      </c>
      <c r="O325" t="s">
        <v>25</v>
      </c>
      <c r="P325">
        <f t="shared" si="5"/>
        <v>74</v>
      </c>
    </row>
    <row r="326" spans="1:16" x14ac:dyDescent="0.2">
      <c r="A326" t="s">
        <v>546</v>
      </c>
      <c r="B326" t="s">
        <v>45</v>
      </c>
      <c r="C326" t="s">
        <v>92</v>
      </c>
      <c r="D326" s="4">
        <v>35705</v>
      </c>
      <c r="E326" s="4">
        <v>45404</v>
      </c>
      <c r="F326" s="9">
        <v>45407</v>
      </c>
      <c r="G326" t="s">
        <v>74</v>
      </c>
      <c r="H326" t="s">
        <v>2528</v>
      </c>
      <c r="I326" t="s">
        <v>2535</v>
      </c>
      <c r="J326" s="7">
        <v>4699912</v>
      </c>
      <c r="K326" t="s">
        <v>48</v>
      </c>
      <c r="L326" t="s">
        <v>2527</v>
      </c>
      <c r="M326" t="s">
        <v>24</v>
      </c>
      <c r="N326" s="6">
        <v>3</v>
      </c>
      <c r="O326" t="s">
        <v>2531</v>
      </c>
      <c r="P326">
        <f t="shared" si="5"/>
        <v>27</v>
      </c>
    </row>
    <row r="327" spans="1:16" x14ac:dyDescent="0.2">
      <c r="A327" t="s">
        <v>1941</v>
      </c>
      <c r="B327" t="s">
        <v>119</v>
      </c>
      <c r="C327" t="s">
        <v>28</v>
      </c>
      <c r="D327" s="4">
        <v>23876</v>
      </c>
      <c r="E327" s="4">
        <v>45371</v>
      </c>
      <c r="F327" s="9">
        <v>45372</v>
      </c>
      <c r="G327" t="s">
        <v>88</v>
      </c>
      <c r="H327" t="s">
        <v>66</v>
      </c>
      <c r="I327" t="s">
        <v>2534</v>
      </c>
      <c r="J327" s="7">
        <v>765716</v>
      </c>
      <c r="K327" t="s">
        <v>71</v>
      </c>
      <c r="L327" t="s">
        <v>34</v>
      </c>
      <c r="M327" t="s">
        <v>35</v>
      </c>
      <c r="N327" s="6">
        <v>1</v>
      </c>
      <c r="O327" t="s">
        <v>2531</v>
      </c>
      <c r="P327">
        <f t="shared" si="5"/>
        <v>59</v>
      </c>
    </row>
    <row r="328" spans="1:16" x14ac:dyDescent="0.2">
      <c r="A328" t="s">
        <v>1942</v>
      </c>
      <c r="B328" t="s">
        <v>119</v>
      </c>
      <c r="C328" t="s">
        <v>28</v>
      </c>
      <c r="D328" s="4">
        <v>32873</v>
      </c>
      <c r="E328" s="4">
        <v>45371</v>
      </c>
      <c r="F328" s="9">
        <v>45383</v>
      </c>
      <c r="G328" t="s">
        <v>100</v>
      </c>
      <c r="H328" t="s">
        <v>61</v>
      </c>
      <c r="I328" t="s">
        <v>67</v>
      </c>
      <c r="J328" s="7">
        <v>1093880</v>
      </c>
      <c r="K328" t="s">
        <v>48</v>
      </c>
      <c r="L328" t="s">
        <v>2527</v>
      </c>
      <c r="M328" t="s">
        <v>78</v>
      </c>
      <c r="N328" s="6">
        <v>12</v>
      </c>
      <c r="O328" t="s">
        <v>36</v>
      </c>
      <c r="P328">
        <f t="shared" si="5"/>
        <v>35</v>
      </c>
    </row>
    <row r="329" spans="1:16" x14ac:dyDescent="0.2">
      <c r="A329" t="s">
        <v>1943</v>
      </c>
      <c r="B329" t="s">
        <v>91</v>
      </c>
      <c r="C329" t="s">
        <v>28</v>
      </c>
      <c r="D329" s="4">
        <v>22973</v>
      </c>
      <c r="E329" s="4">
        <v>45385</v>
      </c>
      <c r="F329" s="9">
        <v>45400</v>
      </c>
      <c r="G329" t="s">
        <v>83</v>
      </c>
      <c r="H329" t="s">
        <v>66</v>
      </c>
      <c r="I329" t="s">
        <v>2533</v>
      </c>
      <c r="J329" s="7">
        <v>607292</v>
      </c>
      <c r="K329" t="s">
        <v>71</v>
      </c>
      <c r="L329" t="s">
        <v>34</v>
      </c>
      <c r="M329" t="s">
        <v>78</v>
      </c>
      <c r="N329" s="6">
        <v>15</v>
      </c>
      <c r="O329" t="s">
        <v>25</v>
      </c>
      <c r="P329">
        <f t="shared" si="5"/>
        <v>62</v>
      </c>
    </row>
    <row r="330" spans="1:16" x14ac:dyDescent="0.2">
      <c r="A330" t="s">
        <v>1944</v>
      </c>
      <c r="B330" t="s">
        <v>102</v>
      </c>
      <c r="C330" t="s">
        <v>92</v>
      </c>
      <c r="D330" s="4">
        <v>37095</v>
      </c>
      <c r="E330" s="4">
        <v>45422</v>
      </c>
      <c r="F330" s="9">
        <v>45434</v>
      </c>
      <c r="G330" t="s">
        <v>83</v>
      </c>
      <c r="H330" t="s">
        <v>66</v>
      </c>
      <c r="I330" t="s">
        <v>2534</v>
      </c>
      <c r="J330" s="7">
        <v>857500</v>
      </c>
      <c r="K330" t="s">
        <v>43</v>
      </c>
      <c r="L330" t="s">
        <v>2527</v>
      </c>
      <c r="M330" t="s">
        <v>78</v>
      </c>
      <c r="N330" s="6">
        <v>12</v>
      </c>
      <c r="O330" t="s">
        <v>2531</v>
      </c>
      <c r="P330">
        <f t="shared" si="5"/>
        <v>23</v>
      </c>
    </row>
    <row r="331" spans="1:16" x14ac:dyDescent="0.2">
      <c r="A331" t="s">
        <v>551</v>
      </c>
      <c r="B331" t="s">
        <v>27</v>
      </c>
      <c r="C331" t="s">
        <v>28</v>
      </c>
      <c r="D331" s="4">
        <v>34070</v>
      </c>
      <c r="E331" s="4">
        <v>45308</v>
      </c>
      <c r="F331" s="9">
        <v>45320</v>
      </c>
      <c r="G331" t="s">
        <v>29</v>
      </c>
      <c r="H331" t="s">
        <v>19</v>
      </c>
      <c r="I331" t="s">
        <v>41</v>
      </c>
      <c r="J331" s="7">
        <v>3017600</v>
      </c>
      <c r="K331" t="s">
        <v>48</v>
      </c>
      <c r="L331" t="s">
        <v>34</v>
      </c>
      <c r="M331" t="s">
        <v>24</v>
      </c>
      <c r="N331" s="6">
        <v>12</v>
      </c>
      <c r="O331" t="s">
        <v>36</v>
      </c>
      <c r="P331">
        <f t="shared" si="5"/>
        <v>31</v>
      </c>
    </row>
    <row r="332" spans="1:16" x14ac:dyDescent="0.2">
      <c r="A332" t="s">
        <v>553</v>
      </c>
      <c r="B332" t="s">
        <v>119</v>
      </c>
      <c r="C332" t="s">
        <v>92</v>
      </c>
      <c r="D332" s="4">
        <v>33432</v>
      </c>
      <c r="E332" s="4">
        <v>45434</v>
      </c>
      <c r="F332" s="9">
        <v>45437</v>
      </c>
      <c r="G332" t="s">
        <v>29</v>
      </c>
      <c r="H332" t="s">
        <v>19</v>
      </c>
      <c r="I332" t="s">
        <v>2535</v>
      </c>
      <c r="J332" s="7">
        <v>1214584</v>
      </c>
      <c r="K332" t="s">
        <v>48</v>
      </c>
      <c r="L332" t="s">
        <v>2527</v>
      </c>
      <c r="M332" t="s">
        <v>24</v>
      </c>
      <c r="N332" s="6">
        <v>3</v>
      </c>
      <c r="O332" t="s">
        <v>25</v>
      </c>
      <c r="P332">
        <f t="shared" si="5"/>
        <v>33</v>
      </c>
    </row>
    <row r="333" spans="1:16" x14ac:dyDescent="0.2">
      <c r="A333" t="s">
        <v>554</v>
      </c>
      <c r="B333" t="s">
        <v>119</v>
      </c>
      <c r="C333" t="s">
        <v>39</v>
      </c>
      <c r="D333" s="4">
        <v>39108</v>
      </c>
      <c r="E333" s="4">
        <v>45329</v>
      </c>
      <c r="F333" s="9">
        <v>45334</v>
      </c>
      <c r="G333" t="s">
        <v>18</v>
      </c>
      <c r="H333" t="s">
        <v>2529</v>
      </c>
      <c r="I333" t="s">
        <v>2533</v>
      </c>
      <c r="J333" s="7">
        <v>1886000</v>
      </c>
      <c r="K333" t="s">
        <v>48</v>
      </c>
      <c r="L333" t="s">
        <v>2527</v>
      </c>
      <c r="M333" t="s">
        <v>24</v>
      </c>
      <c r="N333" s="6">
        <v>5</v>
      </c>
      <c r="O333" t="s">
        <v>36</v>
      </c>
      <c r="P333">
        <f t="shared" si="5"/>
        <v>17</v>
      </c>
    </row>
    <row r="334" spans="1:16" x14ac:dyDescent="0.2">
      <c r="A334" t="s">
        <v>1945</v>
      </c>
      <c r="B334" t="s">
        <v>102</v>
      </c>
      <c r="C334" t="s">
        <v>92</v>
      </c>
      <c r="D334" s="4">
        <v>37358</v>
      </c>
      <c r="E334" s="4">
        <v>45448</v>
      </c>
      <c r="F334" s="9">
        <v>45462</v>
      </c>
      <c r="G334" t="s">
        <v>88</v>
      </c>
      <c r="H334" t="s">
        <v>66</v>
      </c>
      <c r="I334" t="s">
        <v>2535</v>
      </c>
      <c r="J334" s="7">
        <v>784576</v>
      </c>
      <c r="K334" t="s">
        <v>43</v>
      </c>
      <c r="L334" t="s">
        <v>2527</v>
      </c>
      <c r="M334" t="s">
        <v>35</v>
      </c>
      <c r="N334" s="6">
        <v>14</v>
      </c>
      <c r="O334" t="s">
        <v>25</v>
      </c>
      <c r="P334">
        <f t="shared" si="5"/>
        <v>22</v>
      </c>
    </row>
    <row r="335" spans="1:16" x14ac:dyDescent="0.2">
      <c r="A335" t="s">
        <v>557</v>
      </c>
      <c r="B335" t="s">
        <v>82</v>
      </c>
      <c r="C335" t="s">
        <v>28</v>
      </c>
      <c r="D335" s="4">
        <v>37602</v>
      </c>
      <c r="E335" s="4">
        <v>45452</v>
      </c>
      <c r="F335" s="9">
        <v>45459</v>
      </c>
      <c r="G335" t="s">
        <v>29</v>
      </c>
      <c r="H335" t="s">
        <v>19</v>
      </c>
      <c r="I335" t="s">
        <v>67</v>
      </c>
      <c r="J335" s="7">
        <v>5492032</v>
      </c>
      <c r="K335" t="s">
        <v>71</v>
      </c>
      <c r="L335" t="s">
        <v>23</v>
      </c>
      <c r="M335" t="s">
        <v>35</v>
      </c>
      <c r="N335" s="6">
        <v>7</v>
      </c>
      <c r="O335" t="s">
        <v>36</v>
      </c>
      <c r="P335">
        <f t="shared" si="5"/>
        <v>22</v>
      </c>
    </row>
    <row r="336" spans="1:16" x14ac:dyDescent="0.2">
      <c r="A336" t="s">
        <v>1946</v>
      </c>
      <c r="B336" t="s">
        <v>87</v>
      </c>
      <c r="C336" t="s">
        <v>92</v>
      </c>
      <c r="D336" s="4">
        <v>22377</v>
      </c>
      <c r="E336" s="4">
        <v>45294</v>
      </c>
      <c r="F336" s="9">
        <v>45297</v>
      </c>
      <c r="G336" t="s">
        <v>72</v>
      </c>
      <c r="H336" t="s">
        <v>2529</v>
      </c>
      <c r="I336" t="s">
        <v>67</v>
      </c>
      <c r="J336" s="7">
        <v>1029756</v>
      </c>
      <c r="K336" t="s">
        <v>71</v>
      </c>
      <c r="L336" t="s">
        <v>2527</v>
      </c>
      <c r="M336" t="s">
        <v>24</v>
      </c>
      <c r="N336" s="6">
        <v>3</v>
      </c>
      <c r="O336" t="s">
        <v>2531</v>
      </c>
      <c r="P336">
        <f t="shared" si="5"/>
        <v>63</v>
      </c>
    </row>
    <row r="337" spans="1:16" x14ac:dyDescent="0.2">
      <c r="A337" t="s">
        <v>560</v>
      </c>
      <c r="B337" t="s">
        <v>114</v>
      </c>
      <c r="C337" t="s">
        <v>92</v>
      </c>
      <c r="D337" s="4">
        <v>32161</v>
      </c>
      <c r="E337" s="4">
        <v>45390</v>
      </c>
      <c r="F337" s="9">
        <v>45397</v>
      </c>
      <c r="G337" t="s">
        <v>18</v>
      </c>
      <c r="H337" t="s">
        <v>2529</v>
      </c>
      <c r="I337" t="s">
        <v>41</v>
      </c>
      <c r="J337" s="7">
        <v>2044000</v>
      </c>
      <c r="K337" t="s">
        <v>71</v>
      </c>
      <c r="L337" t="s">
        <v>2527</v>
      </c>
      <c r="M337" t="s">
        <v>35</v>
      </c>
      <c r="N337" s="6">
        <v>7</v>
      </c>
      <c r="O337" t="s">
        <v>36</v>
      </c>
      <c r="P337">
        <f t="shared" si="5"/>
        <v>36</v>
      </c>
    </row>
    <row r="338" spans="1:16" x14ac:dyDescent="0.2">
      <c r="A338" t="s">
        <v>1947</v>
      </c>
      <c r="B338" t="s">
        <v>102</v>
      </c>
      <c r="C338" t="s">
        <v>92</v>
      </c>
      <c r="D338" s="4">
        <v>37278</v>
      </c>
      <c r="E338" s="4">
        <v>45468</v>
      </c>
      <c r="F338" s="9" t="s">
        <v>2536</v>
      </c>
      <c r="G338" t="s">
        <v>40</v>
      </c>
      <c r="H338" t="s">
        <v>75</v>
      </c>
      <c r="I338" t="s">
        <v>41</v>
      </c>
      <c r="J338" s="7">
        <v>2534784</v>
      </c>
      <c r="K338" t="s">
        <v>43</v>
      </c>
      <c r="L338" t="s">
        <v>34</v>
      </c>
      <c r="M338" t="s">
        <v>24</v>
      </c>
      <c r="N338" s="6" t="s">
        <v>2525</v>
      </c>
      <c r="O338" t="s">
        <v>25</v>
      </c>
      <c r="P338">
        <f t="shared" si="5"/>
        <v>22</v>
      </c>
    </row>
    <row r="339" spans="1:16" x14ac:dyDescent="0.2">
      <c r="A339" t="s">
        <v>1948</v>
      </c>
      <c r="B339" t="s">
        <v>150</v>
      </c>
      <c r="C339" t="s">
        <v>28</v>
      </c>
      <c r="D339" s="4">
        <v>39028</v>
      </c>
      <c r="E339" s="4">
        <v>45448</v>
      </c>
      <c r="F339" s="9">
        <v>45457</v>
      </c>
      <c r="G339" t="s">
        <v>100</v>
      </c>
      <c r="H339" t="s">
        <v>61</v>
      </c>
      <c r="I339" t="s">
        <v>2535</v>
      </c>
      <c r="J339" s="7">
        <v>3710000</v>
      </c>
      <c r="K339" t="s">
        <v>71</v>
      </c>
      <c r="L339" t="s">
        <v>2527</v>
      </c>
      <c r="M339" t="s">
        <v>78</v>
      </c>
      <c r="N339" s="6">
        <v>9</v>
      </c>
      <c r="O339" t="s">
        <v>25</v>
      </c>
      <c r="P339">
        <f t="shared" si="5"/>
        <v>18</v>
      </c>
    </row>
    <row r="340" spans="1:16" x14ac:dyDescent="0.2">
      <c r="A340" t="s">
        <v>1949</v>
      </c>
      <c r="B340" t="s">
        <v>85</v>
      </c>
      <c r="C340" t="s">
        <v>28</v>
      </c>
      <c r="D340" s="4">
        <v>28227</v>
      </c>
      <c r="E340" s="4">
        <v>45307</v>
      </c>
      <c r="F340" s="9">
        <v>45317</v>
      </c>
      <c r="G340" t="s">
        <v>72</v>
      </c>
      <c r="H340" t="s">
        <v>2529</v>
      </c>
      <c r="I340" t="s">
        <v>41</v>
      </c>
      <c r="J340" s="7">
        <v>5197816</v>
      </c>
      <c r="K340" t="s">
        <v>48</v>
      </c>
      <c r="L340" t="s">
        <v>2527</v>
      </c>
      <c r="M340" t="s">
        <v>35</v>
      </c>
      <c r="N340" s="6">
        <v>10</v>
      </c>
      <c r="O340" t="s">
        <v>25</v>
      </c>
      <c r="P340">
        <f t="shared" si="5"/>
        <v>47</v>
      </c>
    </row>
    <row r="341" spans="1:16" x14ac:dyDescent="0.2">
      <c r="A341" t="s">
        <v>1950</v>
      </c>
      <c r="B341" t="s">
        <v>38</v>
      </c>
      <c r="C341" t="s">
        <v>28</v>
      </c>
      <c r="D341" s="4">
        <v>38442</v>
      </c>
      <c r="E341" s="4">
        <v>45362</v>
      </c>
      <c r="F341" s="9" t="s">
        <v>2536</v>
      </c>
      <c r="G341" t="s">
        <v>74</v>
      </c>
      <c r="H341" t="s">
        <v>2528</v>
      </c>
      <c r="I341" t="s">
        <v>67</v>
      </c>
      <c r="J341" s="7">
        <v>4945092</v>
      </c>
      <c r="K341" t="s">
        <v>71</v>
      </c>
      <c r="L341" t="s">
        <v>2527</v>
      </c>
      <c r="M341" t="s">
        <v>35</v>
      </c>
      <c r="N341" s="6" t="s">
        <v>2525</v>
      </c>
      <c r="O341" t="s">
        <v>2531</v>
      </c>
      <c r="P341">
        <f t="shared" si="5"/>
        <v>19</v>
      </c>
    </row>
    <row r="342" spans="1:16" x14ac:dyDescent="0.2">
      <c r="A342" t="s">
        <v>567</v>
      </c>
      <c r="B342" t="s">
        <v>56</v>
      </c>
      <c r="C342" t="s">
        <v>28</v>
      </c>
      <c r="D342" s="4">
        <v>35545</v>
      </c>
      <c r="E342" s="4">
        <v>45379</v>
      </c>
      <c r="F342" s="9">
        <v>45389</v>
      </c>
      <c r="G342" t="s">
        <v>100</v>
      </c>
      <c r="H342" t="s">
        <v>61</v>
      </c>
      <c r="I342" t="s">
        <v>2533</v>
      </c>
      <c r="J342" s="7">
        <v>3334448</v>
      </c>
      <c r="K342" t="s">
        <v>71</v>
      </c>
      <c r="L342" t="s">
        <v>23</v>
      </c>
      <c r="M342" t="s">
        <v>35</v>
      </c>
      <c r="N342" s="6">
        <v>10</v>
      </c>
      <c r="O342" t="s">
        <v>36</v>
      </c>
      <c r="P342">
        <f t="shared" si="5"/>
        <v>27</v>
      </c>
    </row>
    <row r="343" spans="1:16" x14ac:dyDescent="0.2">
      <c r="A343" t="s">
        <v>569</v>
      </c>
      <c r="B343" t="s">
        <v>38</v>
      </c>
      <c r="C343" t="s">
        <v>39</v>
      </c>
      <c r="D343" s="4">
        <v>22064</v>
      </c>
      <c r="E343" s="4">
        <v>45334</v>
      </c>
      <c r="F343" s="9">
        <v>45339</v>
      </c>
      <c r="G343" t="s">
        <v>40</v>
      </c>
      <c r="H343" t="s">
        <v>75</v>
      </c>
      <c r="I343" t="s">
        <v>2533</v>
      </c>
      <c r="J343" s="7">
        <v>5654228</v>
      </c>
      <c r="K343" t="s">
        <v>71</v>
      </c>
      <c r="L343" t="s">
        <v>2527</v>
      </c>
      <c r="M343" t="s">
        <v>35</v>
      </c>
      <c r="N343" s="6">
        <v>5</v>
      </c>
      <c r="O343" t="s">
        <v>25</v>
      </c>
      <c r="P343">
        <f t="shared" si="5"/>
        <v>64</v>
      </c>
    </row>
    <row r="344" spans="1:16" x14ac:dyDescent="0.2">
      <c r="A344" t="s">
        <v>1951</v>
      </c>
      <c r="B344" t="s">
        <v>114</v>
      </c>
      <c r="C344" t="s">
        <v>28</v>
      </c>
      <c r="D344" s="4">
        <v>28608</v>
      </c>
      <c r="E344" s="4">
        <v>45316</v>
      </c>
      <c r="F344" s="9">
        <v>45323</v>
      </c>
      <c r="G344" t="s">
        <v>83</v>
      </c>
      <c r="H344" t="s">
        <v>66</v>
      </c>
      <c r="I344" t="s">
        <v>2533</v>
      </c>
      <c r="J344" s="7">
        <v>1053500</v>
      </c>
      <c r="K344" t="s">
        <v>43</v>
      </c>
      <c r="L344" t="s">
        <v>2527</v>
      </c>
      <c r="M344" t="s">
        <v>78</v>
      </c>
      <c r="N344" s="6">
        <v>7</v>
      </c>
      <c r="O344" t="s">
        <v>25</v>
      </c>
      <c r="P344">
        <f t="shared" si="5"/>
        <v>46</v>
      </c>
    </row>
    <row r="345" spans="1:16" x14ac:dyDescent="0.2">
      <c r="A345" t="s">
        <v>1952</v>
      </c>
      <c r="B345" t="s">
        <v>119</v>
      </c>
      <c r="C345" t="s">
        <v>39</v>
      </c>
      <c r="D345" s="4">
        <v>24651</v>
      </c>
      <c r="E345" s="4">
        <v>45465</v>
      </c>
      <c r="F345" s="9">
        <v>45466</v>
      </c>
      <c r="G345" t="s">
        <v>74</v>
      </c>
      <c r="H345" t="s">
        <v>2528</v>
      </c>
      <c r="I345" t="s">
        <v>2533</v>
      </c>
      <c r="J345" s="7">
        <v>1131600</v>
      </c>
      <c r="K345" t="s">
        <v>71</v>
      </c>
      <c r="L345" t="s">
        <v>2527</v>
      </c>
      <c r="M345" t="s">
        <v>35</v>
      </c>
      <c r="N345" s="6">
        <v>1</v>
      </c>
      <c r="O345" t="s">
        <v>25</v>
      </c>
      <c r="P345">
        <f t="shared" si="5"/>
        <v>57</v>
      </c>
    </row>
    <row r="346" spans="1:16" x14ac:dyDescent="0.2">
      <c r="A346" t="s">
        <v>573</v>
      </c>
      <c r="B346" t="s">
        <v>64</v>
      </c>
      <c r="C346" t="s">
        <v>92</v>
      </c>
      <c r="D346" s="4">
        <v>21276</v>
      </c>
      <c r="E346" s="4">
        <v>45444</v>
      </c>
      <c r="F346" s="9">
        <v>45455</v>
      </c>
      <c r="G346" t="s">
        <v>74</v>
      </c>
      <c r="H346" t="s">
        <v>2528</v>
      </c>
      <c r="I346" t="s">
        <v>41</v>
      </c>
      <c r="J346" s="7">
        <v>5046936</v>
      </c>
      <c r="K346" t="s">
        <v>71</v>
      </c>
      <c r="L346" t="s">
        <v>23</v>
      </c>
      <c r="M346" t="s">
        <v>35</v>
      </c>
      <c r="N346" s="6">
        <v>11</v>
      </c>
      <c r="O346" t="s">
        <v>36</v>
      </c>
      <c r="P346">
        <f t="shared" si="5"/>
        <v>66</v>
      </c>
    </row>
    <row r="347" spans="1:16" x14ac:dyDescent="0.2">
      <c r="A347" t="s">
        <v>1953</v>
      </c>
      <c r="B347" t="s">
        <v>150</v>
      </c>
      <c r="C347" t="s">
        <v>28</v>
      </c>
      <c r="D347" s="4">
        <v>33122</v>
      </c>
      <c r="E347" s="4">
        <v>45401</v>
      </c>
      <c r="F347" s="9">
        <v>45414</v>
      </c>
      <c r="G347" t="s">
        <v>60</v>
      </c>
      <c r="H347" t="s">
        <v>66</v>
      </c>
      <c r="I347" t="s">
        <v>67</v>
      </c>
      <c r="J347" s="7">
        <v>3330676</v>
      </c>
      <c r="K347" t="s">
        <v>48</v>
      </c>
      <c r="L347" t="s">
        <v>34</v>
      </c>
      <c r="M347" t="s">
        <v>78</v>
      </c>
      <c r="N347" s="6">
        <v>13</v>
      </c>
      <c r="O347" t="s">
        <v>25</v>
      </c>
      <c r="P347">
        <f t="shared" si="5"/>
        <v>34</v>
      </c>
    </row>
    <row r="348" spans="1:16" x14ac:dyDescent="0.2">
      <c r="A348" t="s">
        <v>1954</v>
      </c>
      <c r="B348" t="s">
        <v>150</v>
      </c>
      <c r="C348" t="s">
        <v>28</v>
      </c>
      <c r="D348" s="4">
        <v>24839</v>
      </c>
      <c r="E348" s="4">
        <v>45337</v>
      </c>
      <c r="F348" s="9" t="s">
        <v>2536</v>
      </c>
      <c r="G348" t="s">
        <v>40</v>
      </c>
      <c r="H348" t="s">
        <v>75</v>
      </c>
      <c r="I348" t="s">
        <v>2533</v>
      </c>
      <c r="J348" s="7">
        <v>2063284</v>
      </c>
      <c r="K348" t="s">
        <v>71</v>
      </c>
      <c r="L348" t="s">
        <v>2527</v>
      </c>
      <c r="M348" t="s">
        <v>35</v>
      </c>
      <c r="N348" s="6" t="s">
        <v>2525</v>
      </c>
      <c r="O348" t="s">
        <v>25</v>
      </c>
      <c r="P348">
        <f t="shared" si="5"/>
        <v>56</v>
      </c>
    </row>
    <row r="349" spans="1:16" x14ac:dyDescent="0.2">
      <c r="A349" t="s">
        <v>1955</v>
      </c>
      <c r="B349" t="s">
        <v>38</v>
      </c>
      <c r="C349" t="s">
        <v>39</v>
      </c>
      <c r="D349" s="4">
        <v>32874</v>
      </c>
      <c r="E349" s="4">
        <v>45419</v>
      </c>
      <c r="F349" s="9">
        <v>45420</v>
      </c>
      <c r="G349" t="s">
        <v>72</v>
      </c>
      <c r="H349" t="s">
        <v>2529</v>
      </c>
      <c r="I349" t="s">
        <v>2533</v>
      </c>
      <c r="J349" s="7">
        <v>1435000</v>
      </c>
      <c r="K349" t="s">
        <v>71</v>
      </c>
      <c r="L349" t="s">
        <v>34</v>
      </c>
      <c r="M349" t="s">
        <v>24</v>
      </c>
      <c r="N349" s="6">
        <v>1</v>
      </c>
      <c r="O349" t="s">
        <v>36</v>
      </c>
      <c r="P349">
        <f t="shared" si="5"/>
        <v>34</v>
      </c>
    </row>
    <row r="350" spans="1:16" x14ac:dyDescent="0.2">
      <c r="A350" t="s">
        <v>1956</v>
      </c>
      <c r="B350" t="s">
        <v>82</v>
      </c>
      <c r="C350" t="s">
        <v>28</v>
      </c>
      <c r="D350" s="4">
        <v>20561</v>
      </c>
      <c r="E350" s="4">
        <v>45292</v>
      </c>
      <c r="F350" s="9">
        <v>45306</v>
      </c>
      <c r="G350" t="s">
        <v>74</v>
      </c>
      <c r="H350" t="s">
        <v>2528</v>
      </c>
      <c r="I350" t="s">
        <v>2535</v>
      </c>
      <c r="J350" s="7">
        <v>2922500</v>
      </c>
      <c r="K350" t="s">
        <v>48</v>
      </c>
      <c r="L350" t="s">
        <v>2527</v>
      </c>
      <c r="M350" t="s">
        <v>35</v>
      </c>
      <c r="N350" s="6">
        <v>14</v>
      </c>
      <c r="O350" t="s">
        <v>25</v>
      </c>
      <c r="P350">
        <f t="shared" si="5"/>
        <v>68</v>
      </c>
    </row>
    <row r="351" spans="1:16" x14ac:dyDescent="0.2">
      <c r="A351" t="s">
        <v>1957</v>
      </c>
      <c r="B351" t="s">
        <v>27</v>
      </c>
      <c r="C351" t="s">
        <v>39</v>
      </c>
      <c r="D351" s="4">
        <v>29407</v>
      </c>
      <c r="E351" s="4">
        <v>45409</v>
      </c>
      <c r="F351" s="9">
        <v>45412</v>
      </c>
      <c r="G351" t="s">
        <v>29</v>
      </c>
      <c r="H351" t="s">
        <v>19</v>
      </c>
      <c r="I351" t="s">
        <v>67</v>
      </c>
      <c r="J351" s="7">
        <v>2685664</v>
      </c>
      <c r="K351" t="s">
        <v>48</v>
      </c>
      <c r="L351" t="s">
        <v>2527</v>
      </c>
      <c r="M351" t="s">
        <v>78</v>
      </c>
      <c r="N351" s="6">
        <v>3</v>
      </c>
      <c r="O351" t="s">
        <v>2531</v>
      </c>
      <c r="P351">
        <f t="shared" si="5"/>
        <v>44</v>
      </c>
    </row>
    <row r="352" spans="1:16" x14ac:dyDescent="0.2">
      <c r="A352" t="s">
        <v>1958</v>
      </c>
      <c r="B352" t="s">
        <v>51</v>
      </c>
      <c r="C352" t="s">
        <v>28</v>
      </c>
      <c r="D352" s="4">
        <v>19433</v>
      </c>
      <c r="E352" s="4">
        <v>45298</v>
      </c>
      <c r="F352" s="9">
        <v>45300</v>
      </c>
      <c r="G352" t="s">
        <v>100</v>
      </c>
      <c r="H352" t="s">
        <v>61</v>
      </c>
      <c r="I352" t="s">
        <v>41</v>
      </c>
      <c r="J352" s="7">
        <v>3847440</v>
      </c>
      <c r="K352" t="s">
        <v>48</v>
      </c>
      <c r="L352" t="s">
        <v>2527</v>
      </c>
      <c r="M352" t="s">
        <v>35</v>
      </c>
      <c r="N352" s="6">
        <v>2</v>
      </c>
      <c r="O352" t="s">
        <v>25</v>
      </c>
      <c r="P352">
        <f t="shared" si="5"/>
        <v>71</v>
      </c>
    </row>
    <row r="353" spans="1:16" x14ac:dyDescent="0.2">
      <c r="A353" t="s">
        <v>1959</v>
      </c>
      <c r="B353" t="s">
        <v>16</v>
      </c>
      <c r="C353" t="s">
        <v>28</v>
      </c>
      <c r="D353" s="4">
        <v>39689</v>
      </c>
      <c r="E353" s="4">
        <v>45465</v>
      </c>
      <c r="F353" s="9">
        <v>45469</v>
      </c>
      <c r="G353" t="s">
        <v>88</v>
      </c>
      <c r="H353" t="s">
        <v>66</v>
      </c>
      <c r="I353" t="s">
        <v>67</v>
      </c>
      <c r="J353" s="7">
        <v>4152972</v>
      </c>
      <c r="K353" t="s">
        <v>71</v>
      </c>
      <c r="L353" t="s">
        <v>34</v>
      </c>
      <c r="M353" t="s">
        <v>35</v>
      </c>
      <c r="N353" s="6">
        <v>4</v>
      </c>
      <c r="O353" t="s">
        <v>25</v>
      </c>
      <c r="P353">
        <f t="shared" si="5"/>
        <v>16</v>
      </c>
    </row>
    <row r="354" spans="1:16" x14ac:dyDescent="0.2">
      <c r="A354" t="s">
        <v>581</v>
      </c>
      <c r="B354" t="s">
        <v>80</v>
      </c>
      <c r="C354" t="s">
        <v>92</v>
      </c>
      <c r="D354" s="4">
        <v>21452</v>
      </c>
      <c r="E354" s="4">
        <v>45448</v>
      </c>
      <c r="F354" s="9">
        <v>45450</v>
      </c>
      <c r="G354" t="s">
        <v>74</v>
      </c>
      <c r="H354" t="s">
        <v>2528</v>
      </c>
      <c r="I354" t="s">
        <v>2535</v>
      </c>
      <c r="J354" s="7">
        <v>5129920</v>
      </c>
      <c r="K354" t="s">
        <v>48</v>
      </c>
      <c r="L354" t="s">
        <v>23</v>
      </c>
      <c r="M354" t="s">
        <v>78</v>
      </c>
      <c r="N354" s="6">
        <v>2</v>
      </c>
      <c r="O354" t="s">
        <v>2531</v>
      </c>
      <c r="P354">
        <f t="shared" si="5"/>
        <v>66</v>
      </c>
    </row>
    <row r="355" spans="1:16" x14ac:dyDescent="0.2">
      <c r="A355" t="s">
        <v>1960</v>
      </c>
      <c r="B355" t="s">
        <v>118</v>
      </c>
      <c r="C355" t="s">
        <v>92</v>
      </c>
      <c r="D355" s="4">
        <v>22222</v>
      </c>
      <c r="E355" s="4">
        <v>45374</v>
      </c>
      <c r="F355" s="9">
        <v>45384</v>
      </c>
      <c r="G355" t="s">
        <v>83</v>
      </c>
      <c r="H355" t="s">
        <v>66</v>
      </c>
      <c r="I355" t="s">
        <v>67</v>
      </c>
      <c r="J355" s="7">
        <v>2489520</v>
      </c>
      <c r="K355" t="s">
        <v>71</v>
      </c>
      <c r="L355" t="s">
        <v>23</v>
      </c>
      <c r="M355" t="s">
        <v>24</v>
      </c>
      <c r="N355" s="6">
        <v>10</v>
      </c>
      <c r="O355" t="s">
        <v>36</v>
      </c>
      <c r="P355">
        <f t="shared" si="5"/>
        <v>64</v>
      </c>
    </row>
    <row r="356" spans="1:16" x14ac:dyDescent="0.2">
      <c r="A356" t="s">
        <v>585</v>
      </c>
      <c r="B356" t="s">
        <v>119</v>
      </c>
      <c r="C356" t="s">
        <v>92</v>
      </c>
      <c r="D356" s="4">
        <v>22634</v>
      </c>
      <c r="E356" s="4">
        <v>45453</v>
      </c>
      <c r="F356" s="9">
        <v>45454</v>
      </c>
      <c r="G356" t="s">
        <v>74</v>
      </c>
      <c r="H356" t="s">
        <v>2528</v>
      </c>
      <c r="I356" t="s">
        <v>67</v>
      </c>
      <c r="J356" s="7">
        <v>1761524</v>
      </c>
      <c r="K356" t="s">
        <v>43</v>
      </c>
      <c r="L356" t="s">
        <v>2527</v>
      </c>
      <c r="M356" t="s">
        <v>78</v>
      </c>
      <c r="N356" s="6">
        <v>1</v>
      </c>
      <c r="O356" t="s">
        <v>36</v>
      </c>
      <c r="P356">
        <f t="shared" si="5"/>
        <v>63</v>
      </c>
    </row>
    <row r="357" spans="1:16" x14ac:dyDescent="0.2">
      <c r="A357" t="s">
        <v>1961</v>
      </c>
      <c r="B357" t="s">
        <v>87</v>
      </c>
      <c r="C357" t="s">
        <v>28</v>
      </c>
      <c r="D357" s="4">
        <v>22952</v>
      </c>
      <c r="E357" s="4">
        <v>45425</v>
      </c>
      <c r="F357" s="9">
        <v>45428</v>
      </c>
      <c r="G357" t="s">
        <v>18</v>
      </c>
      <c r="H357" t="s">
        <v>2529</v>
      </c>
      <c r="I357" t="s">
        <v>2534</v>
      </c>
      <c r="J357" s="7">
        <v>4235956</v>
      </c>
      <c r="K357" t="s">
        <v>48</v>
      </c>
      <c r="L357" t="s">
        <v>2527</v>
      </c>
      <c r="M357" t="s">
        <v>78</v>
      </c>
      <c r="N357" s="6">
        <v>3</v>
      </c>
      <c r="O357" t="s">
        <v>25</v>
      </c>
      <c r="P357">
        <f t="shared" si="5"/>
        <v>62</v>
      </c>
    </row>
    <row r="358" spans="1:16" x14ac:dyDescent="0.2">
      <c r="A358" t="s">
        <v>589</v>
      </c>
      <c r="B358" t="s">
        <v>16</v>
      </c>
      <c r="C358" t="s">
        <v>92</v>
      </c>
      <c r="D358" s="4">
        <v>21399</v>
      </c>
      <c r="E358" s="4">
        <v>45430</v>
      </c>
      <c r="F358" s="9">
        <v>45441</v>
      </c>
      <c r="G358" t="s">
        <v>60</v>
      </c>
      <c r="H358" t="s">
        <v>66</v>
      </c>
      <c r="I358" t="s">
        <v>67</v>
      </c>
      <c r="J358" s="7">
        <v>1244760</v>
      </c>
      <c r="K358" t="s">
        <v>71</v>
      </c>
      <c r="L358" t="s">
        <v>2527</v>
      </c>
      <c r="M358" t="s">
        <v>35</v>
      </c>
      <c r="N358" s="6">
        <v>11</v>
      </c>
      <c r="O358" t="s">
        <v>25</v>
      </c>
      <c r="P358">
        <f t="shared" si="5"/>
        <v>66</v>
      </c>
    </row>
    <row r="359" spans="1:16" x14ac:dyDescent="0.2">
      <c r="A359" t="s">
        <v>591</v>
      </c>
      <c r="B359" t="s">
        <v>102</v>
      </c>
      <c r="C359" t="s">
        <v>92</v>
      </c>
      <c r="D359" s="4">
        <v>25131</v>
      </c>
      <c r="E359" s="4">
        <v>45356</v>
      </c>
      <c r="F359" s="9">
        <v>45371</v>
      </c>
      <c r="G359" t="s">
        <v>88</v>
      </c>
      <c r="H359" t="s">
        <v>66</v>
      </c>
      <c r="I359" t="s">
        <v>2534</v>
      </c>
      <c r="J359" s="7">
        <v>780804</v>
      </c>
      <c r="K359" t="s">
        <v>48</v>
      </c>
      <c r="L359" t="s">
        <v>34</v>
      </c>
      <c r="M359" t="s">
        <v>78</v>
      </c>
      <c r="N359" s="6">
        <v>15</v>
      </c>
      <c r="O359" t="s">
        <v>25</v>
      </c>
      <c r="P359">
        <f t="shared" si="5"/>
        <v>56</v>
      </c>
    </row>
    <row r="360" spans="1:16" x14ac:dyDescent="0.2">
      <c r="A360" t="s">
        <v>1962</v>
      </c>
      <c r="B360" t="s">
        <v>114</v>
      </c>
      <c r="C360" t="s">
        <v>92</v>
      </c>
      <c r="D360" s="4">
        <v>37261</v>
      </c>
      <c r="E360" s="4">
        <v>45399</v>
      </c>
      <c r="F360" s="9">
        <v>45414</v>
      </c>
      <c r="G360" t="s">
        <v>50</v>
      </c>
      <c r="H360" t="s">
        <v>2528</v>
      </c>
      <c r="I360" t="s">
        <v>67</v>
      </c>
      <c r="J360" s="7">
        <v>2893124</v>
      </c>
      <c r="K360" t="s">
        <v>48</v>
      </c>
      <c r="L360" t="s">
        <v>23</v>
      </c>
      <c r="M360" t="s">
        <v>24</v>
      </c>
      <c r="N360" s="6">
        <v>15</v>
      </c>
      <c r="O360" t="s">
        <v>36</v>
      </c>
      <c r="P360">
        <f t="shared" si="5"/>
        <v>22</v>
      </c>
    </row>
    <row r="361" spans="1:16" x14ac:dyDescent="0.2">
      <c r="A361" t="s">
        <v>595</v>
      </c>
      <c r="B361" t="s">
        <v>150</v>
      </c>
      <c r="C361" t="s">
        <v>28</v>
      </c>
      <c r="D361" s="4">
        <v>37436</v>
      </c>
      <c r="E361" s="4">
        <v>45305</v>
      </c>
      <c r="F361" s="9" t="s">
        <v>2536</v>
      </c>
      <c r="G361" t="s">
        <v>18</v>
      </c>
      <c r="H361" t="s">
        <v>2529</v>
      </c>
      <c r="I361" t="s">
        <v>67</v>
      </c>
      <c r="J361" s="7">
        <v>3125500</v>
      </c>
      <c r="K361" t="s">
        <v>48</v>
      </c>
      <c r="L361" t="s">
        <v>2527</v>
      </c>
      <c r="M361" t="s">
        <v>24</v>
      </c>
      <c r="N361" s="6" t="s">
        <v>2525</v>
      </c>
      <c r="O361" t="s">
        <v>36</v>
      </c>
      <c r="P361">
        <f t="shared" si="5"/>
        <v>22</v>
      </c>
    </row>
    <row r="362" spans="1:16" x14ac:dyDescent="0.2">
      <c r="A362" t="s">
        <v>1963</v>
      </c>
      <c r="B362" t="s">
        <v>51</v>
      </c>
      <c r="C362" t="s">
        <v>92</v>
      </c>
      <c r="D362" s="4">
        <v>22432</v>
      </c>
      <c r="E362" s="4">
        <v>45469</v>
      </c>
      <c r="F362" s="9">
        <v>45471</v>
      </c>
      <c r="G362" t="s">
        <v>100</v>
      </c>
      <c r="H362" t="s">
        <v>61</v>
      </c>
      <c r="I362" t="s">
        <v>67</v>
      </c>
      <c r="J362" s="7">
        <v>3028916</v>
      </c>
      <c r="K362" t="s">
        <v>48</v>
      </c>
      <c r="L362" t="s">
        <v>23</v>
      </c>
      <c r="M362" t="s">
        <v>24</v>
      </c>
      <c r="N362" s="6">
        <v>2</v>
      </c>
      <c r="O362" t="s">
        <v>25</v>
      </c>
      <c r="P362">
        <f t="shared" si="5"/>
        <v>63</v>
      </c>
    </row>
    <row r="363" spans="1:16" x14ac:dyDescent="0.2">
      <c r="A363" t="s">
        <v>1964</v>
      </c>
      <c r="B363" t="s">
        <v>27</v>
      </c>
      <c r="C363" t="s">
        <v>39</v>
      </c>
      <c r="D363" s="4">
        <v>25790</v>
      </c>
      <c r="E363" s="4">
        <v>45397</v>
      </c>
      <c r="F363" s="9">
        <v>45401</v>
      </c>
      <c r="G363" t="s">
        <v>100</v>
      </c>
      <c r="H363" t="s">
        <v>61</v>
      </c>
      <c r="I363" t="s">
        <v>67</v>
      </c>
      <c r="J363" s="7">
        <v>3681472</v>
      </c>
      <c r="K363" t="s">
        <v>48</v>
      </c>
      <c r="L363" t="s">
        <v>2527</v>
      </c>
      <c r="M363" t="s">
        <v>78</v>
      </c>
      <c r="N363" s="6">
        <v>4</v>
      </c>
      <c r="O363" t="s">
        <v>2531</v>
      </c>
      <c r="P363">
        <f t="shared" si="5"/>
        <v>54</v>
      </c>
    </row>
    <row r="364" spans="1:16" x14ac:dyDescent="0.2">
      <c r="A364" t="s">
        <v>600</v>
      </c>
      <c r="B364" t="s">
        <v>119</v>
      </c>
      <c r="C364" t="s">
        <v>92</v>
      </c>
      <c r="D364" s="4">
        <v>31953</v>
      </c>
      <c r="E364" s="4">
        <v>45302</v>
      </c>
      <c r="F364" s="9">
        <v>45311</v>
      </c>
      <c r="G364" t="s">
        <v>29</v>
      </c>
      <c r="H364" t="s">
        <v>19</v>
      </c>
      <c r="I364" t="s">
        <v>2533</v>
      </c>
      <c r="J364" s="7">
        <v>4077532</v>
      </c>
      <c r="K364" t="s">
        <v>71</v>
      </c>
      <c r="L364" t="s">
        <v>2527</v>
      </c>
      <c r="M364" t="s">
        <v>35</v>
      </c>
      <c r="N364" s="6">
        <v>9</v>
      </c>
      <c r="O364" t="s">
        <v>25</v>
      </c>
      <c r="P364">
        <f t="shared" si="5"/>
        <v>37</v>
      </c>
    </row>
    <row r="365" spans="1:16" x14ac:dyDescent="0.2">
      <c r="A365" t="s">
        <v>1965</v>
      </c>
      <c r="B365" t="s">
        <v>82</v>
      </c>
      <c r="C365" t="s">
        <v>28</v>
      </c>
      <c r="D365" s="4">
        <v>22612</v>
      </c>
      <c r="E365" s="4">
        <v>45367</v>
      </c>
      <c r="F365" s="9">
        <v>45369</v>
      </c>
      <c r="G365" t="s">
        <v>100</v>
      </c>
      <c r="H365" t="s">
        <v>61</v>
      </c>
      <c r="I365" t="s">
        <v>2533</v>
      </c>
      <c r="J365" s="7">
        <v>1625732</v>
      </c>
      <c r="K365" t="s">
        <v>43</v>
      </c>
      <c r="L365" t="s">
        <v>34</v>
      </c>
      <c r="M365" t="s">
        <v>78</v>
      </c>
      <c r="N365" s="6">
        <v>2</v>
      </c>
      <c r="O365" t="s">
        <v>2531</v>
      </c>
      <c r="P365">
        <f t="shared" si="5"/>
        <v>63</v>
      </c>
    </row>
    <row r="366" spans="1:16" x14ac:dyDescent="0.2">
      <c r="A366" t="s">
        <v>1966</v>
      </c>
      <c r="B366" t="s">
        <v>140</v>
      </c>
      <c r="C366" t="s">
        <v>39</v>
      </c>
      <c r="D366" s="4">
        <v>30401</v>
      </c>
      <c r="E366" s="4">
        <v>45472</v>
      </c>
      <c r="F366" s="9">
        <v>45474</v>
      </c>
      <c r="G366" t="s">
        <v>83</v>
      </c>
      <c r="H366" t="s">
        <v>66</v>
      </c>
      <c r="I366" t="s">
        <v>67</v>
      </c>
      <c r="J366" s="7">
        <v>2666804</v>
      </c>
      <c r="K366" t="s">
        <v>48</v>
      </c>
      <c r="L366" t="s">
        <v>23</v>
      </c>
      <c r="M366" t="s">
        <v>24</v>
      </c>
      <c r="N366" s="6">
        <v>2</v>
      </c>
      <c r="O366" t="s">
        <v>36</v>
      </c>
      <c r="P366">
        <f t="shared" si="5"/>
        <v>41</v>
      </c>
    </row>
    <row r="367" spans="1:16" x14ac:dyDescent="0.2">
      <c r="A367" t="s">
        <v>1967</v>
      </c>
      <c r="B367" t="s">
        <v>80</v>
      </c>
      <c r="C367" t="s">
        <v>92</v>
      </c>
      <c r="D367" s="4">
        <v>30191</v>
      </c>
      <c r="E367" s="4">
        <v>45320</v>
      </c>
      <c r="F367" s="9">
        <v>45330</v>
      </c>
      <c r="G367" t="s">
        <v>83</v>
      </c>
      <c r="H367" t="s">
        <v>66</v>
      </c>
      <c r="I367" t="s">
        <v>67</v>
      </c>
      <c r="J367" s="7">
        <v>5382644</v>
      </c>
      <c r="K367" t="s">
        <v>43</v>
      </c>
      <c r="L367" t="s">
        <v>23</v>
      </c>
      <c r="M367" t="s">
        <v>35</v>
      </c>
      <c r="N367" s="6">
        <v>10</v>
      </c>
      <c r="O367" t="s">
        <v>2531</v>
      </c>
      <c r="P367">
        <f t="shared" si="5"/>
        <v>42</v>
      </c>
    </row>
    <row r="368" spans="1:16" x14ac:dyDescent="0.2">
      <c r="A368" t="s">
        <v>604</v>
      </c>
      <c r="B368" t="s">
        <v>56</v>
      </c>
      <c r="C368" t="s">
        <v>28</v>
      </c>
      <c r="D368" s="4">
        <v>37273</v>
      </c>
      <c r="E368" s="4">
        <v>45349</v>
      </c>
      <c r="F368" s="9">
        <v>45354</v>
      </c>
      <c r="G368" t="s">
        <v>60</v>
      </c>
      <c r="H368" t="s">
        <v>66</v>
      </c>
      <c r="I368" t="s">
        <v>67</v>
      </c>
      <c r="J368" s="7">
        <v>3020500</v>
      </c>
      <c r="K368" t="s">
        <v>71</v>
      </c>
      <c r="L368" t="s">
        <v>2527</v>
      </c>
      <c r="M368" t="s">
        <v>24</v>
      </c>
      <c r="N368" s="6">
        <v>5</v>
      </c>
      <c r="O368" t="s">
        <v>36</v>
      </c>
      <c r="P368">
        <f t="shared" si="5"/>
        <v>22</v>
      </c>
    </row>
    <row r="369" spans="1:16" x14ac:dyDescent="0.2">
      <c r="A369" t="s">
        <v>1968</v>
      </c>
      <c r="B369" t="s">
        <v>27</v>
      </c>
      <c r="C369" t="s">
        <v>28</v>
      </c>
      <c r="D369" s="4">
        <v>35724</v>
      </c>
      <c r="E369" s="4">
        <v>45407</v>
      </c>
      <c r="F369" s="9">
        <v>45419</v>
      </c>
      <c r="G369" t="s">
        <v>50</v>
      </c>
      <c r="H369" t="s">
        <v>2528</v>
      </c>
      <c r="I369" t="s">
        <v>67</v>
      </c>
      <c r="J369" s="7">
        <v>995808</v>
      </c>
      <c r="K369" t="s">
        <v>48</v>
      </c>
      <c r="L369" t="s">
        <v>2527</v>
      </c>
      <c r="M369" t="s">
        <v>35</v>
      </c>
      <c r="N369" s="6">
        <v>12</v>
      </c>
      <c r="O369" t="s">
        <v>36</v>
      </c>
      <c r="P369">
        <f t="shared" si="5"/>
        <v>27</v>
      </c>
    </row>
    <row r="370" spans="1:16" x14ac:dyDescent="0.2">
      <c r="A370" t="s">
        <v>607</v>
      </c>
      <c r="B370" t="s">
        <v>87</v>
      </c>
      <c r="C370" t="s">
        <v>28</v>
      </c>
      <c r="D370" s="4">
        <v>23195</v>
      </c>
      <c r="E370" s="4">
        <v>45425</v>
      </c>
      <c r="F370" s="9">
        <v>45436</v>
      </c>
      <c r="G370" t="s">
        <v>100</v>
      </c>
      <c r="H370" t="s">
        <v>61</v>
      </c>
      <c r="I370" t="s">
        <v>2533</v>
      </c>
      <c r="J370" s="7">
        <v>3805948</v>
      </c>
      <c r="K370" t="s">
        <v>48</v>
      </c>
      <c r="L370" t="s">
        <v>23</v>
      </c>
      <c r="M370" t="s">
        <v>35</v>
      </c>
      <c r="N370" s="6">
        <v>11</v>
      </c>
      <c r="O370" t="s">
        <v>25</v>
      </c>
      <c r="P370">
        <f t="shared" si="5"/>
        <v>61</v>
      </c>
    </row>
    <row r="371" spans="1:16" x14ac:dyDescent="0.2">
      <c r="A371" t="s">
        <v>1969</v>
      </c>
      <c r="B371" t="s">
        <v>59</v>
      </c>
      <c r="C371" t="s">
        <v>28</v>
      </c>
      <c r="D371" s="4">
        <v>37226</v>
      </c>
      <c r="E371" s="4">
        <v>45459</v>
      </c>
      <c r="F371" s="9">
        <v>45470</v>
      </c>
      <c r="G371" t="s">
        <v>100</v>
      </c>
      <c r="H371" t="s">
        <v>61</v>
      </c>
      <c r="I371" t="s">
        <v>2535</v>
      </c>
      <c r="J371" s="7">
        <v>1295000</v>
      </c>
      <c r="K371" t="s">
        <v>48</v>
      </c>
      <c r="L371" t="s">
        <v>2527</v>
      </c>
      <c r="M371" t="s">
        <v>35</v>
      </c>
      <c r="N371" s="6">
        <v>11</v>
      </c>
      <c r="O371" t="s">
        <v>25</v>
      </c>
      <c r="P371">
        <f t="shared" si="5"/>
        <v>23</v>
      </c>
    </row>
    <row r="372" spans="1:16" x14ac:dyDescent="0.2">
      <c r="A372" t="s">
        <v>611</v>
      </c>
      <c r="B372" t="s">
        <v>102</v>
      </c>
      <c r="C372" t="s">
        <v>92</v>
      </c>
      <c r="D372" s="4">
        <v>33203</v>
      </c>
      <c r="E372" s="4">
        <v>45450</v>
      </c>
      <c r="F372" s="9">
        <v>45455</v>
      </c>
      <c r="G372" t="s">
        <v>46</v>
      </c>
      <c r="H372" t="s">
        <v>30</v>
      </c>
      <c r="I372" t="s">
        <v>2534</v>
      </c>
      <c r="J372" s="7">
        <v>5522208</v>
      </c>
      <c r="K372" t="s">
        <v>48</v>
      </c>
      <c r="L372" t="s">
        <v>23</v>
      </c>
      <c r="M372" t="s">
        <v>35</v>
      </c>
      <c r="N372" s="6">
        <v>5</v>
      </c>
      <c r="O372" t="s">
        <v>36</v>
      </c>
      <c r="P372">
        <f t="shared" si="5"/>
        <v>34</v>
      </c>
    </row>
    <row r="373" spans="1:16" x14ac:dyDescent="0.2">
      <c r="A373" t="s">
        <v>1970</v>
      </c>
      <c r="B373" t="s">
        <v>87</v>
      </c>
      <c r="C373" t="s">
        <v>28</v>
      </c>
      <c r="D373" s="4">
        <v>26797</v>
      </c>
      <c r="E373" s="4">
        <v>45339</v>
      </c>
      <c r="F373" s="9">
        <v>45340</v>
      </c>
      <c r="G373" t="s">
        <v>83</v>
      </c>
      <c r="H373" t="s">
        <v>66</v>
      </c>
      <c r="I373" t="s">
        <v>2533</v>
      </c>
      <c r="J373" s="7">
        <v>3839896</v>
      </c>
      <c r="K373" t="s">
        <v>43</v>
      </c>
      <c r="L373" t="s">
        <v>2527</v>
      </c>
      <c r="M373" t="s">
        <v>35</v>
      </c>
      <c r="N373" s="6">
        <v>1</v>
      </c>
      <c r="O373" t="s">
        <v>36</v>
      </c>
      <c r="P373">
        <f t="shared" si="5"/>
        <v>51</v>
      </c>
    </row>
    <row r="374" spans="1:16" x14ac:dyDescent="0.2">
      <c r="A374" t="s">
        <v>615</v>
      </c>
      <c r="B374" t="s">
        <v>114</v>
      </c>
      <c r="C374" t="s">
        <v>92</v>
      </c>
      <c r="D374" s="4">
        <v>23377</v>
      </c>
      <c r="E374" s="4">
        <v>45431</v>
      </c>
      <c r="F374" s="9">
        <v>45436</v>
      </c>
      <c r="G374" t="s">
        <v>60</v>
      </c>
      <c r="H374" t="s">
        <v>66</v>
      </c>
      <c r="I374" t="s">
        <v>2535</v>
      </c>
      <c r="J374" s="7">
        <v>5525980</v>
      </c>
      <c r="K374" t="s">
        <v>43</v>
      </c>
      <c r="L374" t="s">
        <v>2527</v>
      </c>
      <c r="M374" t="s">
        <v>78</v>
      </c>
      <c r="N374" s="6">
        <v>5</v>
      </c>
      <c r="O374" t="s">
        <v>36</v>
      </c>
      <c r="P374">
        <f t="shared" si="5"/>
        <v>60</v>
      </c>
    </row>
    <row r="375" spans="1:16" x14ac:dyDescent="0.2">
      <c r="A375" t="s">
        <v>617</v>
      </c>
      <c r="B375" t="s">
        <v>87</v>
      </c>
      <c r="C375" t="s">
        <v>28</v>
      </c>
      <c r="D375" s="4">
        <v>36317</v>
      </c>
      <c r="E375" s="4">
        <v>45370</v>
      </c>
      <c r="F375" s="9">
        <v>45384</v>
      </c>
      <c r="G375" t="s">
        <v>100</v>
      </c>
      <c r="H375" t="s">
        <v>61</v>
      </c>
      <c r="I375" t="s">
        <v>67</v>
      </c>
      <c r="J375" s="7">
        <v>2896896</v>
      </c>
      <c r="K375" t="s">
        <v>43</v>
      </c>
      <c r="L375" t="s">
        <v>23</v>
      </c>
      <c r="M375" t="s">
        <v>24</v>
      </c>
      <c r="N375" s="6">
        <v>14</v>
      </c>
      <c r="O375" t="s">
        <v>36</v>
      </c>
      <c r="P375">
        <f t="shared" si="5"/>
        <v>25</v>
      </c>
    </row>
    <row r="376" spans="1:16" x14ac:dyDescent="0.2">
      <c r="A376" t="s">
        <v>619</v>
      </c>
      <c r="B376" t="s">
        <v>64</v>
      </c>
      <c r="C376" t="s">
        <v>92</v>
      </c>
      <c r="D376" s="4">
        <v>35906</v>
      </c>
      <c r="E376" s="4">
        <v>45465</v>
      </c>
      <c r="F376" s="9">
        <v>45472</v>
      </c>
      <c r="G376" t="s">
        <v>100</v>
      </c>
      <c r="H376" t="s">
        <v>61</v>
      </c>
      <c r="I376" t="s">
        <v>2535</v>
      </c>
      <c r="J376" s="7">
        <v>5050708</v>
      </c>
      <c r="K376" t="s">
        <v>48</v>
      </c>
      <c r="L376" t="s">
        <v>2527</v>
      </c>
      <c r="M376" t="s">
        <v>35</v>
      </c>
      <c r="N376" s="6">
        <v>7</v>
      </c>
      <c r="O376" t="s">
        <v>36</v>
      </c>
      <c r="P376">
        <f t="shared" si="5"/>
        <v>26</v>
      </c>
    </row>
    <row r="377" spans="1:16" x14ac:dyDescent="0.2">
      <c r="A377" t="s">
        <v>1971</v>
      </c>
      <c r="B377" t="s">
        <v>102</v>
      </c>
      <c r="C377" t="s">
        <v>92</v>
      </c>
      <c r="D377" s="4">
        <v>27591</v>
      </c>
      <c r="E377" s="4">
        <v>45381</v>
      </c>
      <c r="F377" s="9">
        <v>45395</v>
      </c>
      <c r="G377" t="s">
        <v>50</v>
      </c>
      <c r="H377" t="s">
        <v>2528</v>
      </c>
      <c r="I377" t="s">
        <v>2533</v>
      </c>
      <c r="J377" s="7">
        <v>3587172</v>
      </c>
      <c r="K377" t="s">
        <v>48</v>
      </c>
      <c r="L377" t="s">
        <v>23</v>
      </c>
      <c r="M377" t="s">
        <v>24</v>
      </c>
      <c r="N377" s="6">
        <v>14</v>
      </c>
      <c r="O377" t="s">
        <v>2531</v>
      </c>
      <c r="P377">
        <f t="shared" si="5"/>
        <v>49</v>
      </c>
    </row>
    <row r="378" spans="1:16" x14ac:dyDescent="0.2">
      <c r="A378" t="s">
        <v>1972</v>
      </c>
      <c r="B378" t="s">
        <v>87</v>
      </c>
      <c r="C378" t="s">
        <v>39</v>
      </c>
      <c r="D378" s="4">
        <v>37504</v>
      </c>
      <c r="E378" s="4">
        <v>45328</v>
      </c>
      <c r="F378" s="9">
        <v>45342</v>
      </c>
      <c r="G378" t="s">
        <v>74</v>
      </c>
      <c r="H378" t="s">
        <v>2528</v>
      </c>
      <c r="I378" t="s">
        <v>41</v>
      </c>
      <c r="J378" s="7">
        <v>3277868</v>
      </c>
      <c r="K378" t="s">
        <v>48</v>
      </c>
      <c r="L378" t="s">
        <v>2527</v>
      </c>
      <c r="M378" t="s">
        <v>24</v>
      </c>
      <c r="N378" s="6">
        <v>14</v>
      </c>
      <c r="O378" t="s">
        <v>25</v>
      </c>
      <c r="P378">
        <f t="shared" si="5"/>
        <v>22</v>
      </c>
    </row>
    <row r="379" spans="1:16" x14ac:dyDescent="0.2">
      <c r="A379" t="s">
        <v>1973</v>
      </c>
      <c r="B379" t="s">
        <v>114</v>
      </c>
      <c r="C379" t="s">
        <v>28</v>
      </c>
      <c r="D379" s="4">
        <v>36873</v>
      </c>
      <c r="E379" s="4">
        <v>45343</v>
      </c>
      <c r="F379" s="9">
        <v>45348</v>
      </c>
      <c r="G379" t="s">
        <v>88</v>
      </c>
      <c r="H379" t="s">
        <v>66</v>
      </c>
      <c r="I379" t="s">
        <v>41</v>
      </c>
      <c r="J379" s="7">
        <v>2513000</v>
      </c>
      <c r="K379" t="s">
        <v>71</v>
      </c>
      <c r="L379" t="s">
        <v>2527</v>
      </c>
      <c r="M379" t="s">
        <v>35</v>
      </c>
      <c r="N379" s="6">
        <v>5</v>
      </c>
      <c r="O379" t="s">
        <v>25</v>
      </c>
      <c r="P379">
        <f t="shared" si="5"/>
        <v>24</v>
      </c>
    </row>
    <row r="380" spans="1:16" x14ac:dyDescent="0.2">
      <c r="A380" t="s">
        <v>624</v>
      </c>
      <c r="B380" t="s">
        <v>38</v>
      </c>
      <c r="C380" t="s">
        <v>92</v>
      </c>
      <c r="D380" s="4">
        <v>39253</v>
      </c>
      <c r="E380" s="4">
        <v>45323</v>
      </c>
      <c r="F380" s="9">
        <v>45331</v>
      </c>
      <c r="G380" t="s">
        <v>88</v>
      </c>
      <c r="H380" t="s">
        <v>66</v>
      </c>
      <c r="I380" t="s">
        <v>41</v>
      </c>
      <c r="J380" s="7">
        <v>2515924</v>
      </c>
      <c r="K380" t="s">
        <v>48</v>
      </c>
      <c r="L380" t="s">
        <v>2527</v>
      </c>
      <c r="M380" t="s">
        <v>24</v>
      </c>
      <c r="N380" s="6">
        <v>8</v>
      </c>
      <c r="O380" t="s">
        <v>36</v>
      </c>
      <c r="P380">
        <f t="shared" si="5"/>
        <v>17</v>
      </c>
    </row>
    <row r="381" spans="1:16" x14ac:dyDescent="0.2">
      <c r="A381" t="s">
        <v>1974</v>
      </c>
      <c r="B381" t="s">
        <v>56</v>
      </c>
      <c r="C381" t="s">
        <v>28</v>
      </c>
      <c r="D381" s="4">
        <v>22182</v>
      </c>
      <c r="E381" s="4">
        <v>45423</v>
      </c>
      <c r="F381" s="9">
        <v>45426</v>
      </c>
      <c r="G381" t="s">
        <v>46</v>
      </c>
      <c r="H381" t="s">
        <v>30</v>
      </c>
      <c r="I381" t="s">
        <v>2533</v>
      </c>
      <c r="J381" s="7">
        <v>1319500</v>
      </c>
      <c r="K381" t="s">
        <v>48</v>
      </c>
      <c r="L381" t="s">
        <v>34</v>
      </c>
      <c r="M381" t="s">
        <v>78</v>
      </c>
      <c r="N381" s="6">
        <v>3</v>
      </c>
      <c r="O381" t="s">
        <v>36</v>
      </c>
      <c r="P381">
        <f t="shared" si="5"/>
        <v>64</v>
      </c>
    </row>
    <row r="382" spans="1:16" x14ac:dyDescent="0.2">
      <c r="A382" t="s">
        <v>627</v>
      </c>
      <c r="B382" t="s">
        <v>45</v>
      </c>
      <c r="C382" t="s">
        <v>92</v>
      </c>
      <c r="D382" s="4">
        <v>35618</v>
      </c>
      <c r="E382" s="4">
        <v>45423</v>
      </c>
      <c r="F382" s="9">
        <v>45426</v>
      </c>
      <c r="G382" t="s">
        <v>18</v>
      </c>
      <c r="H382" t="s">
        <v>2529</v>
      </c>
      <c r="I382" t="s">
        <v>67</v>
      </c>
      <c r="J382" s="7">
        <v>4245500</v>
      </c>
      <c r="K382" t="s">
        <v>48</v>
      </c>
      <c r="L382" t="s">
        <v>2527</v>
      </c>
      <c r="M382" t="s">
        <v>78</v>
      </c>
      <c r="N382" s="6">
        <v>3</v>
      </c>
      <c r="O382" t="s">
        <v>36</v>
      </c>
      <c r="P382">
        <f t="shared" si="5"/>
        <v>27</v>
      </c>
    </row>
    <row r="383" spans="1:16" x14ac:dyDescent="0.2">
      <c r="A383" t="s">
        <v>629</v>
      </c>
      <c r="B383" t="s">
        <v>27</v>
      </c>
      <c r="C383" t="s">
        <v>92</v>
      </c>
      <c r="D383" s="4">
        <v>29786</v>
      </c>
      <c r="E383" s="4">
        <v>45295</v>
      </c>
      <c r="F383" s="9">
        <v>45301</v>
      </c>
      <c r="G383" t="s">
        <v>29</v>
      </c>
      <c r="H383" t="s">
        <v>19</v>
      </c>
      <c r="I383" t="s">
        <v>67</v>
      </c>
      <c r="J383" s="7">
        <v>1165548</v>
      </c>
      <c r="K383" t="s">
        <v>48</v>
      </c>
      <c r="L383" t="s">
        <v>23</v>
      </c>
      <c r="M383" t="s">
        <v>35</v>
      </c>
      <c r="N383" s="6">
        <v>6</v>
      </c>
      <c r="O383" t="s">
        <v>2531</v>
      </c>
      <c r="P383">
        <f t="shared" si="5"/>
        <v>43</v>
      </c>
    </row>
    <row r="384" spans="1:16" x14ac:dyDescent="0.2">
      <c r="A384" t="s">
        <v>1975</v>
      </c>
      <c r="B384" t="s">
        <v>105</v>
      </c>
      <c r="C384" t="s">
        <v>39</v>
      </c>
      <c r="D384" s="4">
        <v>35699</v>
      </c>
      <c r="E384" s="4">
        <v>45398</v>
      </c>
      <c r="F384" s="9">
        <v>45400</v>
      </c>
      <c r="G384" t="s">
        <v>88</v>
      </c>
      <c r="H384" t="s">
        <v>66</v>
      </c>
      <c r="I384" t="s">
        <v>2533</v>
      </c>
      <c r="J384" s="7">
        <v>2583000</v>
      </c>
      <c r="K384" t="s">
        <v>48</v>
      </c>
      <c r="L384" t="s">
        <v>2527</v>
      </c>
      <c r="M384" t="s">
        <v>24</v>
      </c>
      <c r="N384" s="6">
        <v>2</v>
      </c>
      <c r="O384" t="s">
        <v>25</v>
      </c>
      <c r="P384">
        <f t="shared" si="5"/>
        <v>27</v>
      </c>
    </row>
    <row r="385" spans="1:16" x14ac:dyDescent="0.2">
      <c r="A385" t="s">
        <v>1976</v>
      </c>
      <c r="B385" t="s">
        <v>45</v>
      </c>
      <c r="C385" t="s">
        <v>92</v>
      </c>
      <c r="D385" s="4">
        <v>22150</v>
      </c>
      <c r="E385" s="4">
        <v>45324</v>
      </c>
      <c r="F385" s="9">
        <v>45329</v>
      </c>
      <c r="G385" t="s">
        <v>50</v>
      </c>
      <c r="H385" t="s">
        <v>2528</v>
      </c>
      <c r="I385" t="s">
        <v>67</v>
      </c>
      <c r="J385" s="7">
        <v>3658840</v>
      </c>
      <c r="K385" t="s">
        <v>48</v>
      </c>
      <c r="L385" t="s">
        <v>34</v>
      </c>
      <c r="M385" t="s">
        <v>78</v>
      </c>
      <c r="N385" s="6">
        <v>5</v>
      </c>
      <c r="O385" t="s">
        <v>25</v>
      </c>
      <c r="P385">
        <f t="shared" si="5"/>
        <v>64</v>
      </c>
    </row>
    <row r="386" spans="1:16" x14ac:dyDescent="0.2">
      <c r="A386" t="s">
        <v>635</v>
      </c>
      <c r="B386" t="s">
        <v>80</v>
      </c>
      <c r="C386" t="s">
        <v>39</v>
      </c>
      <c r="D386" s="4">
        <v>39883</v>
      </c>
      <c r="E386" s="4">
        <v>45412</v>
      </c>
      <c r="F386" s="9">
        <v>45413</v>
      </c>
      <c r="G386" t="s">
        <v>60</v>
      </c>
      <c r="H386" t="s">
        <v>66</v>
      </c>
      <c r="I386" t="s">
        <v>67</v>
      </c>
      <c r="J386" s="7">
        <v>1120284</v>
      </c>
      <c r="K386" t="s">
        <v>43</v>
      </c>
      <c r="L386" t="s">
        <v>23</v>
      </c>
      <c r="M386" t="s">
        <v>24</v>
      </c>
      <c r="N386" s="6">
        <v>1</v>
      </c>
      <c r="O386" t="s">
        <v>2531</v>
      </c>
      <c r="P386">
        <f t="shared" si="5"/>
        <v>15</v>
      </c>
    </row>
    <row r="387" spans="1:16" x14ac:dyDescent="0.2">
      <c r="A387" t="s">
        <v>1977</v>
      </c>
      <c r="B387" t="s">
        <v>64</v>
      </c>
      <c r="C387" t="s">
        <v>92</v>
      </c>
      <c r="D387" s="4">
        <v>23033</v>
      </c>
      <c r="E387" s="4">
        <v>45440</v>
      </c>
      <c r="F387" s="9">
        <v>45454</v>
      </c>
      <c r="G387" t="s">
        <v>40</v>
      </c>
      <c r="H387" t="s">
        <v>75</v>
      </c>
      <c r="I387" t="s">
        <v>67</v>
      </c>
      <c r="J387" s="7">
        <v>1139144</v>
      </c>
      <c r="K387" t="s">
        <v>43</v>
      </c>
      <c r="L387" t="s">
        <v>23</v>
      </c>
      <c r="M387" t="s">
        <v>24</v>
      </c>
      <c r="N387" s="6">
        <v>14</v>
      </c>
      <c r="O387" t="s">
        <v>36</v>
      </c>
      <c r="P387">
        <f t="shared" ref="P387:P450" si="6">YEAR(E387)-YEAR(D387)</f>
        <v>61</v>
      </c>
    </row>
    <row r="388" spans="1:16" x14ac:dyDescent="0.2">
      <c r="A388" t="s">
        <v>638</v>
      </c>
      <c r="B388" t="s">
        <v>27</v>
      </c>
      <c r="C388" t="s">
        <v>92</v>
      </c>
      <c r="D388" s="4">
        <v>21497</v>
      </c>
      <c r="E388" s="4">
        <v>45421</v>
      </c>
      <c r="F388" s="9">
        <v>45431</v>
      </c>
      <c r="G388" t="s">
        <v>100</v>
      </c>
      <c r="H388" t="s">
        <v>61</v>
      </c>
      <c r="I388" t="s">
        <v>67</v>
      </c>
      <c r="J388" s="7">
        <v>1645000</v>
      </c>
      <c r="K388" t="s">
        <v>71</v>
      </c>
      <c r="L388" t="s">
        <v>2527</v>
      </c>
      <c r="M388" t="s">
        <v>35</v>
      </c>
      <c r="N388" s="6">
        <v>10</v>
      </c>
      <c r="O388" t="s">
        <v>25</v>
      </c>
      <c r="P388">
        <f t="shared" si="6"/>
        <v>66</v>
      </c>
    </row>
    <row r="389" spans="1:16" x14ac:dyDescent="0.2">
      <c r="A389" t="s">
        <v>1978</v>
      </c>
      <c r="B389" t="s">
        <v>16</v>
      </c>
      <c r="C389" t="s">
        <v>28</v>
      </c>
      <c r="D389" s="4">
        <v>21878</v>
      </c>
      <c r="E389" s="4">
        <v>45418</v>
      </c>
      <c r="F389" s="9">
        <v>45427</v>
      </c>
      <c r="G389" t="s">
        <v>74</v>
      </c>
      <c r="H389" t="s">
        <v>2528</v>
      </c>
      <c r="I389" t="s">
        <v>2533</v>
      </c>
      <c r="J389" s="7">
        <v>1267392</v>
      </c>
      <c r="K389" t="s">
        <v>48</v>
      </c>
      <c r="L389" t="s">
        <v>2527</v>
      </c>
      <c r="M389" t="s">
        <v>24</v>
      </c>
      <c r="N389" s="6">
        <v>9</v>
      </c>
      <c r="O389" t="s">
        <v>36</v>
      </c>
      <c r="P389">
        <f t="shared" si="6"/>
        <v>65</v>
      </c>
    </row>
    <row r="390" spans="1:16" x14ac:dyDescent="0.2">
      <c r="A390" t="s">
        <v>640</v>
      </c>
      <c r="B390" t="s">
        <v>27</v>
      </c>
      <c r="C390" t="s">
        <v>28</v>
      </c>
      <c r="D390" s="4">
        <v>27786</v>
      </c>
      <c r="E390" s="4">
        <v>45340</v>
      </c>
      <c r="F390" s="9">
        <v>45353</v>
      </c>
      <c r="G390" t="s">
        <v>72</v>
      </c>
      <c r="H390" t="s">
        <v>2529</v>
      </c>
      <c r="I390" t="s">
        <v>67</v>
      </c>
      <c r="J390" s="7">
        <v>475272</v>
      </c>
      <c r="K390" t="s">
        <v>48</v>
      </c>
      <c r="L390" t="s">
        <v>2527</v>
      </c>
      <c r="M390" t="s">
        <v>78</v>
      </c>
      <c r="N390" s="6">
        <v>13</v>
      </c>
      <c r="O390" t="s">
        <v>25</v>
      </c>
      <c r="P390">
        <f t="shared" si="6"/>
        <v>48</v>
      </c>
    </row>
    <row r="391" spans="1:16" x14ac:dyDescent="0.2">
      <c r="A391" t="s">
        <v>641</v>
      </c>
      <c r="B391" t="s">
        <v>87</v>
      </c>
      <c r="C391" t="s">
        <v>28</v>
      </c>
      <c r="D391" s="4">
        <v>31391</v>
      </c>
      <c r="E391" s="4">
        <v>45335</v>
      </c>
      <c r="F391" s="9">
        <v>45339</v>
      </c>
      <c r="G391" t="s">
        <v>50</v>
      </c>
      <c r="H391" t="s">
        <v>2528</v>
      </c>
      <c r="I391" t="s">
        <v>41</v>
      </c>
      <c r="J391" s="7">
        <v>3496644</v>
      </c>
      <c r="K391" t="s">
        <v>48</v>
      </c>
      <c r="L391" t="s">
        <v>2527</v>
      </c>
      <c r="M391" t="s">
        <v>24</v>
      </c>
      <c r="N391" s="6">
        <v>4</v>
      </c>
      <c r="O391" t="s">
        <v>2531</v>
      </c>
      <c r="P391">
        <f t="shared" si="6"/>
        <v>39</v>
      </c>
    </row>
    <row r="392" spans="1:16" x14ac:dyDescent="0.2">
      <c r="A392" t="s">
        <v>1979</v>
      </c>
      <c r="B392" t="s">
        <v>119</v>
      </c>
      <c r="C392" t="s">
        <v>92</v>
      </c>
      <c r="D392" s="4">
        <v>39361</v>
      </c>
      <c r="E392" s="4">
        <v>45383</v>
      </c>
      <c r="F392" s="9">
        <v>45390</v>
      </c>
      <c r="G392" t="s">
        <v>40</v>
      </c>
      <c r="H392" t="s">
        <v>75</v>
      </c>
      <c r="I392" t="s">
        <v>67</v>
      </c>
      <c r="J392" s="7">
        <v>3888932</v>
      </c>
      <c r="K392" t="s">
        <v>48</v>
      </c>
      <c r="L392" t="s">
        <v>2527</v>
      </c>
      <c r="M392" t="s">
        <v>78</v>
      </c>
      <c r="N392" s="6">
        <v>7</v>
      </c>
      <c r="O392" t="s">
        <v>25</v>
      </c>
      <c r="P392">
        <f t="shared" si="6"/>
        <v>17</v>
      </c>
    </row>
    <row r="393" spans="1:16" x14ac:dyDescent="0.2">
      <c r="A393" t="s">
        <v>645</v>
      </c>
      <c r="B393" t="s">
        <v>16</v>
      </c>
      <c r="C393" t="s">
        <v>28</v>
      </c>
      <c r="D393" s="4">
        <v>19995</v>
      </c>
      <c r="E393" s="4">
        <v>45419</v>
      </c>
      <c r="F393" s="9">
        <v>45426</v>
      </c>
      <c r="G393" t="s">
        <v>46</v>
      </c>
      <c r="H393" t="s">
        <v>30</v>
      </c>
      <c r="I393" t="s">
        <v>2535</v>
      </c>
      <c r="J393" s="7">
        <v>5190272</v>
      </c>
      <c r="K393" t="s">
        <v>48</v>
      </c>
      <c r="L393" t="s">
        <v>2527</v>
      </c>
      <c r="M393" t="s">
        <v>78</v>
      </c>
      <c r="N393" s="6">
        <v>7</v>
      </c>
      <c r="O393" t="s">
        <v>2531</v>
      </c>
      <c r="P393">
        <f t="shared" si="6"/>
        <v>70</v>
      </c>
    </row>
    <row r="394" spans="1:16" x14ac:dyDescent="0.2">
      <c r="A394" t="s">
        <v>1980</v>
      </c>
      <c r="B394" t="s">
        <v>56</v>
      </c>
      <c r="C394" t="s">
        <v>92</v>
      </c>
      <c r="D394" s="4">
        <v>26838</v>
      </c>
      <c r="E394" s="4">
        <v>45430</v>
      </c>
      <c r="F394" s="9">
        <v>45431</v>
      </c>
      <c r="G394" t="s">
        <v>74</v>
      </c>
      <c r="H394" t="s">
        <v>2528</v>
      </c>
      <c r="I394" t="s">
        <v>2533</v>
      </c>
      <c r="J394" s="7">
        <v>2806368</v>
      </c>
      <c r="K394" t="s">
        <v>71</v>
      </c>
      <c r="L394" t="s">
        <v>2527</v>
      </c>
      <c r="M394" t="s">
        <v>35</v>
      </c>
      <c r="N394" s="6">
        <v>1</v>
      </c>
      <c r="O394" t="s">
        <v>2531</v>
      </c>
      <c r="P394">
        <f t="shared" si="6"/>
        <v>51</v>
      </c>
    </row>
    <row r="395" spans="1:16" x14ac:dyDescent="0.2">
      <c r="A395" t="s">
        <v>1981</v>
      </c>
      <c r="B395" t="s">
        <v>45</v>
      </c>
      <c r="C395" t="s">
        <v>28</v>
      </c>
      <c r="D395" s="4">
        <v>23642</v>
      </c>
      <c r="E395" s="4">
        <v>45402</v>
      </c>
      <c r="F395" s="9">
        <v>45409</v>
      </c>
      <c r="G395" t="s">
        <v>74</v>
      </c>
      <c r="H395" t="s">
        <v>2528</v>
      </c>
      <c r="I395" t="s">
        <v>2534</v>
      </c>
      <c r="J395" s="7">
        <v>4164288</v>
      </c>
      <c r="K395" t="s">
        <v>71</v>
      </c>
      <c r="L395" t="s">
        <v>23</v>
      </c>
      <c r="M395" t="s">
        <v>24</v>
      </c>
      <c r="N395" s="6">
        <v>7</v>
      </c>
      <c r="O395" t="s">
        <v>36</v>
      </c>
      <c r="P395">
        <f t="shared" si="6"/>
        <v>60</v>
      </c>
    </row>
    <row r="396" spans="1:16" x14ac:dyDescent="0.2">
      <c r="A396" t="s">
        <v>1982</v>
      </c>
      <c r="B396" t="s">
        <v>119</v>
      </c>
      <c r="C396" t="s">
        <v>28</v>
      </c>
      <c r="D396" s="4">
        <v>38479</v>
      </c>
      <c r="E396" s="4">
        <v>45364</v>
      </c>
      <c r="F396" s="9" t="s">
        <v>2536</v>
      </c>
      <c r="G396" t="s">
        <v>18</v>
      </c>
      <c r="H396" t="s">
        <v>2529</v>
      </c>
      <c r="I396" t="s">
        <v>67</v>
      </c>
      <c r="J396" s="7">
        <v>2975000</v>
      </c>
      <c r="K396" t="s">
        <v>43</v>
      </c>
      <c r="L396" t="s">
        <v>34</v>
      </c>
      <c r="M396" t="s">
        <v>24</v>
      </c>
      <c r="N396" s="6" t="s">
        <v>2525</v>
      </c>
      <c r="O396" t="s">
        <v>36</v>
      </c>
      <c r="P396">
        <f t="shared" si="6"/>
        <v>19</v>
      </c>
    </row>
    <row r="397" spans="1:16" x14ac:dyDescent="0.2">
      <c r="A397" t="s">
        <v>1983</v>
      </c>
      <c r="B397" t="s">
        <v>102</v>
      </c>
      <c r="C397" t="s">
        <v>28</v>
      </c>
      <c r="D397" s="4">
        <v>29774</v>
      </c>
      <c r="E397" s="4">
        <v>45461</v>
      </c>
      <c r="F397" s="9">
        <v>45472</v>
      </c>
      <c r="G397" t="s">
        <v>18</v>
      </c>
      <c r="H397" t="s">
        <v>2529</v>
      </c>
      <c r="I397" t="s">
        <v>2534</v>
      </c>
      <c r="J397" s="7">
        <v>819000</v>
      </c>
      <c r="K397" t="s">
        <v>48</v>
      </c>
      <c r="L397" t="s">
        <v>2527</v>
      </c>
      <c r="M397" t="s">
        <v>35</v>
      </c>
      <c r="N397" s="6">
        <v>11</v>
      </c>
      <c r="O397" t="s">
        <v>36</v>
      </c>
      <c r="P397">
        <f t="shared" si="6"/>
        <v>43</v>
      </c>
    </row>
    <row r="398" spans="1:16" x14ac:dyDescent="0.2">
      <c r="A398" t="s">
        <v>650</v>
      </c>
      <c r="B398" t="s">
        <v>114</v>
      </c>
      <c r="C398" t="s">
        <v>28</v>
      </c>
      <c r="D398" s="4">
        <v>32107</v>
      </c>
      <c r="E398" s="4">
        <v>45360</v>
      </c>
      <c r="F398" s="9">
        <v>45370</v>
      </c>
      <c r="G398" t="s">
        <v>83</v>
      </c>
      <c r="H398" t="s">
        <v>66</v>
      </c>
      <c r="I398" t="s">
        <v>2535</v>
      </c>
      <c r="J398" s="7">
        <v>3146500</v>
      </c>
      <c r="K398" t="s">
        <v>43</v>
      </c>
      <c r="L398" t="s">
        <v>34</v>
      </c>
      <c r="M398" t="s">
        <v>78</v>
      </c>
      <c r="N398" s="6">
        <v>10</v>
      </c>
      <c r="O398" t="s">
        <v>2531</v>
      </c>
      <c r="P398">
        <f t="shared" si="6"/>
        <v>37</v>
      </c>
    </row>
    <row r="399" spans="1:16" x14ac:dyDescent="0.2">
      <c r="A399" t="s">
        <v>652</v>
      </c>
      <c r="B399" t="s">
        <v>59</v>
      </c>
      <c r="C399" t="s">
        <v>28</v>
      </c>
      <c r="D399" s="4">
        <v>34738</v>
      </c>
      <c r="E399" s="4">
        <v>45334</v>
      </c>
      <c r="F399" s="9">
        <v>45341</v>
      </c>
      <c r="G399" t="s">
        <v>100</v>
      </c>
      <c r="H399" t="s">
        <v>61</v>
      </c>
      <c r="I399" t="s">
        <v>41</v>
      </c>
      <c r="J399" s="7">
        <v>958088</v>
      </c>
      <c r="K399" t="s">
        <v>48</v>
      </c>
      <c r="L399" t="s">
        <v>2527</v>
      </c>
      <c r="M399" t="s">
        <v>35</v>
      </c>
      <c r="N399" s="6">
        <v>7</v>
      </c>
      <c r="O399" t="s">
        <v>2531</v>
      </c>
      <c r="P399">
        <f t="shared" si="6"/>
        <v>29</v>
      </c>
    </row>
    <row r="400" spans="1:16" x14ac:dyDescent="0.2">
      <c r="A400" t="s">
        <v>1984</v>
      </c>
      <c r="B400" t="s">
        <v>91</v>
      </c>
      <c r="C400" t="s">
        <v>92</v>
      </c>
      <c r="D400" s="4">
        <v>21277</v>
      </c>
      <c r="E400" s="4">
        <v>45443</v>
      </c>
      <c r="F400" s="9">
        <v>45453</v>
      </c>
      <c r="G400" t="s">
        <v>29</v>
      </c>
      <c r="H400" t="s">
        <v>19</v>
      </c>
      <c r="I400" t="s">
        <v>2533</v>
      </c>
      <c r="J400" s="7">
        <v>899500</v>
      </c>
      <c r="K400" t="s">
        <v>43</v>
      </c>
      <c r="L400" t="s">
        <v>2527</v>
      </c>
      <c r="M400" t="s">
        <v>78</v>
      </c>
      <c r="N400" s="6">
        <v>10</v>
      </c>
      <c r="O400" t="s">
        <v>25</v>
      </c>
      <c r="P400">
        <f t="shared" si="6"/>
        <v>66</v>
      </c>
    </row>
    <row r="401" spans="1:16" x14ac:dyDescent="0.2">
      <c r="A401" t="s">
        <v>1985</v>
      </c>
      <c r="B401" t="s">
        <v>118</v>
      </c>
      <c r="C401" t="s">
        <v>92</v>
      </c>
      <c r="D401" s="4">
        <v>38742</v>
      </c>
      <c r="E401" s="4">
        <v>45463</v>
      </c>
      <c r="F401" s="9">
        <v>45474</v>
      </c>
      <c r="G401" t="s">
        <v>18</v>
      </c>
      <c r="H401" t="s">
        <v>2529</v>
      </c>
      <c r="I401" t="s">
        <v>67</v>
      </c>
      <c r="J401" s="7">
        <v>5480716</v>
      </c>
      <c r="K401" t="s">
        <v>48</v>
      </c>
      <c r="L401" t="s">
        <v>2527</v>
      </c>
      <c r="M401" t="s">
        <v>24</v>
      </c>
      <c r="N401" s="6">
        <v>11</v>
      </c>
      <c r="O401" t="s">
        <v>2531</v>
      </c>
      <c r="P401">
        <f t="shared" si="6"/>
        <v>18</v>
      </c>
    </row>
    <row r="402" spans="1:16" x14ac:dyDescent="0.2">
      <c r="A402" t="s">
        <v>655</v>
      </c>
      <c r="B402" t="s">
        <v>102</v>
      </c>
      <c r="C402" t="s">
        <v>28</v>
      </c>
      <c r="D402" s="4">
        <v>23105</v>
      </c>
      <c r="E402" s="4">
        <v>45330</v>
      </c>
      <c r="F402" s="9">
        <v>45337</v>
      </c>
      <c r="G402" t="s">
        <v>74</v>
      </c>
      <c r="H402" t="s">
        <v>2528</v>
      </c>
      <c r="I402" t="s">
        <v>67</v>
      </c>
      <c r="J402" s="7">
        <v>3304000</v>
      </c>
      <c r="K402" t="s">
        <v>48</v>
      </c>
      <c r="L402" t="s">
        <v>23</v>
      </c>
      <c r="M402" t="s">
        <v>78</v>
      </c>
      <c r="N402" s="6">
        <v>7</v>
      </c>
      <c r="O402" t="s">
        <v>36</v>
      </c>
      <c r="P402">
        <f t="shared" si="6"/>
        <v>61</v>
      </c>
    </row>
    <row r="403" spans="1:16" x14ac:dyDescent="0.2">
      <c r="A403" t="s">
        <v>657</v>
      </c>
      <c r="B403" t="s">
        <v>16</v>
      </c>
      <c r="C403" t="s">
        <v>28</v>
      </c>
      <c r="D403" s="4">
        <v>24552</v>
      </c>
      <c r="E403" s="4">
        <v>45354</v>
      </c>
      <c r="F403" s="9">
        <v>45363</v>
      </c>
      <c r="G403" t="s">
        <v>29</v>
      </c>
      <c r="H403" t="s">
        <v>19</v>
      </c>
      <c r="I403" t="s">
        <v>67</v>
      </c>
      <c r="J403" s="7">
        <v>1935036</v>
      </c>
      <c r="K403" t="s">
        <v>48</v>
      </c>
      <c r="L403" t="s">
        <v>23</v>
      </c>
      <c r="M403" t="s">
        <v>35</v>
      </c>
      <c r="N403" s="6">
        <v>9</v>
      </c>
      <c r="O403" t="s">
        <v>36</v>
      </c>
      <c r="P403">
        <f t="shared" si="6"/>
        <v>57</v>
      </c>
    </row>
    <row r="404" spans="1:16" x14ac:dyDescent="0.2">
      <c r="A404" t="s">
        <v>1986</v>
      </c>
      <c r="B404" t="s">
        <v>27</v>
      </c>
      <c r="C404" t="s">
        <v>28</v>
      </c>
      <c r="D404" s="4">
        <v>39376</v>
      </c>
      <c r="E404" s="4">
        <v>45416</v>
      </c>
      <c r="F404" s="9" t="s">
        <v>2536</v>
      </c>
      <c r="G404" t="s">
        <v>74</v>
      </c>
      <c r="H404" t="s">
        <v>2528</v>
      </c>
      <c r="I404" t="s">
        <v>2535</v>
      </c>
      <c r="J404" s="7">
        <v>2678120</v>
      </c>
      <c r="K404" t="s">
        <v>71</v>
      </c>
      <c r="L404" t="s">
        <v>2527</v>
      </c>
      <c r="M404" t="s">
        <v>24</v>
      </c>
      <c r="N404" s="6" t="s">
        <v>2525</v>
      </c>
      <c r="O404" t="s">
        <v>36</v>
      </c>
      <c r="P404">
        <f t="shared" si="6"/>
        <v>17</v>
      </c>
    </row>
    <row r="405" spans="1:16" x14ac:dyDescent="0.2">
      <c r="A405" t="s">
        <v>1987</v>
      </c>
      <c r="B405" t="s">
        <v>87</v>
      </c>
      <c r="C405" t="s">
        <v>28</v>
      </c>
      <c r="D405" s="4">
        <v>21931</v>
      </c>
      <c r="E405" s="4">
        <v>45425</v>
      </c>
      <c r="F405" s="9">
        <v>45427</v>
      </c>
      <c r="G405" t="s">
        <v>18</v>
      </c>
      <c r="H405" t="s">
        <v>2529</v>
      </c>
      <c r="I405" t="s">
        <v>41</v>
      </c>
      <c r="J405" s="7">
        <v>2593500</v>
      </c>
      <c r="K405" t="s">
        <v>43</v>
      </c>
      <c r="L405" t="s">
        <v>2527</v>
      </c>
      <c r="M405" t="s">
        <v>24</v>
      </c>
      <c r="N405" s="6">
        <v>2</v>
      </c>
      <c r="O405" t="s">
        <v>36</v>
      </c>
      <c r="P405">
        <f t="shared" si="6"/>
        <v>64</v>
      </c>
    </row>
    <row r="406" spans="1:16" x14ac:dyDescent="0.2">
      <c r="A406" t="s">
        <v>663</v>
      </c>
      <c r="B406" t="s">
        <v>87</v>
      </c>
      <c r="C406" t="s">
        <v>92</v>
      </c>
      <c r="D406" s="4">
        <v>24003</v>
      </c>
      <c r="E406" s="4">
        <v>45362</v>
      </c>
      <c r="F406" s="9">
        <v>45376</v>
      </c>
      <c r="G406" t="s">
        <v>100</v>
      </c>
      <c r="H406" t="s">
        <v>61</v>
      </c>
      <c r="I406" t="s">
        <v>2533</v>
      </c>
      <c r="J406" s="7">
        <v>1158500</v>
      </c>
      <c r="K406" t="s">
        <v>43</v>
      </c>
      <c r="L406" t="s">
        <v>2527</v>
      </c>
      <c r="M406" t="s">
        <v>78</v>
      </c>
      <c r="N406" s="6">
        <v>14</v>
      </c>
      <c r="O406" t="s">
        <v>25</v>
      </c>
      <c r="P406">
        <f t="shared" si="6"/>
        <v>59</v>
      </c>
    </row>
    <row r="407" spans="1:16" x14ac:dyDescent="0.2">
      <c r="A407" t="s">
        <v>1988</v>
      </c>
      <c r="B407" t="s">
        <v>56</v>
      </c>
      <c r="C407" t="s">
        <v>28</v>
      </c>
      <c r="D407" s="4">
        <v>30314</v>
      </c>
      <c r="E407" s="4">
        <v>45297</v>
      </c>
      <c r="F407" s="9">
        <v>45308</v>
      </c>
      <c r="G407" t="s">
        <v>72</v>
      </c>
      <c r="H407" t="s">
        <v>2529</v>
      </c>
      <c r="I407" t="s">
        <v>2533</v>
      </c>
      <c r="J407" s="7">
        <v>4643332</v>
      </c>
      <c r="K407" t="s">
        <v>48</v>
      </c>
      <c r="L407" t="s">
        <v>2527</v>
      </c>
      <c r="M407" t="s">
        <v>24</v>
      </c>
      <c r="N407" s="6">
        <v>11</v>
      </c>
      <c r="O407" t="s">
        <v>25</v>
      </c>
      <c r="P407">
        <f t="shared" si="6"/>
        <v>42</v>
      </c>
    </row>
    <row r="408" spans="1:16" x14ac:dyDescent="0.2">
      <c r="A408" t="s">
        <v>1989</v>
      </c>
      <c r="B408" t="s">
        <v>118</v>
      </c>
      <c r="C408" t="s">
        <v>92</v>
      </c>
      <c r="D408" s="4">
        <v>31141</v>
      </c>
      <c r="E408" s="4">
        <v>45369</v>
      </c>
      <c r="F408" s="9">
        <v>45382</v>
      </c>
      <c r="G408" t="s">
        <v>60</v>
      </c>
      <c r="H408" t="s">
        <v>66</v>
      </c>
      <c r="I408" t="s">
        <v>41</v>
      </c>
      <c r="J408" s="7">
        <v>1614416</v>
      </c>
      <c r="K408" t="s">
        <v>48</v>
      </c>
      <c r="L408" t="s">
        <v>2527</v>
      </c>
      <c r="M408" t="s">
        <v>35</v>
      </c>
      <c r="N408" s="6">
        <v>13</v>
      </c>
      <c r="O408" t="s">
        <v>25</v>
      </c>
      <c r="P408">
        <f t="shared" si="6"/>
        <v>39</v>
      </c>
    </row>
    <row r="409" spans="1:16" x14ac:dyDescent="0.2">
      <c r="A409" t="s">
        <v>1990</v>
      </c>
      <c r="B409" t="s">
        <v>56</v>
      </c>
      <c r="C409" t="s">
        <v>28</v>
      </c>
      <c r="D409" s="4">
        <v>31795</v>
      </c>
      <c r="E409" s="4">
        <v>45400</v>
      </c>
      <c r="F409" s="9">
        <v>45412</v>
      </c>
      <c r="G409" t="s">
        <v>40</v>
      </c>
      <c r="H409" t="s">
        <v>75</v>
      </c>
      <c r="I409" t="s">
        <v>2533</v>
      </c>
      <c r="J409" s="7">
        <v>3363500</v>
      </c>
      <c r="K409" t="s">
        <v>71</v>
      </c>
      <c r="L409" t="s">
        <v>34</v>
      </c>
      <c r="M409" t="s">
        <v>35</v>
      </c>
      <c r="N409" s="6">
        <v>12</v>
      </c>
      <c r="O409" t="s">
        <v>2531</v>
      </c>
      <c r="P409">
        <f t="shared" si="6"/>
        <v>37</v>
      </c>
    </row>
    <row r="410" spans="1:16" x14ac:dyDescent="0.2">
      <c r="A410" t="s">
        <v>1991</v>
      </c>
      <c r="B410" t="s">
        <v>87</v>
      </c>
      <c r="C410" t="s">
        <v>92</v>
      </c>
      <c r="D410" s="4">
        <v>31392</v>
      </c>
      <c r="E410" s="4">
        <v>45452</v>
      </c>
      <c r="F410" s="9">
        <v>45454</v>
      </c>
      <c r="G410" t="s">
        <v>46</v>
      </c>
      <c r="H410" t="s">
        <v>30</v>
      </c>
      <c r="I410" t="s">
        <v>2535</v>
      </c>
      <c r="J410" s="7">
        <v>5390188</v>
      </c>
      <c r="K410" t="s">
        <v>43</v>
      </c>
      <c r="L410" t="s">
        <v>2527</v>
      </c>
      <c r="M410" t="s">
        <v>78</v>
      </c>
      <c r="N410" s="6">
        <v>2</v>
      </c>
      <c r="O410" t="s">
        <v>2531</v>
      </c>
      <c r="P410">
        <f t="shared" si="6"/>
        <v>39</v>
      </c>
    </row>
    <row r="411" spans="1:16" x14ac:dyDescent="0.2">
      <c r="A411" t="s">
        <v>667</v>
      </c>
      <c r="B411" t="s">
        <v>38</v>
      </c>
      <c r="C411" t="s">
        <v>28</v>
      </c>
      <c r="D411" s="4">
        <v>37696</v>
      </c>
      <c r="E411" s="4">
        <v>45364</v>
      </c>
      <c r="F411" s="9" t="s">
        <v>2536</v>
      </c>
      <c r="G411" t="s">
        <v>83</v>
      </c>
      <c r="H411" t="s">
        <v>66</v>
      </c>
      <c r="I411" t="s">
        <v>2533</v>
      </c>
      <c r="J411" s="7">
        <v>3289184</v>
      </c>
      <c r="K411" t="s">
        <v>48</v>
      </c>
      <c r="L411" t="s">
        <v>34</v>
      </c>
      <c r="M411" t="s">
        <v>24</v>
      </c>
      <c r="N411" s="6" t="s">
        <v>2525</v>
      </c>
      <c r="O411" t="s">
        <v>25</v>
      </c>
      <c r="P411">
        <f t="shared" si="6"/>
        <v>21</v>
      </c>
    </row>
    <row r="412" spans="1:16" x14ac:dyDescent="0.2">
      <c r="A412" t="s">
        <v>669</v>
      </c>
      <c r="B412" t="s">
        <v>114</v>
      </c>
      <c r="C412" t="s">
        <v>28</v>
      </c>
      <c r="D412" s="4">
        <v>26842</v>
      </c>
      <c r="E412" s="4">
        <v>45304</v>
      </c>
      <c r="F412" s="9">
        <v>45314</v>
      </c>
      <c r="G412" t="s">
        <v>46</v>
      </c>
      <c r="H412" t="s">
        <v>30</v>
      </c>
      <c r="I412" t="s">
        <v>2533</v>
      </c>
      <c r="J412" s="7">
        <v>1689856</v>
      </c>
      <c r="K412" t="s">
        <v>48</v>
      </c>
      <c r="L412" t="s">
        <v>2527</v>
      </c>
      <c r="M412" t="s">
        <v>78</v>
      </c>
      <c r="N412" s="6">
        <v>10</v>
      </c>
      <c r="O412" t="s">
        <v>25</v>
      </c>
      <c r="P412">
        <f t="shared" si="6"/>
        <v>51</v>
      </c>
    </row>
    <row r="413" spans="1:16" x14ac:dyDescent="0.2">
      <c r="A413" t="s">
        <v>671</v>
      </c>
      <c r="B413" t="s">
        <v>51</v>
      </c>
      <c r="C413" t="s">
        <v>28</v>
      </c>
      <c r="D413" s="4">
        <v>26986</v>
      </c>
      <c r="E413" s="4">
        <v>45418</v>
      </c>
      <c r="F413" s="9" t="s">
        <v>2536</v>
      </c>
      <c r="G413" t="s">
        <v>50</v>
      </c>
      <c r="H413" t="s">
        <v>2528</v>
      </c>
      <c r="I413" t="s">
        <v>67</v>
      </c>
      <c r="J413" s="7">
        <v>2561188</v>
      </c>
      <c r="K413" t="s">
        <v>71</v>
      </c>
      <c r="L413" t="s">
        <v>23</v>
      </c>
      <c r="M413" t="s">
        <v>78</v>
      </c>
      <c r="N413" s="6" t="s">
        <v>2525</v>
      </c>
      <c r="O413" t="s">
        <v>36</v>
      </c>
      <c r="P413">
        <f t="shared" si="6"/>
        <v>51</v>
      </c>
    </row>
    <row r="414" spans="1:16" x14ac:dyDescent="0.2">
      <c r="A414" t="s">
        <v>1992</v>
      </c>
      <c r="B414" t="s">
        <v>91</v>
      </c>
      <c r="C414" t="s">
        <v>92</v>
      </c>
      <c r="D414" s="4">
        <v>33041</v>
      </c>
      <c r="E414" s="4">
        <v>45386</v>
      </c>
      <c r="F414" s="9" t="s">
        <v>2536</v>
      </c>
      <c r="G414" t="s">
        <v>100</v>
      </c>
      <c r="H414" t="s">
        <v>61</v>
      </c>
      <c r="I414" t="s">
        <v>41</v>
      </c>
      <c r="J414" s="7">
        <v>2874264</v>
      </c>
      <c r="K414" t="s">
        <v>48</v>
      </c>
      <c r="L414" t="s">
        <v>2527</v>
      </c>
      <c r="M414" t="s">
        <v>24</v>
      </c>
      <c r="N414" s="6" t="s">
        <v>2525</v>
      </c>
      <c r="O414" t="s">
        <v>36</v>
      </c>
      <c r="P414">
        <f t="shared" si="6"/>
        <v>34</v>
      </c>
    </row>
    <row r="415" spans="1:16" x14ac:dyDescent="0.2">
      <c r="A415" t="s">
        <v>673</v>
      </c>
      <c r="B415" t="s">
        <v>16</v>
      </c>
      <c r="C415" t="s">
        <v>92</v>
      </c>
      <c r="D415" s="4">
        <v>20189</v>
      </c>
      <c r="E415" s="4">
        <v>45377</v>
      </c>
      <c r="F415" s="9">
        <v>45383</v>
      </c>
      <c r="G415" t="s">
        <v>88</v>
      </c>
      <c r="H415" t="s">
        <v>66</v>
      </c>
      <c r="I415" t="s">
        <v>2535</v>
      </c>
      <c r="J415" s="7">
        <v>5163868</v>
      </c>
      <c r="K415" t="s">
        <v>48</v>
      </c>
      <c r="L415" t="s">
        <v>2527</v>
      </c>
      <c r="M415" t="s">
        <v>24</v>
      </c>
      <c r="N415" s="6">
        <v>6</v>
      </c>
      <c r="O415" t="s">
        <v>2531</v>
      </c>
      <c r="P415">
        <f t="shared" si="6"/>
        <v>69</v>
      </c>
    </row>
    <row r="416" spans="1:16" x14ac:dyDescent="0.2">
      <c r="A416" t="s">
        <v>674</v>
      </c>
      <c r="B416" t="s">
        <v>119</v>
      </c>
      <c r="C416" t="s">
        <v>28</v>
      </c>
      <c r="D416" s="4">
        <v>26793</v>
      </c>
      <c r="E416" s="4">
        <v>45420</v>
      </c>
      <c r="F416" s="9">
        <v>45435</v>
      </c>
      <c r="G416" t="s">
        <v>46</v>
      </c>
      <c r="H416" t="s">
        <v>30</v>
      </c>
      <c r="I416" t="s">
        <v>2533</v>
      </c>
      <c r="J416" s="7">
        <v>4473592</v>
      </c>
      <c r="K416" t="s">
        <v>48</v>
      </c>
      <c r="L416" t="s">
        <v>2527</v>
      </c>
      <c r="M416" t="s">
        <v>35</v>
      </c>
      <c r="N416" s="6">
        <v>15</v>
      </c>
      <c r="O416" t="s">
        <v>36</v>
      </c>
      <c r="P416">
        <f t="shared" si="6"/>
        <v>51</v>
      </c>
    </row>
    <row r="417" spans="1:16" x14ac:dyDescent="0.2">
      <c r="A417" t="s">
        <v>1993</v>
      </c>
      <c r="B417" t="s">
        <v>102</v>
      </c>
      <c r="C417" t="s">
        <v>28</v>
      </c>
      <c r="D417" s="4">
        <v>27534</v>
      </c>
      <c r="E417" s="4">
        <v>45448</v>
      </c>
      <c r="F417" s="9">
        <v>45455</v>
      </c>
      <c r="G417" t="s">
        <v>83</v>
      </c>
      <c r="H417" t="s">
        <v>66</v>
      </c>
      <c r="I417" t="s">
        <v>2533</v>
      </c>
      <c r="J417" s="7">
        <v>1542748</v>
      </c>
      <c r="K417" t="s">
        <v>48</v>
      </c>
      <c r="L417" t="s">
        <v>23</v>
      </c>
      <c r="M417" t="s">
        <v>35</v>
      </c>
      <c r="N417" s="6">
        <v>7</v>
      </c>
      <c r="O417" t="s">
        <v>25</v>
      </c>
      <c r="P417">
        <f t="shared" si="6"/>
        <v>49</v>
      </c>
    </row>
    <row r="418" spans="1:16" x14ac:dyDescent="0.2">
      <c r="A418" t="s">
        <v>675</v>
      </c>
      <c r="B418" t="s">
        <v>56</v>
      </c>
      <c r="C418" t="s">
        <v>92</v>
      </c>
      <c r="D418" s="4">
        <v>23623</v>
      </c>
      <c r="E418" s="4">
        <v>45403</v>
      </c>
      <c r="F418" s="9">
        <v>45418</v>
      </c>
      <c r="G418" t="s">
        <v>88</v>
      </c>
      <c r="H418" t="s">
        <v>66</v>
      </c>
      <c r="I418" t="s">
        <v>2533</v>
      </c>
      <c r="J418" s="7">
        <v>4707456</v>
      </c>
      <c r="K418" t="s">
        <v>71</v>
      </c>
      <c r="L418" t="s">
        <v>2527</v>
      </c>
      <c r="M418" t="s">
        <v>35</v>
      </c>
      <c r="N418" s="6">
        <v>15</v>
      </c>
      <c r="O418" t="s">
        <v>25</v>
      </c>
      <c r="P418">
        <f t="shared" si="6"/>
        <v>60</v>
      </c>
    </row>
    <row r="419" spans="1:16" x14ac:dyDescent="0.2">
      <c r="A419" t="s">
        <v>676</v>
      </c>
      <c r="B419" t="s">
        <v>102</v>
      </c>
      <c r="C419" t="s">
        <v>92</v>
      </c>
      <c r="D419" s="4">
        <v>24939</v>
      </c>
      <c r="E419" s="4">
        <v>45338</v>
      </c>
      <c r="F419" s="9">
        <v>45352</v>
      </c>
      <c r="G419" t="s">
        <v>18</v>
      </c>
      <c r="H419" t="s">
        <v>2529</v>
      </c>
      <c r="I419" t="s">
        <v>2535</v>
      </c>
      <c r="J419" s="7">
        <v>2014248</v>
      </c>
      <c r="K419" t="s">
        <v>43</v>
      </c>
      <c r="L419" t="s">
        <v>23</v>
      </c>
      <c r="M419" t="s">
        <v>78</v>
      </c>
      <c r="N419" s="6">
        <v>14</v>
      </c>
      <c r="O419" t="s">
        <v>36</v>
      </c>
      <c r="P419">
        <f t="shared" si="6"/>
        <v>56</v>
      </c>
    </row>
    <row r="420" spans="1:16" x14ac:dyDescent="0.2">
      <c r="A420" t="s">
        <v>1994</v>
      </c>
      <c r="B420" t="s">
        <v>16</v>
      </c>
      <c r="C420" t="s">
        <v>92</v>
      </c>
      <c r="D420" s="4">
        <v>19114</v>
      </c>
      <c r="E420" s="4">
        <v>45466</v>
      </c>
      <c r="F420" s="9">
        <v>45476</v>
      </c>
      <c r="G420" t="s">
        <v>83</v>
      </c>
      <c r="H420" t="s">
        <v>66</v>
      </c>
      <c r="I420" t="s">
        <v>67</v>
      </c>
      <c r="J420" s="7">
        <v>1003352</v>
      </c>
      <c r="K420" t="s">
        <v>71</v>
      </c>
      <c r="L420" t="s">
        <v>2527</v>
      </c>
      <c r="M420" t="s">
        <v>24</v>
      </c>
      <c r="N420" s="6">
        <v>10</v>
      </c>
      <c r="O420" t="s">
        <v>2531</v>
      </c>
      <c r="P420">
        <f t="shared" si="6"/>
        <v>72</v>
      </c>
    </row>
    <row r="421" spans="1:16" x14ac:dyDescent="0.2">
      <c r="A421" t="s">
        <v>679</v>
      </c>
      <c r="B421" t="s">
        <v>59</v>
      </c>
      <c r="C421" t="s">
        <v>92</v>
      </c>
      <c r="D421" s="4">
        <v>39765</v>
      </c>
      <c r="E421" s="4">
        <v>45375</v>
      </c>
      <c r="F421" s="9">
        <v>45376</v>
      </c>
      <c r="G421" t="s">
        <v>83</v>
      </c>
      <c r="H421" t="s">
        <v>66</v>
      </c>
      <c r="I421" t="s">
        <v>67</v>
      </c>
      <c r="J421" s="7">
        <v>920368</v>
      </c>
      <c r="K421" t="s">
        <v>48</v>
      </c>
      <c r="L421" t="s">
        <v>2527</v>
      </c>
      <c r="M421" t="s">
        <v>78</v>
      </c>
      <c r="N421" s="6">
        <v>1</v>
      </c>
      <c r="O421" t="s">
        <v>36</v>
      </c>
      <c r="P421">
        <f t="shared" si="6"/>
        <v>16</v>
      </c>
    </row>
    <row r="422" spans="1:16" x14ac:dyDescent="0.2">
      <c r="A422" t="s">
        <v>680</v>
      </c>
      <c r="B422" t="s">
        <v>64</v>
      </c>
      <c r="C422" t="s">
        <v>39</v>
      </c>
      <c r="D422" s="4">
        <v>25087</v>
      </c>
      <c r="E422" s="4">
        <v>45391</v>
      </c>
      <c r="F422" s="9">
        <v>45404</v>
      </c>
      <c r="G422" t="s">
        <v>74</v>
      </c>
      <c r="H422" t="s">
        <v>2528</v>
      </c>
      <c r="I422" t="s">
        <v>2533</v>
      </c>
      <c r="J422" s="7">
        <v>3447500</v>
      </c>
      <c r="K422" t="s">
        <v>43</v>
      </c>
      <c r="L422" t="s">
        <v>23</v>
      </c>
      <c r="M422" t="s">
        <v>78</v>
      </c>
      <c r="N422" s="6">
        <v>13</v>
      </c>
      <c r="O422" t="s">
        <v>36</v>
      </c>
      <c r="P422">
        <f t="shared" si="6"/>
        <v>56</v>
      </c>
    </row>
    <row r="423" spans="1:16" x14ac:dyDescent="0.2">
      <c r="A423" t="s">
        <v>1995</v>
      </c>
      <c r="B423" t="s">
        <v>51</v>
      </c>
      <c r="C423" t="s">
        <v>28</v>
      </c>
      <c r="D423" s="4">
        <v>32860</v>
      </c>
      <c r="E423" s="4">
        <v>45413</v>
      </c>
      <c r="F423" s="9">
        <v>45420</v>
      </c>
      <c r="G423" t="s">
        <v>29</v>
      </c>
      <c r="H423" t="s">
        <v>19</v>
      </c>
      <c r="I423" t="s">
        <v>2533</v>
      </c>
      <c r="J423" s="7">
        <v>5118604</v>
      </c>
      <c r="K423" t="s">
        <v>71</v>
      </c>
      <c r="L423" t="s">
        <v>2527</v>
      </c>
      <c r="M423" t="s">
        <v>35</v>
      </c>
      <c r="N423" s="6">
        <v>7</v>
      </c>
      <c r="O423" t="s">
        <v>36</v>
      </c>
      <c r="P423">
        <f t="shared" si="6"/>
        <v>35</v>
      </c>
    </row>
    <row r="424" spans="1:16" x14ac:dyDescent="0.2">
      <c r="A424" t="s">
        <v>1996</v>
      </c>
      <c r="B424" t="s">
        <v>91</v>
      </c>
      <c r="C424" t="s">
        <v>28</v>
      </c>
      <c r="D424" s="4">
        <v>23345</v>
      </c>
      <c r="E424" s="4">
        <v>45426</v>
      </c>
      <c r="F424" s="9">
        <v>45433</v>
      </c>
      <c r="G424" t="s">
        <v>100</v>
      </c>
      <c r="H424" t="s">
        <v>61</v>
      </c>
      <c r="I424" t="s">
        <v>67</v>
      </c>
      <c r="J424" s="7">
        <v>1263500</v>
      </c>
      <c r="K424" t="s">
        <v>48</v>
      </c>
      <c r="L424" t="s">
        <v>2527</v>
      </c>
      <c r="M424" t="s">
        <v>78</v>
      </c>
      <c r="N424" s="6">
        <v>7</v>
      </c>
      <c r="O424" t="s">
        <v>25</v>
      </c>
      <c r="P424">
        <f t="shared" si="6"/>
        <v>61</v>
      </c>
    </row>
    <row r="425" spans="1:16" x14ac:dyDescent="0.2">
      <c r="A425" t="s">
        <v>684</v>
      </c>
      <c r="B425" t="s">
        <v>105</v>
      </c>
      <c r="C425" t="s">
        <v>92</v>
      </c>
      <c r="D425" s="4">
        <v>34997</v>
      </c>
      <c r="E425" s="4">
        <v>45397</v>
      </c>
      <c r="F425" s="9">
        <v>45409</v>
      </c>
      <c r="G425" t="s">
        <v>83</v>
      </c>
      <c r="H425" t="s">
        <v>66</v>
      </c>
      <c r="I425" t="s">
        <v>2535</v>
      </c>
      <c r="J425" s="7">
        <v>1007124</v>
      </c>
      <c r="K425" t="s">
        <v>48</v>
      </c>
      <c r="L425" t="s">
        <v>2527</v>
      </c>
      <c r="M425" t="s">
        <v>35</v>
      </c>
      <c r="N425" s="6">
        <v>12</v>
      </c>
      <c r="O425" t="s">
        <v>36</v>
      </c>
      <c r="P425">
        <f t="shared" si="6"/>
        <v>29</v>
      </c>
    </row>
    <row r="426" spans="1:16" x14ac:dyDescent="0.2">
      <c r="A426" t="s">
        <v>686</v>
      </c>
      <c r="B426" t="s">
        <v>150</v>
      </c>
      <c r="C426" t="s">
        <v>28</v>
      </c>
      <c r="D426" s="4">
        <v>28017</v>
      </c>
      <c r="E426" s="4">
        <v>45442</v>
      </c>
      <c r="F426" s="9">
        <v>45450</v>
      </c>
      <c r="G426" t="s">
        <v>83</v>
      </c>
      <c r="H426" t="s">
        <v>66</v>
      </c>
      <c r="I426" t="s">
        <v>41</v>
      </c>
      <c r="J426" s="7">
        <v>1821876</v>
      </c>
      <c r="K426" t="s">
        <v>48</v>
      </c>
      <c r="L426" t="s">
        <v>34</v>
      </c>
      <c r="M426" t="s">
        <v>24</v>
      </c>
      <c r="N426" s="6">
        <v>8</v>
      </c>
      <c r="O426" t="s">
        <v>2531</v>
      </c>
      <c r="P426">
        <f t="shared" si="6"/>
        <v>48</v>
      </c>
    </row>
    <row r="427" spans="1:16" x14ac:dyDescent="0.2">
      <c r="A427" t="s">
        <v>688</v>
      </c>
      <c r="B427" t="s">
        <v>82</v>
      </c>
      <c r="C427" t="s">
        <v>92</v>
      </c>
      <c r="D427" s="4">
        <v>18851</v>
      </c>
      <c r="E427" s="4">
        <v>45393</v>
      </c>
      <c r="F427" s="9" t="s">
        <v>2536</v>
      </c>
      <c r="G427" t="s">
        <v>72</v>
      </c>
      <c r="H427" t="s">
        <v>2529</v>
      </c>
      <c r="I427" t="s">
        <v>2533</v>
      </c>
      <c r="J427" s="7">
        <v>3504188</v>
      </c>
      <c r="K427" t="s">
        <v>48</v>
      </c>
      <c r="L427" t="s">
        <v>2527</v>
      </c>
      <c r="M427" t="s">
        <v>24</v>
      </c>
      <c r="N427" s="6" t="s">
        <v>2525</v>
      </c>
      <c r="O427" t="s">
        <v>2531</v>
      </c>
      <c r="P427">
        <f t="shared" si="6"/>
        <v>73</v>
      </c>
    </row>
    <row r="428" spans="1:16" x14ac:dyDescent="0.2">
      <c r="A428" t="s">
        <v>1997</v>
      </c>
      <c r="B428" t="s">
        <v>45</v>
      </c>
      <c r="C428" t="s">
        <v>92</v>
      </c>
      <c r="D428" s="4">
        <v>22362</v>
      </c>
      <c r="E428" s="4">
        <v>45295</v>
      </c>
      <c r="F428" s="9" t="s">
        <v>2536</v>
      </c>
      <c r="G428" t="s">
        <v>88</v>
      </c>
      <c r="H428" t="s">
        <v>66</v>
      </c>
      <c r="I428" t="s">
        <v>67</v>
      </c>
      <c r="J428" s="7">
        <v>580888</v>
      </c>
      <c r="K428" t="s">
        <v>71</v>
      </c>
      <c r="L428" t="s">
        <v>23</v>
      </c>
      <c r="M428" t="s">
        <v>24</v>
      </c>
      <c r="N428" s="6" t="s">
        <v>2525</v>
      </c>
      <c r="O428" t="s">
        <v>2531</v>
      </c>
      <c r="P428">
        <f t="shared" si="6"/>
        <v>63</v>
      </c>
    </row>
    <row r="429" spans="1:16" x14ac:dyDescent="0.2">
      <c r="A429" t="s">
        <v>1998</v>
      </c>
      <c r="B429" t="s">
        <v>51</v>
      </c>
      <c r="C429" t="s">
        <v>92</v>
      </c>
      <c r="D429" s="4">
        <v>28124</v>
      </c>
      <c r="E429" s="4">
        <v>45329</v>
      </c>
      <c r="F429" s="9">
        <v>45331</v>
      </c>
      <c r="G429" t="s">
        <v>46</v>
      </c>
      <c r="H429" t="s">
        <v>30</v>
      </c>
      <c r="I429" t="s">
        <v>2534</v>
      </c>
      <c r="J429" s="7">
        <v>3813492</v>
      </c>
      <c r="K429" t="s">
        <v>71</v>
      </c>
      <c r="L429" t="s">
        <v>34</v>
      </c>
      <c r="M429" t="s">
        <v>78</v>
      </c>
      <c r="N429" s="6">
        <v>2</v>
      </c>
      <c r="O429" t="s">
        <v>36</v>
      </c>
      <c r="P429">
        <f t="shared" si="6"/>
        <v>48</v>
      </c>
    </row>
    <row r="430" spans="1:16" x14ac:dyDescent="0.2">
      <c r="A430" t="s">
        <v>1999</v>
      </c>
      <c r="B430" t="s">
        <v>118</v>
      </c>
      <c r="C430" t="s">
        <v>92</v>
      </c>
      <c r="D430" s="4">
        <v>29203</v>
      </c>
      <c r="E430" s="4">
        <v>45318</v>
      </c>
      <c r="F430" s="9">
        <v>45332</v>
      </c>
      <c r="G430" t="s">
        <v>18</v>
      </c>
      <c r="H430" t="s">
        <v>2529</v>
      </c>
      <c r="I430" t="s">
        <v>2534</v>
      </c>
      <c r="J430" s="7">
        <v>4322500</v>
      </c>
      <c r="K430" t="s">
        <v>48</v>
      </c>
      <c r="L430" t="s">
        <v>2527</v>
      </c>
      <c r="M430" t="s">
        <v>78</v>
      </c>
      <c r="N430" s="6">
        <v>14</v>
      </c>
      <c r="O430" t="s">
        <v>2531</v>
      </c>
      <c r="P430">
        <f t="shared" si="6"/>
        <v>45</v>
      </c>
    </row>
    <row r="431" spans="1:16" x14ac:dyDescent="0.2">
      <c r="A431" t="s">
        <v>2000</v>
      </c>
      <c r="B431" t="s">
        <v>56</v>
      </c>
      <c r="C431" t="s">
        <v>28</v>
      </c>
      <c r="D431" s="4">
        <v>20253</v>
      </c>
      <c r="E431" s="4">
        <v>45400</v>
      </c>
      <c r="F431" s="9">
        <v>45405</v>
      </c>
      <c r="G431" t="s">
        <v>100</v>
      </c>
      <c r="H431" t="s">
        <v>61</v>
      </c>
      <c r="I431" t="s">
        <v>2533</v>
      </c>
      <c r="J431" s="7">
        <v>4812500</v>
      </c>
      <c r="K431" t="s">
        <v>71</v>
      </c>
      <c r="L431" t="s">
        <v>2527</v>
      </c>
      <c r="M431" t="s">
        <v>35</v>
      </c>
      <c r="N431" s="6">
        <v>5</v>
      </c>
      <c r="O431" t="s">
        <v>2531</v>
      </c>
      <c r="P431">
        <f t="shared" si="6"/>
        <v>69</v>
      </c>
    </row>
    <row r="432" spans="1:16" x14ac:dyDescent="0.2">
      <c r="A432" t="s">
        <v>694</v>
      </c>
      <c r="B432" t="s">
        <v>56</v>
      </c>
      <c r="C432" t="s">
        <v>92</v>
      </c>
      <c r="D432" s="4">
        <v>32620</v>
      </c>
      <c r="E432" s="4">
        <v>45421</v>
      </c>
      <c r="F432" s="9">
        <v>45432</v>
      </c>
      <c r="G432" t="s">
        <v>18</v>
      </c>
      <c r="H432" t="s">
        <v>2529</v>
      </c>
      <c r="I432" t="s">
        <v>41</v>
      </c>
      <c r="J432" s="7">
        <v>5450540</v>
      </c>
      <c r="K432" t="s">
        <v>48</v>
      </c>
      <c r="L432" t="s">
        <v>2527</v>
      </c>
      <c r="M432" t="s">
        <v>24</v>
      </c>
      <c r="N432" s="6">
        <v>11</v>
      </c>
      <c r="O432" t="s">
        <v>2531</v>
      </c>
      <c r="P432">
        <f t="shared" si="6"/>
        <v>35</v>
      </c>
    </row>
    <row r="433" spans="1:16" x14ac:dyDescent="0.2">
      <c r="A433" t="s">
        <v>2001</v>
      </c>
      <c r="B433" t="s">
        <v>102</v>
      </c>
      <c r="C433" t="s">
        <v>39</v>
      </c>
      <c r="D433" s="4">
        <v>33741</v>
      </c>
      <c r="E433" s="4">
        <v>45451</v>
      </c>
      <c r="F433" s="9">
        <v>45463</v>
      </c>
      <c r="G433" t="s">
        <v>72</v>
      </c>
      <c r="H433" t="s">
        <v>2529</v>
      </c>
      <c r="I433" t="s">
        <v>67</v>
      </c>
      <c r="J433" s="7">
        <v>1712488</v>
      </c>
      <c r="K433" t="s">
        <v>48</v>
      </c>
      <c r="L433" t="s">
        <v>2527</v>
      </c>
      <c r="M433" t="s">
        <v>35</v>
      </c>
      <c r="N433" s="6">
        <v>12</v>
      </c>
      <c r="O433" t="s">
        <v>36</v>
      </c>
      <c r="P433">
        <f t="shared" si="6"/>
        <v>32</v>
      </c>
    </row>
    <row r="434" spans="1:16" x14ac:dyDescent="0.2">
      <c r="A434" t="s">
        <v>697</v>
      </c>
      <c r="B434" t="s">
        <v>51</v>
      </c>
      <c r="C434" t="s">
        <v>92</v>
      </c>
      <c r="D434" s="4">
        <v>19805</v>
      </c>
      <c r="E434" s="4">
        <v>45383</v>
      </c>
      <c r="F434" s="9">
        <v>45386</v>
      </c>
      <c r="G434" t="s">
        <v>40</v>
      </c>
      <c r="H434" t="s">
        <v>75</v>
      </c>
      <c r="I434" t="s">
        <v>41</v>
      </c>
      <c r="J434" s="7">
        <v>805000</v>
      </c>
      <c r="K434" t="s">
        <v>71</v>
      </c>
      <c r="L434" t="s">
        <v>34</v>
      </c>
      <c r="M434" t="s">
        <v>24</v>
      </c>
      <c r="N434" s="6">
        <v>3</v>
      </c>
      <c r="O434" t="s">
        <v>2531</v>
      </c>
      <c r="P434">
        <f t="shared" si="6"/>
        <v>70</v>
      </c>
    </row>
    <row r="435" spans="1:16" x14ac:dyDescent="0.2">
      <c r="A435" t="s">
        <v>699</v>
      </c>
      <c r="B435" t="s">
        <v>56</v>
      </c>
      <c r="C435" t="s">
        <v>92</v>
      </c>
      <c r="D435" s="4">
        <v>29415</v>
      </c>
      <c r="E435" s="4">
        <v>45303</v>
      </c>
      <c r="F435" s="9">
        <v>45317</v>
      </c>
      <c r="G435" t="s">
        <v>88</v>
      </c>
      <c r="H435" t="s">
        <v>66</v>
      </c>
      <c r="I435" t="s">
        <v>41</v>
      </c>
      <c r="J435" s="7">
        <v>3907792</v>
      </c>
      <c r="K435" t="s">
        <v>48</v>
      </c>
      <c r="L435" t="s">
        <v>34</v>
      </c>
      <c r="M435" t="s">
        <v>24</v>
      </c>
      <c r="N435" s="6">
        <v>14</v>
      </c>
      <c r="O435" t="s">
        <v>25</v>
      </c>
      <c r="P435">
        <f t="shared" si="6"/>
        <v>44</v>
      </c>
    </row>
    <row r="436" spans="1:16" x14ac:dyDescent="0.2">
      <c r="A436" t="s">
        <v>701</v>
      </c>
      <c r="B436" t="s">
        <v>16</v>
      </c>
      <c r="C436" t="s">
        <v>39</v>
      </c>
      <c r="D436" s="4">
        <v>24994</v>
      </c>
      <c r="E436" s="4">
        <v>45332</v>
      </c>
      <c r="F436" s="9">
        <v>45345</v>
      </c>
      <c r="G436" t="s">
        <v>74</v>
      </c>
      <c r="H436" t="s">
        <v>2528</v>
      </c>
      <c r="I436" t="s">
        <v>2534</v>
      </c>
      <c r="J436" s="7">
        <v>2954000</v>
      </c>
      <c r="K436" t="s">
        <v>48</v>
      </c>
      <c r="L436" t="s">
        <v>34</v>
      </c>
      <c r="M436" t="s">
        <v>35</v>
      </c>
      <c r="N436" s="6">
        <v>13</v>
      </c>
      <c r="O436" t="s">
        <v>25</v>
      </c>
      <c r="P436">
        <f t="shared" si="6"/>
        <v>56</v>
      </c>
    </row>
    <row r="437" spans="1:16" x14ac:dyDescent="0.2">
      <c r="A437" t="s">
        <v>703</v>
      </c>
      <c r="B437" t="s">
        <v>56</v>
      </c>
      <c r="C437" t="s">
        <v>92</v>
      </c>
      <c r="D437" s="4">
        <v>27660</v>
      </c>
      <c r="E437" s="4">
        <v>45313</v>
      </c>
      <c r="F437" s="9">
        <v>45326</v>
      </c>
      <c r="G437" t="s">
        <v>83</v>
      </c>
      <c r="H437" t="s">
        <v>66</v>
      </c>
      <c r="I437" t="s">
        <v>2534</v>
      </c>
      <c r="J437" s="7">
        <v>2270744</v>
      </c>
      <c r="K437" t="s">
        <v>43</v>
      </c>
      <c r="L437" t="s">
        <v>2527</v>
      </c>
      <c r="M437" t="s">
        <v>35</v>
      </c>
      <c r="N437" s="6">
        <v>13</v>
      </c>
      <c r="O437" t="s">
        <v>36</v>
      </c>
      <c r="P437">
        <f t="shared" si="6"/>
        <v>49</v>
      </c>
    </row>
    <row r="438" spans="1:16" x14ac:dyDescent="0.2">
      <c r="A438" t="s">
        <v>2002</v>
      </c>
      <c r="B438" t="s">
        <v>82</v>
      </c>
      <c r="C438" t="s">
        <v>28</v>
      </c>
      <c r="D438" s="4">
        <v>35177</v>
      </c>
      <c r="E438" s="4">
        <v>45299</v>
      </c>
      <c r="F438" s="9" t="s">
        <v>2536</v>
      </c>
      <c r="G438" t="s">
        <v>88</v>
      </c>
      <c r="H438" t="s">
        <v>66</v>
      </c>
      <c r="I438" t="s">
        <v>41</v>
      </c>
      <c r="J438" s="7">
        <v>4371748</v>
      </c>
      <c r="K438" t="s">
        <v>48</v>
      </c>
      <c r="L438" t="s">
        <v>2527</v>
      </c>
      <c r="M438" t="s">
        <v>78</v>
      </c>
      <c r="N438" s="6" t="s">
        <v>2525</v>
      </c>
      <c r="O438" t="s">
        <v>25</v>
      </c>
      <c r="P438">
        <f t="shared" si="6"/>
        <v>28</v>
      </c>
    </row>
    <row r="439" spans="1:16" x14ac:dyDescent="0.2">
      <c r="A439" t="s">
        <v>2003</v>
      </c>
      <c r="B439" t="s">
        <v>80</v>
      </c>
      <c r="C439" t="s">
        <v>28</v>
      </c>
      <c r="D439" s="4">
        <v>19479</v>
      </c>
      <c r="E439" s="4">
        <v>45439</v>
      </c>
      <c r="F439" s="9">
        <v>45451</v>
      </c>
      <c r="G439" t="s">
        <v>29</v>
      </c>
      <c r="H439" t="s">
        <v>19</v>
      </c>
      <c r="I439" t="s">
        <v>2534</v>
      </c>
      <c r="J439" s="7">
        <v>4315500</v>
      </c>
      <c r="K439" t="s">
        <v>48</v>
      </c>
      <c r="L439" t="s">
        <v>2527</v>
      </c>
      <c r="M439" t="s">
        <v>35</v>
      </c>
      <c r="N439" s="6">
        <v>12</v>
      </c>
      <c r="O439" t="s">
        <v>2531</v>
      </c>
      <c r="P439">
        <f t="shared" si="6"/>
        <v>71</v>
      </c>
    </row>
    <row r="440" spans="1:16" x14ac:dyDescent="0.2">
      <c r="A440" t="s">
        <v>2004</v>
      </c>
      <c r="B440" t="s">
        <v>87</v>
      </c>
      <c r="C440" t="s">
        <v>28</v>
      </c>
      <c r="D440" s="4">
        <v>31500</v>
      </c>
      <c r="E440" s="4">
        <v>45456</v>
      </c>
      <c r="F440" s="9">
        <v>45466</v>
      </c>
      <c r="G440" t="s">
        <v>83</v>
      </c>
      <c r="H440" t="s">
        <v>66</v>
      </c>
      <c r="I440" t="s">
        <v>41</v>
      </c>
      <c r="J440" s="7">
        <v>5386416</v>
      </c>
      <c r="K440" t="s">
        <v>48</v>
      </c>
      <c r="L440" t="s">
        <v>2527</v>
      </c>
      <c r="M440" t="s">
        <v>35</v>
      </c>
      <c r="N440" s="6">
        <v>10</v>
      </c>
      <c r="O440" t="s">
        <v>36</v>
      </c>
      <c r="P440">
        <f t="shared" si="6"/>
        <v>38</v>
      </c>
    </row>
    <row r="441" spans="1:16" x14ac:dyDescent="0.2">
      <c r="A441" t="s">
        <v>2005</v>
      </c>
      <c r="B441" t="s">
        <v>87</v>
      </c>
      <c r="C441" t="s">
        <v>92</v>
      </c>
      <c r="D441" s="4">
        <v>35984</v>
      </c>
      <c r="E441" s="4">
        <v>45346</v>
      </c>
      <c r="F441" s="9">
        <v>45351</v>
      </c>
      <c r="G441" t="s">
        <v>72</v>
      </c>
      <c r="H441" t="s">
        <v>2529</v>
      </c>
      <c r="I441" t="s">
        <v>67</v>
      </c>
      <c r="J441" s="7">
        <v>549500</v>
      </c>
      <c r="K441" t="s">
        <v>48</v>
      </c>
      <c r="L441" t="s">
        <v>2527</v>
      </c>
      <c r="M441" t="s">
        <v>24</v>
      </c>
      <c r="N441" s="6">
        <v>5</v>
      </c>
      <c r="O441" t="s">
        <v>25</v>
      </c>
      <c r="P441">
        <f t="shared" si="6"/>
        <v>26</v>
      </c>
    </row>
    <row r="442" spans="1:16" x14ac:dyDescent="0.2">
      <c r="A442" t="s">
        <v>2006</v>
      </c>
      <c r="B442" t="s">
        <v>80</v>
      </c>
      <c r="C442" t="s">
        <v>39</v>
      </c>
      <c r="D442" s="4">
        <v>30485</v>
      </c>
      <c r="E442" s="4">
        <v>45452</v>
      </c>
      <c r="F442" s="9" t="s">
        <v>2536</v>
      </c>
      <c r="G442" t="s">
        <v>72</v>
      </c>
      <c r="H442" t="s">
        <v>2529</v>
      </c>
      <c r="I442" t="s">
        <v>2533</v>
      </c>
      <c r="J442" s="7">
        <v>2678120</v>
      </c>
      <c r="K442" t="s">
        <v>71</v>
      </c>
      <c r="L442" t="s">
        <v>2527</v>
      </c>
      <c r="M442" t="s">
        <v>35</v>
      </c>
      <c r="N442" s="6" t="s">
        <v>2525</v>
      </c>
      <c r="O442" t="s">
        <v>2531</v>
      </c>
      <c r="P442">
        <f t="shared" si="6"/>
        <v>41</v>
      </c>
    </row>
    <row r="443" spans="1:16" x14ac:dyDescent="0.2">
      <c r="A443" t="s">
        <v>2007</v>
      </c>
      <c r="B443" t="s">
        <v>27</v>
      </c>
      <c r="C443" t="s">
        <v>39</v>
      </c>
      <c r="D443" s="4">
        <v>37778</v>
      </c>
      <c r="E443" s="4">
        <v>45381</v>
      </c>
      <c r="F443" s="9">
        <v>45394</v>
      </c>
      <c r="G443" t="s">
        <v>29</v>
      </c>
      <c r="H443" t="s">
        <v>19</v>
      </c>
      <c r="I443" t="s">
        <v>2534</v>
      </c>
      <c r="J443" s="7">
        <v>2289604</v>
      </c>
      <c r="K443" t="s">
        <v>48</v>
      </c>
      <c r="L443" t="s">
        <v>23</v>
      </c>
      <c r="M443" t="s">
        <v>78</v>
      </c>
      <c r="N443" s="6">
        <v>13</v>
      </c>
      <c r="O443" t="s">
        <v>2531</v>
      </c>
      <c r="P443">
        <f t="shared" si="6"/>
        <v>21</v>
      </c>
    </row>
    <row r="444" spans="1:16" x14ac:dyDescent="0.2">
      <c r="A444" t="s">
        <v>2008</v>
      </c>
      <c r="B444" t="s">
        <v>82</v>
      </c>
      <c r="C444" t="s">
        <v>92</v>
      </c>
      <c r="D444" s="4">
        <v>21286</v>
      </c>
      <c r="E444" s="4">
        <v>45400</v>
      </c>
      <c r="F444" s="9">
        <v>45408</v>
      </c>
      <c r="G444" t="s">
        <v>83</v>
      </c>
      <c r="H444" t="s">
        <v>66</v>
      </c>
      <c r="I444" t="s">
        <v>2535</v>
      </c>
      <c r="J444" s="7">
        <v>3485328</v>
      </c>
      <c r="K444" t="s">
        <v>48</v>
      </c>
      <c r="L444" t="s">
        <v>2527</v>
      </c>
      <c r="M444" t="s">
        <v>24</v>
      </c>
      <c r="N444" s="6">
        <v>8</v>
      </c>
      <c r="O444" t="s">
        <v>2531</v>
      </c>
      <c r="P444">
        <f t="shared" si="6"/>
        <v>66</v>
      </c>
    </row>
    <row r="445" spans="1:16" x14ac:dyDescent="0.2">
      <c r="A445" t="s">
        <v>2009</v>
      </c>
      <c r="B445" t="s">
        <v>82</v>
      </c>
      <c r="C445" t="s">
        <v>39</v>
      </c>
      <c r="D445" s="4">
        <v>23600</v>
      </c>
      <c r="E445" s="4">
        <v>45421</v>
      </c>
      <c r="F445" s="9">
        <v>45429</v>
      </c>
      <c r="G445" t="s">
        <v>40</v>
      </c>
      <c r="H445" t="s">
        <v>75</v>
      </c>
      <c r="I445" t="s">
        <v>2535</v>
      </c>
      <c r="J445" s="7">
        <v>1286252</v>
      </c>
      <c r="K445" t="s">
        <v>71</v>
      </c>
      <c r="L445" t="s">
        <v>2527</v>
      </c>
      <c r="M445" t="s">
        <v>35</v>
      </c>
      <c r="N445" s="6">
        <v>8</v>
      </c>
      <c r="O445" t="s">
        <v>36</v>
      </c>
      <c r="P445">
        <f t="shared" si="6"/>
        <v>60</v>
      </c>
    </row>
    <row r="446" spans="1:16" x14ac:dyDescent="0.2">
      <c r="A446" t="s">
        <v>712</v>
      </c>
      <c r="B446" t="s">
        <v>85</v>
      </c>
      <c r="C446" t="s">
        <v>39</v>
      </c>
      <c r="D446" s="4">
        <v>31653</v>
      </c>
      <c r="E446" s="4">
        <v>45322</v>
      </c>
      <c r="F446" s="9">
        <v>45323</v>
      </c>
      <c r="G446" t="s">
        <v>74</v>
      </c>
      <c r="H446" t="s">
        <v>2528</v>
      </c>
      <c r="I446" t="s">
        <v>2533</v>
      </c>
      <c r="J446" s="7">
        <v>3031000</v>
      </c>
      <c r="K446" t="s">
        <v>48</v>
      </c>
      <c r="L446" t="s">
        <v>2527</v>
      </c>
      <c r="M446" t="s">
        <v>35</v>
      </c>
      <c r="N446" s="6">
        <v>1</v>
      </c>
      <c r="O446" t="s">
        <v>2531</v>
      </c>
      <c r="P446">
        <f t="shared" si="6"/>
        <v>38</v>
      </c>
    </row>
    <row r="447" spans="1:16" x14ac:dyDescent="0.2">
      <c r="A447" t="s">
        <v>2010</v>
      </c>
      <c r="B447" t="s">
        <v>80</v>
      </c>
      <c r="C447" t="s">
        <v>92</v>
      </c>
      <c r="D447" s="4">
        <v>27553</v>
      </c>
      <c r="E447" s="4">
        <v>45338</v>
      </c>
      <c r="F447" s="9" t="s">
        <v>2536</v>
      </c>
      <c r="G447" t="s">
        <v>40</v>
      </c>
      <c r="H447" t="s">
        <v>75</v>
      </c>
      <c r="I447" t="s">
        <v>67</v>
      </c>
      <c r="J447" s="7">
        <v>720452</v>
      </c>
      <c r="K447" t="s">
        <v>71</v>
      </c>
      <c r="L447" t="s">
        <v>2527</v>
      </c>
      <c r="M447" t="s">
        <v>24</v>
      </c>
      <c r="N447" s="6" t="s">
        <v>2525</v>
      </c>
      <c r="O447" t="s">
        <v>36</v>
      </c>
      <c r="P447">
        <f t="shared" si="6"/>
        <v>49</v>
      </c>
    </row>
    <row r="448" spans="1:16" x14ac:dyDescent="0.2">
      <c r="A448" t="s">
        <v>2011</v>
      </c>
      <c r="B448" t="s">
        <v>85</v>
      </c>
      <c r="C448" t="s">
        <v>28</v>
      </c>
      <c r="D448" s="4">
        <v>22803</v>
      </c>
      <c r="E448" s="4">
        <v>45407</v>
      </c>
      <c r="F448" s="9" t="s">
        <v>2536</v>
      </c>
      <c r="G448" t="s">
        <v>83</v>
      </c>
      <c r="H448" t="s">
        <v>66</v>
      </c>
      <c r="I448" t="s">
        <v>41</v>
      </c>
      <c r="J448" s="7">
        <v>5201588</v>
      </c>
      <c r="K448" t="s">
        <v>71</v>
      </c>
      <c r="L448" t="s">
        <v>23</v>
      </c>
      <c r="M448" t="s">
        <v>78</v>
      </c>
      <c r="N448" s="6" t="s">
        <v>2525</v>
      </c>
      <c r="O448" t="s">
        <v>2531</v>
      </c>
      <c r="P448">
        <f t="shared" si="6"/>
        <v>62</v>
      </c>
    </row>
    <row r="449" spans="1:16" x14ac:dyDescent="0.2">
      <c r="A449" t="s">
        <v>2012</v>
      </c>
      <c r="B449" t="s">
        <v>38</v>
      </c>
      <c r="C449" t="s">
        <v>28</v>
      </c>
      <c r="D449" s="4">
        <v>21164</v>
      </c>
      <c r="E449" s="4">
        <v>45473</v>
      </c>
      <c r="F449" s="9">
        <v>45486</v>
      </c>
      <c r="G449" t="s">
        <v>40</v>
      </c>
      <c r="H449" t="s">
        <v>75</v>
      </c>
      <c r="I449" t="s">
        <v>67</v>
      </c>
      <c r="J449" s="7">
        <v>5348696</v>
      </c>
      <c r="K449" t="s">
        <v>48</v>
      </c>
      <c r="L449" t="s">
        <v>34</v>
      </c>
      <c r="M449" t="s">
        <v>24</v>
      </c>
      <c r="N449" s="6">
        <v>13</v>
      </c>
      <c r="O449" t="s">
        <v>36</v>
      </c>
      <c r="P449">
        <f t="shared" si="6"/>
        <v>67</v>
      </c>
    </row>
    <row r="450" spans="1:16" x14ac:dyDescent="0.2">
      <c r="A450" t="s">
        <v>2013</v>
      </c>
      <c r="B450" t="s">
        <v>64</v>
      </c>
      <c r="C450" t="s">
        <v>92</v>
      </c>
      <c r="D450" s="4">
        <v>39833</v>
      </c>
      <c r="E450" s="4">
        <v>45296</v>
      </c>
      <c r="F450" s="9">
        <v>45300</v>
      </c>
      <c r="G450" t="s">
        <v>74</v>
      </c>
      <c r="H450" t="s">
        <v>2528</v>
      </c>
      <c r="I450" t="s">
        <v>2535</v>
      </c>
      <c r="J450" s="7">
        <v>4697000</v>
      </c>
      <c r="K450" t="s">
        <v>71</v>
      </c>
      <c r="L450" t="s">
        <v>34</v>
      </c>
      <c r="M450" t="s">
        <v>78</v>
      </c>
      <c r="N450" s="6">
        <v>4</v>
      </c>
      <c r="O450" t="s">
        <v>36</v>
      </c>
      <c r="P450">
        <f t="shared" si="6"/>
        <v>15</v>
      </c>
    </row>
    <row r="451" spans="1:16" x14ac:dyDescent="0.2">
      <c r="A451" t="s">
        <v>2014</v>
      </c>
      <c r="B451" t="s">
        <v>140</v>
      </c>
      <c r="C451" t="s">
        <v>28</v>
      </c>
      <c r="D451" s="4">
        <v>19052</v>
      </c>
      <c r="E451" s="4">
        <v>45389</v>
      </c>
      <c r="F451" s="9" t="s">
        <v>2536</v>
      </c>
      <c r="G451" t="s">
        <v>74</v>
      </c>
      <c r="H451" t="s">
        <v>2528</v>
      </c>
      <c r="I451" t="s">
        <v>67</v>
      </c>
      <c r="J451" s="7">
        <v>2580048</v>
      </c>
      <c r="K451" t="s">
        <v>48</v>
      </c>
      <c r="L451" t="s">
        <v>2527</v>
      </c>
      <c r="M451" t="s">
        <v>35</v>
      </c>
      <c r="N451" s="6" t="s">
        <v>2525</v>
      </c>
      <c r="O451" t="s">
        <v>36</v>
      </c>
      <c r="P451">
        <f t="shared" ref="P451:P514" si="7">YEAR(E451)-YEAR(D451)</f>
        <v>72</v>
      </c>
    </row>
    <row r="452" spans="1:16" x14ac:dyDescent="0.2">
      <c r="A452" t="s">
        <v>2015</v>
      </c>
      <c r="B452" t="s">
        <v>140</v>
      </c>
      <c r="C452" t="s">
        <v>92</v>
      </c>
      <c r="D452" s="4">
        <v>38399</v>
      </c>
      <c r="E452" s="4">
        <v>45338</v>
      </c>
      <c r="F452" s="9">
        <v>45343</v>
      </c>
      <c r="G452" t="s">
        <v>74</v>
      </c>
      <c r="H452" t="s">
        <v>2528</v>
      </c>
      <c r="I452" t="s">
        <v>67</v>
      </c>
      <c r="J452" s="7">
        <v>3307500</v>
      </c>
      <c r="K452" t="s">
        <v>48</v>
      </c>
      <c r="L452" t="s">
        <v>2527</v>
      </c>
      <c r="M452" t="s">
        <v>35</v>
      </c>
      <c r="N452" s="6">
        <v>5</v>
      </c>
      <c r="O452" t="s">
        <v>25</v>
      </c>
      <c r="P452">
        <f t="shared" si="7"/>
        <v>19</v>
      </c>
    </row>
    <row r="453" spans="1:16" x14ac:dyDescent="0.2">
      <c r="A453" t="s">
        <v>2016</v>
      </c>
      <c r="B453" t="s">
        <v>119</v>
      </c>
      <c r="C453" t="s">
        <v>28</v>
      </c>
      <c r="D453" s="4">
        <v>34417</v>
      </c>
      <c r="E453" s="4">
        <v>45321</v>
      </c>
      <c r="F453" s="9" t="s">
        <v>2536</v>
      </c>
      <c r="G453" t="s">
        <v>100</v>
      </c>
      <c r="H453" t="s">
        <v>61</v>
      </c>
      <c r="I453" t="s">
        <v>2533</v>
      </c>
      <c r="J453" s="7">
        <v>882648</v>
      </c>
      <c r="K453" t="s">
        <v>48</v>
      </c>
      <c r="L453" t="s">
        <v>2527</v>
      </c>
      <c r="M453" t="s">
        <v>24</v>
      </c>
      <c r="N453" s="6" t="s">
        <v>2525</v>
      </c>
      <c r="O453" t="s">
        <v>25</v>
      </c>
      <c r="P453">
        <f t="shared" si="7"/>
        <v>30</v>
      </c>
    </row>
    <row r="454" spans="1:16" x14ac:dyDescent="0.2">
      <c r="A454" t="s">
        <v>2017</v>
      </c>
      <c r="B454" t="s">
        <v>27</v>
      </c>
      <c r="C454" t="s">
        <v>92</v>
      </c>
      <c r="D454" s="4">
        <v>21590</v>
      </c>
      <c r="E454" s="4">
        <v>45434</v>
      </c>
      <c r="F454" s="9">
        <v>45441</v>
      </c>
      <c r="G454" t="s">
        <v>74</v>
      </c>
      <c r="H454" t="s">
        <v>2528</v>
      </c>
      <c r="I454" t="s">
        <v>2534</v>
      </c>
      <c r="J454" s="7">
        <v>4239728</v>
      </c>
      <c r="K454" t="s">
        <v>48</v>
      </c>
      <c r="L454" t="s">
        <v>2527</v>
      </c>
      <c r="M454" t="s">
        <v>24</v>
      </c>
      <c r="N454" s="6">
        <v>7</v>
      </c>
      <c r="O454" t="s">
        <v>25</v>
      </c>
      <c r="P454">
        <f t="shared" si="7"/>
        <v>65</v>
      </c>
    </row>
    <row r="455" spans="1:16" x14ac:dyDescent="0.2">
      <c r="A455" t="s">
        <v>2018</v>
      </c>
      <c r="B455" t="s">
        <v>82</v>
      </c>
      <c r="C455" t="s">
        <v>92</v>
      </c>
      <c r="D455" s="4">
        <v>33066</v>
      </c>
      <c r="E455" s="4">
        <v>45292</v>
      </c>
      <c r="F455" s="9">
        <v>45302</v>
      </c>
      <c r="G455" t="s">
        <v>72</v>
      </c>
      <c r="H455" t="s">
        <v>2529</v>
      </c>
      <c r="I455" t="s">
        <v>67</v>
      </c>
      <c r="J455" s="7">
        <v>841156</v>
      </c>
      <c r="K455" t="s">
        <v>48</v>
      </c>
      <c r="L455" t="s">
        <v>2527</v>
      </c>
      <c r="M455" t="s">
        <v>24</v>
      </c>
      <c r="N455" s="6">
        <v>10</v>
      </c>
      <c r="O455" t="s">
        <v>2531</v>
      </c>
      <c r="P455">
        <f t="shared" si="7"/>
        <v>34</v>
      </c>
    </row>
    <row r="456" spans="1:16" x14ac:dyDescent="0.2">
      <c r="A456" t="s">
        <v>722</v>
      </c>
      <c r="B456" t="s">
        <v>119</v>
      </c>
      <c r="C456" t="s">
        <v>39</v>
      </c>
      <c r="D456" s="4">
        <v>34986</v>
      </c>
      <c r="E456" s="4">
        <v>45303</v>
      </c>
      <c r="F456" s="9">
        <v>45313</v>
      </c>
      <c r="G456" t="s">
        <v>60</v>
      </c>
      <c r="H456" t="s">
        <v>66</v>
      </c>
      <c r="I456" t="s">
        <v>2533</v>
      </c>
      <c r="J456" s="7">
        <v>1323972</v>
      </c>
      <c r="K456" t="s">
        <v>43</v>
      </c>
      <c r="L456" t="s">
        <v>2527</v>
      </c>
      <c r="M456" t="s">
        <v>78</v>
      </c>
      <c r="N456" s="6">
        <v>10</v>
      </c>
      <c r="O456" t="s">
        <v>2531</v>
      </c>
      <c r="P456">
        <f t="shared" si="7"/>
        <v>29</v>
      </c>
    </row>
    <row r="457" spans="1:16" x14ac:dyDescent="0.2">
      <c r="A457" t="s">
        <v>2019</v>
      </c>
      <c r="B457" t="s">
        <v>59</v>
      </c>
      <c r="C457" t="s">
        <v>28</v>
      </c>
      <c r="D457" s="4">
        <v>26828</v>
      </c>
      <c r="E457" s="4">
        <v>45361</v>
      </c>
      <c r="F457" s="9">
        <v>45367</v>
      </c>
      <c r="G457" t="s">
        <v>50</v>
      </c>
      <c r="H457" t="s">
        <v>2528</v>
      </c>
      <c r="I457" t="s">
        <v>2535</v>
      </c>
      <c r="J457" s="7">
        <v>2911984</v>
      </c>
      <c r="K457" t="s">
        <v>48</v>
      </c>
      <c r="L457" t="s">
        <v>34</v>
      </c>
      <c r="M457" t="s">
        <v>24</v>
      </c>
      <c r="N457" s="6">
        <v>6</v>
      </c>
      <c r="O457" t="s">
        <v>25</v>
      </c>
      <c r="P457">
        <f t="shared" si="7"/>
        <v>51</v>
      </c>
    </row>
    <row r="458" spans="1:16" x14ac:dyDescent="0.2">
      <c r="A458" t="s">
        <v>2020</v>
      </c>
      <c r="B458" t="s">
        <v>140</v>
      </c>
      <c r="C458" t="s">
        <v>28</v>
      </c>
      <c r="D458" s="4">
        <v>36476</v>
      </c>
      <c r="E458" s="4">
        <v>45392</v>
      </c>
      <c r="F458" s="9">
        <v>45403</v>
      </c>
      <c r="G458" t="s">
        <v>40</v>
      </c>
      <c r="H458" t="s">
        <v>75</v>
      </c>
      <c r="I458" t="s">
        <v>41</v>
      </c>
      <c r="J458" s="7">
        <v>5563700</v>
      </c>
      <c r="K458" t="s">
        <v>48</v>
      </c>
      <c r="L458" t="s">
        <v>2527</v>
      </c>
      <c r="M458" t="s">
        <v>78</v>
      </c>
      <c r="N458" s="6">
        <v>11</v>
      </c>
      <c r="O458" t="s">
        <v>36</v>
      </c>
      <c r="P458">
        <f t="shared" si="7"/>
        <v>25</v>
      </c>
    </row>
    <row r="459" spans="1:16" x14ac:dyDescent="0.2">
      <c r="A459" t="s">
        <v>726</v>
      </c>
      <c r="B459" t="s">
        <v>64</v>
      </c>
      <c r="C459" t="s">
        <v>92</v>
      </c>
      <c r="D459" s="4">
        <v>33425</v>
      </c>
      <c r="E459" s="4">
        <v>45341</v>
      </c>
      <c r="F459" s="9" t="s">
        <v>2536</v>
      </c>
      <c r="G459" t="s">
        <v>88</v>
      </c>
      <c r="H459" t="s">
        <v>66</v>
      </c>
      <c r="I459" t="s">
        <v>2533</v>
      </c>
      <c r="J459" s="7">
        <v>5225500</v>
      </c>
      <c r="K459" t="s">
        <v>48</v>
      </c>
      <c r="L459" t="s">
        <v>34</v>
      </c>
      <c r="M459" t="s">
        <v>24</v>
      </c>
      <c r="N459" s="6" t="s">
        <v>2525</v>
      </c>
      <c r="O459" t="s">
        <v>2531</v>
      </c>
      <c r="P459">
        <f t="shared" si="7"/>
        <v>33</v>
      </c>
    </row>
    <row r="460" spans="1:16" x14ac:dyDescent="0.2">
      <c r="A460" t="s">
        <v>728</v>
      </c>
      <c r="B460" t="s">
        <v>91</v>
      </c>
      <c r="C460" t="s">
        <v>28</v>
      </c>
      <c r="D460" s="4">
        <v>30158</v>
      </c>
      <c r="E460" s="4">
        <v>45363</v>
      </c>
      <c r="F460" s="9">
        <v>45375</v>
      </c>
      <c r="G460" t="s">
        <v>88</v>
      </c>
      <c r="H460" t="s">
        <v>66</v>
      </c>
      <c r="I460" t="s">
        <v>41</v>
      </c>
      <c r="J460" s="7">
        <v>5307204</v>
      </c>
      <c r="K460" t="s">
        <v>48</v>
      </c>
      <c r="L460" t="s">
        <v>2527</v>
      </c>
      <c r="M460" t="s">
        <v>24</v>
      </c>
      <c r="N460" s="6">
        <v>12</v>
      </c>
      <c r="O460" t="s">
        <v>2531</v>
      </c>
      <c r="P460">
        <f t="shared" si="7"/>
        <v>42</v>
      </c>
    </row>
    <row r="461" spans="1:16" x14ac:dyDescent="0.2">
      <c r="A461" t="s">
        <v>729</v>
      </c>
      <c r="B461" t="s">
        <v>119</v>
      </c>
      <c r="C461" t="s">
        <v>28</v>
      </c>
      <c r="D461" s="4">
        <v>38022</v>
      </c>
      <c r="E461" s="4">
        <v>45308</v>
      </c>
      <c r="F461" s="9">
        <v>45311</v>
      </c>
      <c r="G461" t="s">
        <v>18</v>
      </c>
      <c r="H461" t="s">
        <v>2529</v>
      </c>
      <c r="I461" t="s">
        <v>67</v>
      </c>
      <c r="J461" s="7">
        <v>4098500</v>
      </c>
      <c r="K461" t="s">
        <v>48</v>
      </c>
      <c r="L461" t="s">
        <v>34</v>
      </c>
      <c r="M461" t="s">
        <v>24</v>
      </c>
      <c r="N461" s="6">
        <v>3</v>
      </c>
      <c r="O461" t="s">
        <v>36</v>
      </c>
      <c r="P461">
        <f t="shared" si="7"/>
        <v>20</v>
      </c>
    </row>
    <row r="462" spans="1:16" x14ac:dyDescent="0.2">
      <c r="A462" t="s">
        <v>2021</v>
      </c>
      <c r="B462" t="s">
        <v>27</v>
      </c>
      <c r="C462" t="s">
        <v>28</v>
      </c>
      <c r="D462" s="4">
        <v>18328</v>
      </c>
      <c r="E462" s="4">
        <v>45456</v>
      </c>
      <c r="F462" s="9">
        <v>45462</v>
      </c>
      <c r="G462" t="s">
        <v>29</v>
      </c>
      <c r="H462" t="s">
        <v>19</v>
      </c>
      <c r="I462" t="s">
        <v>67</v>
      </c>
      <c r="J462" s="7">
        <v>5627824</v>
      </c>
      <c r="K462" t="s">
        <v>71</v>
      </c>
      <c r="L462" t="s">
        <v>2527</v>
      </c>
      <c r="M462" t="s">
        <v>24</v>
      </c>
      <c r="N462" s="6">
        <v>6</v>
      </c>
      <c r="O462" t="s">
        <v>2531</v>
      </c>
      <c r="P462">
        <f t="shared" si="7"/>
        <v>74</v>
      </c>
    </row>
    <row r="463" spans="1:16" x14ac:dyDescent="0.2">
      <c r="A463" t="s">
        <v>732</v>
      </c>
      <c r="B463" t="s">
        <v>80</v>
      </c>
      <c r="C463" t="s">
        <v>92</v>
      </c>
      <c r="D463" s="4">
        <v>32028</v>
      </c>
      <c r="E463" s="4">
        <v>45372</v>
      </c>
      <c r="F463" s="9">
        <v>45378</v>
      </c>
      <c r="G463" t="s">
        <v>18</v>
      </c>
      <c r="H463" t="s">
        <v>2529</v>
      </c>
      <c r="I463" t="s">
        <v>67</v>
      </c>
      <c r="J463" s="7">
        <v>2119864</v>
      </c>
      <c r="K463" t="s">
        <v>48</v>
      </c>
      <c r="L463" t="s">
        <v>23</v>
      </c>
      <c r="M463" t="s">
        <v>35</v>
      </c>
      <c r="N463" s="6">
        <v>6</v>
      </c>
      <c r="O463" t="s">
        <v>36</v>
      </c>
      <c r="P463">
        <f t="shared" si="7"/>
        <v>37</v>
      </c>
    </row>
    <row r="464" spans="1:16" x14ac:dyDescent="0.2">
      <c r="A464" t="s">
        <v>733</v>
      </c>
      <c r="B464" t="s">
        <v>16</v>
      </c>
      <c r="C464" t="s">
        <v>92</v>
      </c>
      <c r="D464" s="4">
        <v>33991</v>
      </c>
      <c r="E464" s="4">
        <v>45298</v>
      </c>
      <c r="F464" s="9">
        <v>45302</v>
      </c>
      <c r="G464" t="s">
        <v>100</v>
      </c>
      <c r="H464" t="s">
        <v>61</v>
      </c>
      <c r="I464" t="s">
        <v>2533</v>
      </c>
      <c r="J464" s="7">
        <v>738500</v>
      </c>
      <c r="K464" t="s">
        <v>43</v>
      </c>
      <c r="L464" t="s">
        <v>23</v>
      </c>
      <c r="M464" t="s">
        <v>35</v>
      </c>
      <c r="N464" s="6">
        <v>4</v>
      </c>
      <c r="O464" t="s">
        <v>36</v>
      </c>
      <c r="P464">
        <f t="shared" si="7"/>
        <v>31</v>
      </c>
    </row>
    <row r="465" spans="1:16" x14ac:dyDescent="0.2">
      <c r="A465" t="s">
        <v>735</v>
      </c>
      <c r="B465" t="s">
        <v>114</v>
      </c>
      <c r="C465" t="s">
        <v>92</v>
      </c>
      <c r="D465" s="4">
        <v>22354</v>
      </c>
      <c r="E465" s="4">
        <v>45307</v>
      </c>
      <c r="F465" s="9">
        <v>45322</v>
      </c>
      <c r="G465" t="s">
        <v>46</v>
      </c>
      <c r="H465" t="s">
        <v>30</v>
      </c>
      <c r="I465" t="s">
        <v>41</v>
      </c>
      <c r="J465" s="7">
        <v>3790860</v>
      </c>
      <c r="K465" t="s">
        <v>48</v>
      </c>
      <c r="L465" t="s">
        <v>2527</v>
      </c>
      <c r="M465" t="s">
        <v>35</v>
      </c>
      <c r="N465" s="6">
        <v>15</v>
      </c>
      <c r="O465" t="s">
        <v>25</v>
      </c>
      <c r="P465">
        <f t="shared" si="7"/>
        <v>63</v>
      </c>
    </row>
    <row r="466" spans="1:16" x14ac:dyDescent="0.2">
      <c r="A466" t="s">
        <v>2022</v>
      </c>
      <c r="B466" t="s">
        <v>80</v>
      </c>
      <c r="C466" t="s">
        <v>92</v>
      </c>
      <c r="D466" s="4">
        <v>30763</v>
      </c>
      <c r="E466" s="4">
        <v>45316</v>
      </c>
      <c r="F466" s="9">
        <v>45326</v>
      </c>
      <c r="G466" t="s">
        <v>100</v>
      </c>
      <c r="H466" t="s">
        <v>61</v>
      </c>
      <c r="I466" t="s">
        <v>2533</v>
      </c>
      <c r="J466" s="7">
        <v>3681472</v>
      </c>
      <c r="K466" t="s">
        <v>48</v>
      </c>
      <c r="L466" t="s">
        <v>34</v>
      </c>
      <c r="M466" t="s">
        <v>78</v>
      </c>
      <c r="N466" s="6">
        <v>10</v>
      </c>
      <c r="O466" t="s">
        <v>25</v>
      </c>
      <c r="P466">
        <f t="shared" si="7"/>
        <v>40</v>
      </c>
    </row>
    <row r="467" spans="1:16" x14ac:dyDescent="0.2">
      <c r="A467" t="s">
        <v>739</v>
      </c>
      <c r="B467" t="s">
        <v>16</v>
      </c>
      <c r="C467" t="s">
        <v>92</v>
      </c>
      <c r="D467" s="4">
        <v>37766</v>
      </c>
      <c r="E467" s="4">
        <v>45443</v>
      </c>
      <c r="F467" s="9">
        <v>45446</v>
      </c>
      <c r="G467" t="s">
        <v>83</v>
      </c>
      <c r="H467" t="s">
        <v>66</v>
      </c>
      <c r="I467" t="s">
        <v>2533</v>
      </c>
      <c r="J467" s="7">
        <v>5171412</v>
      </c>
      <c r="K467" t="s">
        <v>48</v>
      </c>
      <c r="L467" t="s">
        <v>23</v>
      </c>
      <c r="M467" t="s">
        <v>35</v>
      </c>
      <c r="N467" s="6">
        <v>3</v>
      </c>
      <c r="O467" t="s">
        <v>25</v>
      </c>
      <c r="P467">
        <f t="shared" si="7"/>
        <v>21</v>
      </c>
    </row>
    <row r="468" spans="1:16" x14ac:dyDescent="0.2">
      <c r="A468" t="s">
        <v>2023</v>
      </c>
      <c r="B468" t="s">
        <v>119</v>
      </c>
      <c r="C468" t="s">
        <v>28</v>
      </c>
      <c r="D468" s="4">
        <v>35078</v>
      </c>
      <c r="E468" s="4">
        <v>45371</v>
      </c>
      <c r="F468" s="9" t="s">
        <v>2536</v>
      </c>
      <c r="G468" t="s">
        <v>60</v>
      </c>
      <c r="H468" t="s">
        <v>66</v>
      </c>
      <c r="I468" t="s">
        <v>2533</v>
      </c>
      <c r="J468" s="7">
        <v>2436000</v>
      </c>
      <c r="K468" t="s">
        <v>48</v>
      </c>
      <c r="L468" t="s">
        <v>23</v>
      </c>
      <c r="M468" t="s">
        <v>35</v>
      </c>
      <c r="N468" s="6" t="s">
        <v>2525</v>
      </c>
      <c r="O468" t="s">
        <v>2531</v>
      </c>
      <c r="P468">
        <f t="shared" si="7"/>
        <v>28</v>
      </c>
    </row>
    <row r="469" spans="1:16" x14ac:dyDescent="0.2">
      <c r="A469" t="s">
        <v>741</v>
      </c>
      <c r="B469" t="s">
        <v>82</v>
      </c>
      <c r="C469" t="s">
        <v>92</v>
      </c>
      <c r="D469" s="4">
        <v>24667</v>
      </c>
      <c r="E469" s="4">
        <v>45455</v>
      </c>
      <c r="F469" s="9">
        <v>45461</v>
      </c>
      <c r="G469" t="s">
        <v>72</v>
      </c>
      <c r="H469" t="s">
        <v>2529</v>
      </c>
      <c r="I469" t="s">
        <v>2534</v>
      </c>
      <c r="J469" s="7">
        <v>3699500</v>
      </c>
      <c r="K469" t="s">
        <v>43</v>
      </c>
      <c r="L469" t="s">
        <v>2527</v>
      </c>
      <c r="M469" t="s">
        <v>24</v>
      </c>
      <c r="N469" s="6">
        <v>6</v>
      </c>
      <c r="O469" t="s">
        <v>36</v>
      </c>
      <c r="P469">
        <f t="shared" si="7"/>
        <v>57</v>
      </c>
    </row>
    <row r="470" spans="1:16" x14ac:dyDescent="0.2">
      <c r="A470" t="s">
        <v>743</v>
      </c>
      <c r="B470" t="s">
        <v>16</v>
      </c>
      <c r="C470" t="s">
        <v>28</v>
      </c>
      <c r="D470" s="4">
        <v>19646</v>
      </c>
      <c r="E470" s="4">
        <v>45348</v>
      </c>
      <c r="F470" s="9">
        <v>45360</v>
      </c>
      <c r="G470" t="s">
        <v>100</v>
      </c>
      <c r="H470" t="s">
        <v>61</v>
      </c>
      <c r="I470" t="s">
        <v>67</v>
      </c>
      <c r="J470" s="7">
        <v>2221708</v>
      </c>
      <c r="K470" t="s">
        <v>48</v>
      </c>
      <c r="L470" t="s">
        <v>2527</v>
      </c>
      <c r="M470" t="s">
        <v>35</v>
      </c>
      <c r="N470" s="6">
        <v>12</v>
      </c>
      <c r="O470" t="s">
        <v>25</v>
      </c>
      <c r="P470">
        <f t="shared" si="7"/>
        <v>71</v>
      </c>
    </row>
    <row r="471" spans="1:16" x14ac:dyDescent="0.2">
      <c r="A471" t="s">
        <v>2024</v>
      </c>
      <c r="B471" t="s">
        <v>64</v>
      </c>
      <c r="C471" t="s">
        <v>92</v>
      </c>
      <c r="D471" s="4">
        <v>29991</v>
      </c>
      <c r="E471" s="4">
        <v>45434</v>
      </c>
      <c r="F471" s="9" t="s">
        <v>2536</v>
      </c>
      <c r="G471" t="s">
        <v>100</v>
      </c>
      <c r="H471" t="s">
        <v>61</v>
      </c>
      <c r="I471" t="s">
        <v>2534</v>
      </c>
      <c r="J471" s="7">
        <v>4546500</v>
      </c>
      <c r="K471" t="s">
        <v>48</v>
      </c>
      <c r="L471" t="s">
        <v>34</v>
      </c>
      <c r="M471" t="s">
        <v>35</v>
      </c>
      <c r="N471" s="6" t="s">
        <v>2525</v>
      </c>
      <c r="O471" t="s">
        <v>25</v>
      </c>
      <c r="P471">
        <f t="shared" si="7"/>
        <v>42</v>
      </c>
    </row>
    <row r="472" spans="1:16" x14ac:dyDescent="0.2">
      <c r="A472" t="s">
        <v>744</v>
      </c>
      <c r="B472" t="s">
        <v>38</v>
      </c>
      <c r="C472" t="s">
        <v>28</v>
      </c>
      <c r="D472" s="4">
        <v>23974</v>
      </c>
      <c r="E472" s="4">
        <v>45433</v>
      </c>
      <c r="F472" s="9">
        <v>45434</v>
      </c>
      <c r="G472" t="s">
        <v>60</v>
      </c>
      <c r="H472" t="s">
        <v>66</v>
      </c>
      <c r="I472" t="s">
        <v>67</v>
      </c>
      <c r="J472" s="7">
        <v>5608964</v>
      </c>
      <c r="K472" t="s">
        <v>71</v>
      </c>
      <c r="L472" t="s">
        <v>34</v>
      </c>
      <c r="M472" t="s">
        <v>78</v>
      </c>
      <c r="N472" s="6">
        <v>1</v>
      </c>
      <c r="O472" t="s">
        <v>36</v>
      </c>
      <c r="P472">
        <f t="shared" si="7"/>
        <v>59</v>
      </c>
    </row>
    <row r="473" spans="1:16" x14ac:dyDescent="0.2">
      <c r="A473" t="s">
        <v>745</v>
      </c>
      <c r="B473" t="s">
        <v>102</v>
      </c>
      <c r="C473" t="s">
        <v>39</v>
      </c>
      <c r="D473" s="4">
        <v>30465</v>
      </c>
      <c r="E473" s="4">
        <v>45426</v>
      </c>
      <c r="F473" s="9">
        <v>45428</v>
      </c>
      <c r="G473" t="s">
        <v>46</v>
      </c>
      <c r="H473" t="s">
        <v>30</v>
      </c>
      <c r="I473" t="s">
        <v>41</v>
      </c>
      <c r="J473" s="7">
        <v>1840736</v>
      </c>
      <c r="K473" t="s">
        <v>43</v>
      </c>
      <c r="L473" t="s">
        <v>2527</v>
      </c>
      <c r="M473" t="s">
        <v>24</v>
      </c>
      <c r="N473" s="6">
        <v>2</v>
      </c>
      <c r="O473" t="s">
        <v>36</v>
      </c>
      <c r="P473">
        <f t="shared" si="7"/>
        <v>41</v>
      </c>
    </row>
    <row r="474" spans="1:16" x14ac:dyDescent="0.2">
      <c r="A474" t="s">
        <v>2025</v>
      </c>
      <c r="B474" t="s">
        <v>91</v>
      </c>
      <c r="C474" t="s">
        <v>92</v>
      </c>
      <c r="D474" s="4">
        <v>38450</v>
      </c>
      <c r="E474" s="4">
        <v>45429</v>
      </c>
      <c r="F474" s="9">
        <v>45435</v>
      </c>
      <c r="G474" t="s">
        <v>88</v>
      </c>
      <c r="H474" t="s">
        <v>66</v>
      </c>
      <c r="I474" t="s">
        <v>41</v>
      </c>
      <c r="J474" s="7">
        <v>2538556</v>
      </c>
      <c r="K474" t="s">
        <v>43</v>
      </c>
      <c r="L474" t="s">
        <v>2527</v>
      </c>
      <c r="M474" t="s">
        <v>35</v>
      </c>
      <c r="N474" s="6">
        <v>6</v>
      </c>
      <c r="O474" t="s">
        <v>36</v>
      </c>
      <c r="P474">
        <f t="shared" si="7"/>
        <v>19</v>
      </c>
    </row>
    <row r="475" spans="1:16" x14ac:dyDescent="0.2">
      <c r="A475" t="s">
        <v>2026</v>
      </c>
      <c r="B475" t="s">
        <v>85</v>
      </c>
      <c r="C475" t="s">
        <v>92</v>
      </c>
      <c r="D475" s="4">
        <v>23750</v>
      </c>
      <c r="E475" s="4">
        <v>45457</v>
      </c>
      <c r="F475" s="9">
        <v>45465</v>
      </c>
      <c r="G475" t="s">
        <v>83</v>
      </c>
      <c r="H475" t="s">
        <v>66</v>
      </c>
      <c r="I475" t="s">
        <v>2533</v>
      </c>
      <c r="J475" s="7">
        <v>4435872</v>
      </c>
      <c r="K475" t="s">
        <v>71</v>
      </c>
      <c r="L475" t="s">
        <v>2527</v>
      </c>
      <c r="M475" t="s">
        <v>78</v>
      </c>
      <c r="N475" s="6">
        <v>8</v>
      </c>
      <c r="O475" t="s">
        <v>2531</v>
      </c>
      <c r="P475">
        <f t="shared" si="7"/>
        <v>59</v>
      </c>
    </row>
    <row r="476" spans="1:16" x14ac:dyDescent="0.2">
      <c r="A476" t="s">
        <v>2027</v>
      </c>
      <c r="B476" t="s">
        <v>80</v>
      </c>
      <c r="C476" t="s">
        <v>28</v>
      </c>
      <c r="D476" s="4">
        <v>25457</v>
      </c>
      <c r="E476" s="4">
        <v>45407</v>
      </c>
      <c r="F476" s="9">
        <v>45412</v>
      </c>
      <c r="G476" t="s">
        <v>29</v>
      </c>
      <c r="H476" t="s">
        <v>19</v>
      </c>
      <c r="I476" t="s">
        <v>67</v>
      </c>
      <c r="J476" s="7">
        <v>3031000</v>
      </c>
      <c r="K476" t="s">
        <v>43</v>
      </c>
      <c r="L476" t="s">
        <v>34</v>
      </c>
      <c r="M476" t="s">
        <v>35</v>
      </c>
      <c r="N476" s="6">
        <v>5</v>
      </c>
      <c r="O476" t="s">
        <v>36</v>
      </c>
      <c r="P476">
        <f t="shared" si="7"/>
        <v>55</v>
      </c>
    </row>
    <row r="477" spans="1:16" x14ac:dyDescent="0.2">
      <c r="A477" t="s">
        <v>2028</v>
      </c>
      <c r="B477" t="s">
        <v>102</v>
      </c>
      <c r="C477" t="s">
        <v>28</v>
      </c>
      <c r="D477" s="4">
        <v>37399</v>
      </c>
      <c r="E477" s="4">
        <v>45411</v>
      </c>
      <c r="F477" s="9">
        <v>45419</v>
      </c>
      <c r="G477" t="s">
        <v>29</v>
      </c>
      <c r="H477" t="s">
        <v>19</v>
      </c>
      <c r="I477" t="s">
        <v>41</v>
      </c>
      <c r="J477" s="7">
        <v>3913000</v>
      </c>
      <c r="K477" t="s">
        <v>48</v>
      </c>
      <c r="L477" t="s">
        <v>2527</v>
      </c>
      <c r="M477" t="s">
        <v>35</v>
      </c>
      <c r="N477" s="6">
        <v>8</v>
      </c>
      <c r="O477" t="s">
        <v>25</v>
      </c>
      <c r="P477">
        <f t="shared" si="7"/>
        <v>22</v>
      </c>
    </row>
    <row r="478" spans="1:16" x14ac:dyDescent="0.2">
      <c r="A478" t="s">
        <v>2029</v>
      </c>
      <c r="B478" t="s">
        <v>150</v>
      </c>
      <c r="C478" t="s">
        <v>92</v>
      </c>
      <c r="D478" s="4">
        <v>20964</v>
      </c>
      <c r="E478" s="4">
        <v>45420</v>
      </c>
      <c r="F478" s="9">
        <v>45435</v>
      </c>
      <c r="G478" t="s">
        <v>74</v>
      </c>
      <c r="H478" t="s">
        <v>2528</v>
      </c>
      <c r="I478" t="s">
        <v>67</v>
      </c>
      <c r="J478" s="7">
        <v>3157164</v>
      </c>
      <c r="K478" t="s">
        <v>43</v>
      </c>
      <c r="L478" t="s">
        <v>23</v>
      </c>
      <c r="M478" t="s">
        <v>78</v>
      </c>
      <c r="N478" s="6">
        <v>15</v>
      </c>
      <c r="O478" t="s">
        <v>36</v>
      </c>
      <c r="P478">
        <f t="shared" si="7"/>
        <v>67</v>
      </c>
    </row>
    <row r="479" spans="1:16" x14ac:dyDescent="0.2">
      <c r="A479" t="s">
        <v>2030</v>
      </c>
      <c r="B479" t="s">
        <v>45</v>
      </c>
      <c r="C479" t="s">
        <v>28</v>
      </c>
      <c r="D479" s="4">
        <v>27257</v>
      </c>
      <c r="E479" s="4">
        <v>45472</v>
      </c>
      <c r="F479" s="9">
        <v>45485</v>
      </c>
      <c r="G479" t="s">
        <v>88</v>
      </c>
      <c r="H479" t="s">
        <v>66</v>
      </c>
      <c r="I479" t="s">
        <v>2533</v>
      </c>
      <c r="J479" s="7">
        <v>2369500</v>
      </c>
      <c r="K479" t="s">
        <v>71</v>
      </c>
      <c r="L479" t="s">
        <v>2527</v>
      </c>
      <c r="M479" t="s">
        <v>24</v>
      </c>
      <c r="N479" s="6">
        <v>13</v>
      </c>
      <c r="O479" t="s">
        <v>36</v>
      </c>
      <c r="P479">
        <f t="shared" si="7"/>
        <v>50</v>
      </c>
    </row>
    <row r="480" spans="1:16" x14ac:dyDescent="0.2">
      <c r="A480" t="s">
        <v>2031</v>
      </c>
      <c r="B480" t="s">
        <v>105</v>
      </c>
      <c r="C480" t="s">
        <v>39</v>
      </c>
      <c r="D480" s="4">
        <v>23155</v>
      </c>
      <c r="E480" s="4">
        <v>45350</v>
      </c>
      <c r="F480" s="9">
        <v>45354</v>
      </c>
      <c r="G480" t="s">
        <v>50</v>
      </c>
      <c r="H480" t="s">
        <v>2528</v>
      </c>
      <c r="I480" t="s">
        <v>2535</v>
      </c>
      <c r="J480" s="7">
        <v>4643332</v>
      </c>
      <c r="K480" t="s">
        <v>71</v>
      </c>
      <c r="L480" t="s">
        <v>2527</v>
      </c>
      <c r="M480" t="s">
        <v>35</v>
      </c>
      <c r="N480" s="6">
        <v>4</v>
      </c>
      <c r="O480" t="s">
        <v>36</v>
      </c>
      <c r="P480">
        <f t="shared" si="7"/>
        <v>61</v>
      </c>
    </row>
    <row r="481" spans="1:16" x14ac:dyDescent="0.2">
      <c r="A481" t="s">
        <v>2032</v>
      </c>
      <c r="B481" t="s">
        <v>82</v>
      </c>
      <c r="C481" t="s">
        <v>28</v>
      </c>
      <c r="D481" s="4">
        <v>32638</v>
      </c>
      <c r="E481" s="4">
        <v>45434</v>
      </c>
      <c r="F481" s="9">
        <v>45444</v>
      </c>
      <c r="G481" t="s">
        <v>60</v>
      </c>
      <c r="H481" t="s">
        <v>66</v>
      </c>
      <c r="I481" t="s">
        <v>67</v>
      </c>
      <c r="J481" s="7">
        <v>3930500</v>
      </c>
      <c r="K481" t="s">
        <v>48</v>
      </c>
      <c r="L481" t="s">
        <v>23</v>
      </c>
      <c r="M481" t="s">
        <v>78</v>
      </c>
      <c r="N481" s="6">
        <v>10</v>
      </c>
      <c r="O481" t="s">
        <v>36</v>
      </c>
      <c r="P481">
        <f t="shared" si="7"/>
        <v>35</v>
      </c>
    </row>
    <row r="482" spans="1:16" x14ac:dyDescent="0.2">
      <c r="A482" t="s">
        <v>2033</v>
      </c>
      <c r="B482" t="s">
        <v>27</v>
      </c>
      <c r="C482" t="s">
        <v>92</v>
      </c>
      <c r="D482" s="4">
        <v>28948</v>
      </c>
      <c r="E482" s="4">
        <v>45437</v>
      </c>
      <c r="F482" s="9">
        <v>45440</v>
      </c>
      <c r="G482" t="s">
        <v>18</v>
      </c>
      <c r="H482" t="s">
        <v>2529</v>
      </c>
      <c r="I482" t="s">
        <v>41</v>
      </c>
      <c r="J482" s="7">
        <v>5031848</v>
      </c>
      <c r="K482" t="s">
        <v>71</v>
      </c>
      <c r="L482" t="s">
        <v>23</v>
      </c>
      <c r="M482" t="s">
        <v>78</v>
      </c>
      <c r="N482" s="6">
        <v>3</v>
      </c>
      <c r="O482" t="s">
        <v>36</v>
      </c>
      <c r="P482">
        <f t="shared" si="7"/>
        <v>45</v>
      </c>
    </row>
    <row r="483" spans="1:16" x14ac:dyDescent="0.2">
      <c r="A483" t="s">
        <v>759</v>
      </c>
      <c r="B483" t="s">
        <v>56</v>
      </c>
      <c r="C483" t="s">
        <v>92</v>
      </c>
      <c r="D483" s="4">
        <v>29039</v>
      </c>
      <c r="E483" s="4">
        <v>45455</v>
      </c>
      <c r="F483" s="9" t="s">
        <v>2536</v>
      </c>
      <c r="G483" t="s">
        <v>74</v>
      </c>
      <c r="H483" t="s">
        <v>2528</v>
      </c>
      <c r="I483" t="s">
        <v>2535</v>
      </c>
      <c r="J483" s="7">
        <v>1746436</v>
      </c>
      <c r="K483" t="s">
        <v>43</v>
      </c>
      <c r="L483" t="s">
        <v>2527</v>
      </c>
      <c r="M483" t="s">
        <v>35</v>
      </c>
      <c r="N483" s="6" t="s">
        <v>2525</v>
      </c>
      <c r="O483" t="s">
        <v>25</v>
      </c>
      <c r="P483">
        <f t="shared" si="7"/>
        <v>45</v>
      </c>
    </row>
    <row r="484" spans="1:16" x14ac:dyDescent="0.2">
      <c r="A484" t="s">
        <v>2034</v>
      </c>
      <c r="B484" t="s">
        <v>45</v>
      </c>
      <c r="C484" t="s">
        <v>28</v>
      </c>
      <c r="D484" s="4">
        <v>25900</v>
      </c>
      <c r="E484" s="4">
        <v>45460</v>
      </c>
      <c r="F484" s="9">
        <v>45466</v>
      </c>
      <c r="G484" t="s">
        <v>46</v>
      </c>
      <c r="H484" t="s">
        <v>30</v>
      </c>
      <c r="I484" t="s">
        <v>41</v>
      </c>
      <c r="J484" s="7">
        <v>3549452</v>
      </c>
      <c r="K484" t="s">
        <v>48</v>
      </c>
      <c r="L484" t="s">
        <v>34</v>
      </c>
      <c r="M484" t="s">
        <v>35</v>
      </c>
      <c r="N484" s="6">
        <v>6</v>
      </c>
      <c r="O484" t="s">
        <v>2531</v>
      </c>
      <c r="P484">
        <f t="shared" si="7"/>
        <v>54</v>
      </c>
    </row>
    <row r="485" spans="1:16" x14ac:dyDescent="0.2">
      <c r="A485" t="s">
        <v>761</v>
      </c>
      <c r="B485" t="s">
        <v>118</v>
      </c>
      <c r="C485" t="s">
        <v>39</v>
      </c>
      <c r="D485" s="4">
        <v>25029</v>
      </c>
      <c r="E485" s="4">
        <v>45344</v>
      </c>
      <c r="F485" s="9">
        <v>45356</v>
      </c>
      <c r="G485" t="s">
        <v>46</v>
      </c>
      <c r="H485" t="s">
        <v>30</v>
      </c>
      <c r="I485" t="s">
        <v>2535</v>
      </c>
      <c r="J485" s="7">
        <v>2772420</v>
      </c>
      <c r="K485" t="s">
        <v>43</v>
      </c>
      <c r="L485" t="s">
        <v>2527</v>
      </c>
      <c r="M485" t="s">
        <v>78</v>
      </c>
      <c r="N485" s="6">
        <v>12</v>
      </c>
      <c r="O485" t="s">
        <v>25</v>
      </c>
      <c r="P485">
        <f t="shared" si="7"/>
        <v>56</v>
      </c>
    </row>
    <row r="486" spans="1:16" x14ac:dyDescent="0.2">
      <c r="A486" t="s">
        <v>2035</v>
      </c>
      <c r="B486" t="s">
        <v>150</v>
      </c>
      <c r="C486" t="s">
        <v>39</v>
      </c>
      <c r="D486" s="4">
        <v>31346</v>
      </c>
      <c r="E486" s="4">
        <v>45426</v>
      </c>
      <c r="F486" s="9">
        <v>45441</v>
      </c>
      <c r="G486" t="s">
        <v>100</v>
      </c>
      <c r="H486" t="s">
        <v>61</v>
      </c>
      <c r="I486" t="s">
        <v>2535</v>
      </c>
      <c r="J486" s="7">
        <v>678960</v>
      </c>
      <c r="K486" t="s">
        <v>48</v>
      </c>
      <c r="L486" t="s">
        <v>2527</v>
      </c>
      <c r="M486" t="s">
        <v>78</v>
      </c>
      <c r="N486" s="6">
        <v>15</v>
      </c>
      <c r="O486" t="s">
        <v>36</v>
      </c>
      <c r="P486">
        <f t="shared" si="7"/>
        <v>39</v>
      </c>
    </row>
    <row r="487" spans="1:16" x14ac:dyDescent="0.2">
      <c r="A487" t="s">
        <v>2036</v>
      </c>
      <c r="B487" t="s">
        <v>85</v>
      </c>
      <c r="C487" t="s">
        <v>39</v>
      </c>
      <c r="D487" s="4">
        <v>24002</v>
      </c>
      <c r="E487" s="4">
        <v>45355</v>
      </c>
      <c r="F487" s="9">
        <v>45367</v>
      </c>
      <c r="G487" t="s">
        <v>100</v>
      </c>
      <c r="H487" t="s">
        <v>61</v>
      </c>
      <c r="I487" t="s">
        <v>2534</v>
      </c>
      <c r="J487" s="7">
        <v>1791700</v>
      </c>
      <c r="K487" t="s">
        <v>71</v>
      </c>
      <c r="L487" t="s">
        <v>34</v>
      </c>
      <c r="M487" t="s">
        <v>35</v>
      </c>
      <c r="N487" s="6">
        <v>12</v>
      </c>
      <c r="O487" t="s">
        <v>36</v>
      </c>
      <c r="P487">
        <f t="shared" si="7"/>
        <v>59</v>
      </c>
    </row>
    <row r="488" spans="1:16" x14ac:dyDescent="0.2">
      <c r="A488" t="s">
        <v>2037</v>
      </c>
      <c r="B488" t="s">
        <v>27</v>
      </c>
      <c r="C488" t="s">
        <v>92</v>
      </c>
      <c r="D488" s="4">
        <v>40109</v>
      </c>
      <c r="E488" s="4">
        <v>45470</v>
      </c>
      <c r="F488" s="9">
        <v>45477</v>
      </c>
      <c r="G488" t="s">
        <v>83</v>
      </c>
      <c r="H488" t="s">
        <v>66</v>
      </c>
      <c r="I488" t="s">
        <v>41</v>
      </c>
      <c r="J488" s="7">
        <v>1102500</v>
      </c>
      <c r="K488" t="s">
        <v>71</v>
      </c>
      <c r="L488" t="s">
        <v>2527</v>
      </c>
      <c r="M488" t="s">
        <v>35</v>
      </c>
      <c r="N488" s="6">
        <v>7</v>
      </c>
      <c r="O488" t="s">
        <v>2531</v>
      </c>
      <c r="P488">
        <f t="shared" si="7"/>
        <v>15</v>
      </c>
    </row>
    <row r="489" spans="1:16" x14ac:dyDescent="0.2">
      <c r="A489" t="s">
        <v>767</v>
      </c>
      <c r="B489" t="s">
        <v>114</v>
      </c>
      <c r="C489" t="s">
        <v>92</v>
      </c>
      <c r="D489" s="4">
        <v>20662</v>
      </c>
      <c r="E489" s="4">
        <v>45389</v>
      </c>
      <c r="F489" s="9">
        <v>45403</v>
      </c>
      <c r="G489" t="s">
        <v>29</v>
      </c>
      <c r="H489" t="s">
        <v>19</v>
      </c>
      <c r="I489" t="s">
        <v>67</v>
      </c>
      <c r="J489" s="7">
        <v>2312236</v>
      </c>
      <c r="K489" t="s">
        <v>48</v>
      </c>
      <c r="L489" t="s">
        <v>2527</v>
      </c>
      <c r="M489" t="s">
        <v>24</v>
      </c>
      <c r="N489" s="6">
        <v>14</v>
      </c>
      <c r="O489" t="s">
        <v>36</v>
      </c>
      <c r="P489">
        <f t="shared" si="7"/>
        <v>68</v>
      </c>
    </row>
    <row r="490" spans="1:16" x14ac:dyDescent="0.2">
      <c r="A490" t="s">
        <v>769</v>
      </c>
      <c r="B490" t="s">
        <v>150</v>
      </c>
      <c r="C490" t="s">
        <v>92</v>
      </c>
      <c r="D490" s="4">
        <v>39793</v>
      </c>
      <c r="E490" s="4">
        <v>45404</v>
      </c>
      <c r="F490" s="9">
        <v>45409</v>
      </c>
      <c r="G490" t="s">
        <v>46</v>
      </c>
      <c r="H490" t="s">
        <v>30</v>
      </c>
      <c r="I490" t="s">
        <v>67</v>
      </c>
      <c r="J490" s="7">
        <v>5065796</v>
      </c>
      <c r="K490" t="s">
        <v>48</v>
      </c>
      <c r="L490" t="s">
        <v>2527</v>
      </c>
      <c r="M490" t="s">
        <v>35</v>
      </c>
      <c r="N490" s="6">
        <v>5</v>
      </c>
      <c r="O490" t="s">
        <v>25</v>
      </c>
      <c r="P490">
        <f t="shared" si="7"/>
        <v>16</v>
      </c>
    </row>
    <row r="491" spans="1:16" x14ac:dyDescent="0.2">
      <c r="A491" t="s">
        <v>771</v>
      </c>
      <c r="B491" t="s">
        <v>64</v>
      </c>
      <c r="C491" t="s">
        <v>28</v>
      </c>
      <c r="D491" s="4">
        <v>27217</v>
      </c>
      <c r="E491" s="4">
        <v>45404</v>
      </c>
      <c r="F491" s="9">
        <v>45416</v>
      </c>
      <c r="G491" t="s">
        <v>72</v>
      </c>
      <c r="H491" t="s">
        <v>2529</v>
      </c>
      <c r="I491" t="s">
        <v>67</v>
      </c>
      <c r="J491" s="7">
        <v>3790860</v>
      </c>
      <c r="K491" t="s">
        <v>43</v>
      </c>
      <c r="L491" t="s">
        <v>34</v>
      </c>
      <c r="M491" t="s">
        <v>78</v>
      </c>
      <c r="N491" s="6">
        <v>12</v>
      </c>
      <c r="O491" t="s">
        <v>25</v>
      </c>
      <c r="P491">
        <f t="shared" si="7"/>
        <v>50</v>
      </c>
    </row>
    <row r="492" spans="1:16" x14ac:dyDescent="0.2">
      <c r="A492" t="s">
        <v>2038</v>
      </c>
      <c r="B492" t="s">
        <v>64</v>
      </c>
      <c r="C492" t="s">
        <v>92</v>
      </c>
      <c r="D492" s="4">
        <v>30630</v>
      </c>
      <c r="E492" s="4">
        <v>45355</v>
      </c>
      <c r="F492" s="9">
        <v>45359</v>
      </c>
      <c r="G492" t="s">
        <v>88</v>
      </c>
      <c r="H492" t="s">
        <v>66</v>
      </c>
      <c r="I492" t="s">
        <v>67</v>
      </c>
      <c r="J492" s="7">
        <v>451500</v>
      </c>
      <c r="K492" t="s">
        <v>48</v>
      </c>
      <c r="L492" t="s">
        <v>34</v>
      </c>
      <c r="M492" t="s">
        <v>35</v>
      </c>
      <c r="N492" s="6">
        <v>4</v>
      </c>
      <c r="O492" t="s">
        <v>2531</v>
      </c>
      <c r="P492">
        <f t="shared" si="7"/>
        <v>41</v>
      </c>
    </row>
    <row r="493" spans="1:16" x14ac:dyDescent="0.2">
      <c r="A493" t="s">
        <v>774</v>
      </c>
      <c r="B493" t="s">
        <v>140</v>
      </c>
      <c r="C493" t="s">
        <v>92</v>
      </c>
      <c r="D493" s="4">
        <v>31885</v>
      </c>
      <c r="E493" s="4">
        <v>45375</v>
      </c>
      <c r="F493" s="9">
        <v>45379</v>
      </c>
      <c r="G493" t="s">
        <v>40</v>
      </c>
      <c r="H493" t="s">
        <v>75</v>
      </c>
      <c r="I493" t="s">
        <v>2533</v>
      </c>
      <c r="J493" s="7">
        <v>1308884</v>
      </c>
      <c r="K493" t="s">
        <v>48</v>
      </c>
      <c r="L493" t="s">
        <v>34</v>
      </c>
      <c r="M493" t="s">
        <v>78</v>
      </c>
      <c r="N493" s="6">
        <v>4</v>
      </c>
      <c r="O493" t="s">
        <v>36</v>
      </c>
      <c r="P493">
        <f t="shared" si="7"/>
        <v>37</v>
      </c>
    </row>
    <row r="494" spans="1:16" x14ac:dyDescent="0.2">
      <c r="A494" t="s">
        <v>2039</v>
      </c>
      <c r="B494" t="s">
        <v>59</v>
      </c>
      <c r="C494" t="s">
        <v>92</v>
      </c>
      <c r="D494" s="4">
        <v>31016</v>
      </c>
      <c r="E494" s="4">
        <v>45409</v>
      </c>
      <c r="F494" s="9" t="s">
        <v>2536</v>
      </c>
      <c r="G494" t="s">
        <v>60</v>
      </c>
      <c r="H494" t="s">
        <v>66</v>
      </c>
      <c r="I494" t="s">
        <v>2535</v>
      </c>
      <c r="J494" s="7">
        <v>3225060</v>
      </c>
      <c r="K494" t="s">
        <v>48</v>
      </c>
      <c r="L494" t="s">
        <v>23</v>
      </c>
      <c r="M494" t="s">
        <v>78</v>
      </c>
      <c r="N494" s="6" t="s">
        <v>2525</v>
      </c>
      <c r="O494" t="s">
        <v>36</v>
      </c>
      <c r="P494">
        <f t="shared" si="7"/>
        <v>40</v>
      </c>
    </row>
    <row r="495" spans="1:16" x14ac:dyDescent="0.2">
      <c r="A495" t="s">
        <v>778</v>
      </c>
      <c r="B495" t="s">
        <v>27</v>
      </c>
      <c r="C495" t="s">
        <v>39</v>
      </c>
      <c r="D495" s="4">
        <v>36915</v>
      </c>
      <c r="E495" s="4">
        <v>45356</v>
      </c>
      <c r="F495" s="9">
        <v>45367</v>
      </c>
      <c r="G495" t="s">
        <v>72</v>
      </c>
      <c r="H495" t="s">
        <v>2529</v>
      </c>
      <c r="I495" t="s">
        <v>2534</v>
      </c>
      <c r="J495" s="7">
        <v>1302000</v>
      </c>
      <c r="K495" t="s">
        <v>48</v>
      </c>
      <c r="L495" t="s">
        <v>2527</v>
      </c>
      <c r="M495" t="s">
        <v>24</v>
      </c>
      <c r="N495" s="6">
        <v>11</v>
      </c>
      <c r="O495" t="s">
        <v>25</v>
      </c>
      <c r="P495">
        <f t="shared" si="7"/>
        <v>23</v>
      </c>
    </row>
    <row r="496" spans="1:16" x14ac:dyDescent="0.2">
      <c r="A496" t="s">
        <v>2040</v>
      </c>
      <c r="B496" t="s">
        <v>119</v>
      </c>
      <c r="C496" t="s">
        <v>28</v>
      </c>
      <c r="D496" s="4">
        <v>30793</v>
      </c>
      <c r="E496" s="4">
        <v>45420</v>
      </c>
      <c r="F496" s="9">
        <v>45430</v>
      </c>
      <c r="G496" t="s">
        <v>60</v>
      </c>
      <c r="H496" t="s">
        <v>66</v>
      </c>
      <c r="I496" t="s">
        <v>2534</v>
      </c>
      <c r="J496" s="7">
        <v>3685244</v>
      </c>
      <c r="K496" t="s">
        <v>43</v>
      </c>
      <c r="L496" t="s">
        <v>34</v>
      </c>
      <c r="M496" t="s">
        <v>35</v>
      </c>
      <c r="N496" s="6">
        <v>10</v>
      </c>
      <c r="O496" t="s">
        <v>36</v>
      </c>
      <c r="P496">
        <f t="shared" si="7"/>
        <v>40</v>
      </c>
    </row>
    <row r="497" spans="1:16" x14ac:dyDescent="0.2">
      <c r="A497" t="s">
        <v>2041</v>
      </c>
      <c r="B497" t="s">
        <v>51</v>
      </c>
      <c r="C497" t="s">
        <v>28</v>
      </c>
      <c r="D497" s="4">
        <v>30576</v>
      </c>
      <c r="E497" s="4">
        <v>45456</v>
      </c>
      <c r="F497" s="9">
        <v>45468</v>
      </c>
      <c r="G497" t="s">
        <v>83</v>
      </c>
      <c r="H497" t="s">
        <v>66</v>
      </c>
      <c r="I497" t="s">
        <v>2533</v>
      </c>
      <c r="J497" s="7">
        <v>2829000</v>
      </c>
      <c r="K497" t="s">
        <v>43</v>
      </c>
      <c r="L497" t="s">
        <v>2527</v>
      </c>
      <c r="M497" t="s">
        <v>24</v>
      </c>
      <c r="N497" s="6">
        <v>12</v>
      </c>
      <c r="O497" t="s">
        <v>25</v>
      </c>
      <c r="P497">
        <f t="shared" si="7"/>
        <v>41</v>
      </c>
    </row>
    <row r="498" spans="1:16" x14ac:dyDescent="0.2">
      <c r="A498" t="s">
        <v>782</v>
      </c>
      <c r="B498" t="s">
        <v>59</v>
      </c>
      <c r="C498" t="s">
        <v>92</v>
      </c>
      <c r="D498" s="4">
        <v>26202</v>
      </c>
      <c r="E498" s="4">
        <v>45430</v>
      </c>
      <c r="F498" s="9">
        <v>45441</v>
      </c>
      <c r="G498" t="s">
        <v>72</v>
      </c>
      <c r="H498" t="s">
        <v>2529</v>
      </c>
      <c r="I498" t="s">
        <v>2534</v>
      </c>
      <c r="J498" s="7">
        <v>2093460</v>
      </c>
      <c r="K498" t="s">
        <v>43</v>
      </c>
      <c r="L498" t="s">
        <v>2527</v>
      </c>
      <c r="M498" t="s">
        <v>35</v>
      </c>
      <c r="N498" s="6">
        <v>11</v>
      </c>
      <c r="O498" t="s">
        <v>25</v>
      </c>
      <c r="P498">
        <f t="shared" si="7"/>
        <v>53</v>
      </c>
    </row>
    <row r="499" spans="1:16" x14ac:dyDescent="0.2">
      <c r="A499" t="s">
        <v>2042</v>
      </c>
      <c r="B499" t="s">
        <v>150</v>
      </c>
      <c r="C499" t="s">
        <v>28</v>
      </c>
      <c r="D499" s="4">
        <v>19971</v>
      </c>
      <c r="E499" s="4">
        <v>45344</v>
      </c>
      <c r="F499" s="9" t="s">
        <v>2536</v>
      </c>
      <c r="G499" t="s">
        <v>18</v>
      </c>
      <c r="H499" t="s">
        <v>2529</v>
      </c>
      <c r="I499" t="s">
        <v>41</v>
      </c>
      <c r="J499" s="7">
        <v>1953896</v>
      </c>
      <c r="K499" t="s">
        <v>43</v>
      </c>
      <c r="L499" t="s">
        <v>34</v>
      </c>
      <c r="M499" t="s">
        <v>78</v>
      </c>
      <c r="N499" s="6" t="s">
        <v>2525</v>
      </c>
      <c r="O499" t="s">
        <v>25</v>
      </c>
      <c r="P499">
        <f t="shared" si="7"/>
        <v>70</v>
      </c>
    </row>
    <row r="500" spans="1:16" x14ac:dyDescent="0.2">
      <c r="A500" t="s">
        <v>2043</v>
      </c>
      <c r="B500" t="s">
        <v>51</v>
      </c>
      <c r="C500" t="s">
        <v>28</v>
      </c>
      <c r="D500" s="4">
        <v>32158</v>
      </c>
      <c r="E500" s="4">
        <v>45447</v>
      </c>
      <c r="F500" s="9">
        <v>45457</v>
      </c>
      <c r="G500" t="s">
        <v>72</v>
      </c>
      <c r="H500" t="s">
        <v>2529</v>
      </c>
      <c r="I500" t="s">
        <v>2533</v>
      </c>
      <c r="J500" s="7">
        <v>4092620</v>
      </c>
      <c r="K500" t="s">
        <v>48</v>
      </c>
      <c r="L500" t="s">
        <v>2527</v>
      </c>
      <c r="M500" t="s">
        <v>78</v>
      </c>
      <c r="N500" s="6">
        <v>10</v>
      </c>
      <c r="O500" t="s">
        <v>36</v>
      </c>
      <c r="P500">
        <f t="shared" si="7"/>
        <v>36</v>
      </c>
    </row>
    <row r="501" spans="1:16" x14ac:dyDescent="0.2">
      <c r="A501" t="s">
        <v>2044</v>
      </c>
      <c r="B501" t="s">
        <v>105</v>
      </c>
      <c r="C501" t="s">
        <v>92</v>
      </c>
      <c r="D501" s="4">
        <v>32466</v>
      </c>
      <c r="E501" s="4">
        <v>45415</v>
      </c>
      <c r="F501" s="9">
        <v>45422</v>
      </c>
      <c r="G501" t="s">
        <v>60</v>
      </c>
      <c r="H501" t="s">
        <v>66</v>
      </c>
      <c r="I501" t="s">
        <v>2535</v>
      </c>
      <c r="J501" s="7">
        <v>1554064</v>
      </c>
      <c r="K501" t="s">
        <v>48</v>
      </c>
      <c r="L501" t="s">
        <v>2527</v>
      </c>
      <c r="M501" t="s">
        <v>78</v>
      </c>
      <c r="N501" s="6">
        <v>7</v>
      </c>
      <c r="O501" t="s">
        <v>36</v>
      </c>
      <c r="P501">
        <f t="shared" si="7"/>
        <v>36</v>
      </c>
    </row>
    <row r="502" spans="1:16" x14ac:dyDescent="0.2">
      <c r="A502" t="s">
        <v>2045</v>
      </c>
      <c r="B502" t="s">
        <v>85</v>
      </c>
      <c r="C502" t="s">
        <v>28</v>
      </c>
      <c r="D502" s="4">
        <v>20621</v>
      </c>
      <c r="E502" s="4">
        <v>45326</v>
      </c>
      <c r="F502" s="9">
        <v>45341</v>
      </c>
      <c r="G502" t="s">
        <v>88</v>
      </c>
      <c r="H502" t="s">
        <v>66</v>
      </c>
      <c r="I502" t="s">
        <v>41</v>
      </c>
      <c r="J502" s="7">
        <v>3937500</v>
      </c>
      <c r="K502" t="s">
        <v>71</v>
      </c>
      <c r="L502" t="s">
        <v>2527</v>
      </c>
      <c r="M502" t="s">
        <v>78</v>
      </c>
      <c r="N502" s="6">
        <v>15</v>
      </c>
      <c r="O502" t="s">
        <v>36</v>
      </c>
      <c r="P502">
        <f t="shared" si="7"/>
        <v>68</v>
      </c>
    </row>
    <row r="503" spans="1:16" x14ac:dyDescent="0.2">
      <c r="A503" t="s">
        <v>2046</v>
      </c>
      <c r="B503" t="s">
        <v>56</v>
      </c>
      <c r="C503" t="s">
        <v>92</v>
      </c>
      <c r="D503" s="4">
        <v>39269</v>
      </c>
      <c r="E503" s="4">
        <v>45396</v>
      </c>
      <c r="F503" s="9">
        <v>45398</v>
      </c>
      <c r="G503" t="s">
        <v>18</v>
      </c>
      <c r="H503" t="s">
        <v>2529</v>
      </c>
      <c r="I503" t="s">
        <v>67</v>
      </c>
      <c r="J503" s="7">
        <v>3475500</v>
      </c>
      <c r="K503" t="s">
        <v>48</v>
      </c>
      <c r="L503" t="s">
        <v>2527</v>
      </c>
      <c r="M503" t="s">
        <v>24</v>
      </c>
      <c r="N503" s="6">
        <v>2</v>
      </c>
      <c r="O503" t="s">
        <v>25</v>
      </c>
      <c r="P503">
        <f t="shared" si="7"/>
        <v>17</v>
      </c>
    </row>
    <row r="504" spans="1:16" x14ac:dyDescent="0.2">
      <c r="A504" t="s">
        <v>2047</v>
      </c>
      <c r="B504" t="s">
        <v>118</v>
      </c>
      <c r="C504" t="s">
        <v>28</v>
      </c>
      <c r="D504" s="4">
        <v>26350</v>
      </c>
      <c r="E504" s="4">
        <v>45414</v>
      </c>
      <c r="F504" s="9">
        <v>45420</v>
      </c>
      <c r="G504" t="s">
        <v>72</v>
      </c>
      <c r="H504" t="s">
        <v>2529</v>
      </c>
      <c r="I504" t="s">
        <v>67</v>
      </c>
      <c r="J504" s="7">
        <v>2395220</v>
      </c>
      <c r="K504" t="s">
        <v>48</v>
      </c>
      <c r="L504" t="s">
        <v>2527</v>
      </c>
      <c r="M504" t="s">
        <v>35</v>
      </c>
      <c r="N504" s="6">
        <v>6</v>
      </c>
      <c r="O504" t="s">
        <v>25</v>
      </c>
      <c r="P504">
        <f t="shared" si="7"/>
        <v>52</v>
      </c>
    </row>
    <row r="505" spans="1:16" x14ac:dyDescent="0.2">
      <c r="A505" t="s">
        <v>791</v>
      </c>
      <c r="B505" t="s">
        <v>16</v>
      </c>
      <c r="C505" t="s">
        <v>39</v>
      </c>
      <c r="D505" s="4">
        <v>21288</v>
      </c>
      <c r="E505" s="4">
        <v>45393</v>
      </c>
      <c r="F505" s="9">
        <v>45397</v>
      </c>
      <c r="G505" t="s">
        <v>46</v>
      </c>
      <c r="H505" t="s">
        <v>30</v>
      </c>
      <c r="I505" t="s">
        <v>2533</v>
      </c>
      <c r="J505" s="7">
        <v>2159500</v>
      </c>
      <c r="K505" t="s">
        <v>43</v>
      </c>
      <c r="L505" t="s">
        <v>2527</v>
      </c>
      <c r="M505" t="s">
        <v>24</v>
      </c>
      <c r="N505" s="6">
        <v>4</v>
      </c>
      <c r="O505" t="s">
        <v>2531</v>
      </c>
      <c r="P505">
        <f t="shared" si="7"/>
        <v>66</v>
      </c>
    </row>
    <row r="506" spans="1:16" x14ac:dyDescent="0.2">
      <c r="A506" t="s">
        <v>793</v>
      </c>
      <c r="B506" t="s">
        <v>16</v>
      </c>
      <c r="C506" t="s">
        <v>28</v>
      </c>
      <c r="D506" s="4">
        <v>37027</v>
      </c>
      <c r="E506" s="4">
        <v>45328</v>
      </c>
      <c r="F506" s="9">
        <v>45343</v>
      </c>
      <c r="G506" t="s">
        <v>60</v>
      </c>
      <c r="H506" t="s">
        <v>66</v>
      </c>
      <c r="I506" t="s">
        <v>67</v>
      </c>
      <c r="J506" s="7">
        <v>4175604</v>
      </c>
      <c r="K506" t="s">
        <v>48</v>
      </c>
      <c r="L506" t="s">
        <v>34</v>
      </c>
      <c r="M506" t="s">
        <v>24</v>
      </c>
      <c r="N506" s="6">
        <v>15</v>
      </c>
      <c r="O506" t="s">
        <v>2531</v>
      </c>
      <c r="P506">
        <f t="shared" si="7"/>
        <v>23</v>
      </c>
    </row>
    <row r="507" spans="1:16" x14ac:dyDescent="0.2">
      <c r="A507" t="s">
        <v>2048</v>
      </c>
      <c r="B507" t="s">
        <v>82</v>
      </c>
      <c r="C507" t="s">
        <v>28</v>
      </c>
      <c r="D507" s="4">
        <v>24044</v>
      </c>
      <c r="E507" s="4">
        <v>45339</v>
      </c>
      <c r="F507" s="9">
        <v>45342</v>
      </c>
      <c r="G507" t="s">
        <v>100</v>
      </c>
      <c r="H507" t="s">
        <v>61</v>
      </c>
      <c r="I507" t="s">
        <v>41</v>
      </c>
      <c r="J507" s="7">
        <v>2018020</v>
      </c>
      <c r="K507" t="s">
        <v>48</v>
      </c>
      <c r="L507" t="s">
        <v>34</v>
      </c>
      <c r="M507" t="s">
        <v>24</v>
      </c>
      <c r="N507" s="6">
        <v>3</v>
      </c>
      <c r="O507" t="s">
        <v>25</v>
      </c>
      <c r="P507">
        <f t="shared" si="7"/>
        <v>59</v>
      </c>
    </row>
    <row r="508" spans="1:16" x14ac:dyDescent="0.2">
      <c r="A508" t="s">
        <v>2049</v>
      </c>
      <c r="B508" t="s">
        <v>82</v>
      </c>
      <c r="C508" t="s">
        <v>28</v>
      </c>
      <c r="D508" s="4">
        <v>38804</v>
      </c>
      <c r="E508" s="4">
        <v>45454</v>
      </c>
      <c r="F508" s="9" t="s">
        <v>2536</v>
      </c>
      <c r="G508" t="s">
        <v>74</v>
      </c>
      <c r="H508" t="s">
        <v>2528</v>
      </c>
      <c r="I508" t="s">
        <v>67</v>
      </c>
      <c r="J508" s="7">
        <v>2512152</v>
      </c>
      <c r="K508" t="s">
        <v>48</v>
      </c>
      <c r="L508" t="s">
        <v>34</v>
      </c>
      <c r="M508" t="s">
        <v>24</v>
      </c>
      <c r="N508" s="6" t="s">
        <v>2525</v>
      </c>
      <c r="O508" t="s">
        <v>36</v>
      </c>
      <c r="P508">
        <f t="shared" si="7"/>
        <v>18</v>
      </c>
    </row>
    <row r="509" spans="1:16" x14ac:dyDescent="0.2">
      <c r="A509" t="s">
        <v>2050</v>
      </c>
      <c r="B509" t="s">
        <v>16</v>
      </c>
      <c r="C509" t="s">
        <v>92</v>
      </c>
      <c r="D509" s="4">
        <v>20264</v>
      </c>
      <c r="E509" s="4">
        <v>45293</v>
      </c>
      <c r="F509" s="9" t="s">
        <v>2536</v>
      </c>
      <c r="G509" t="s">
        <v>40</v>
      </c>
      <c r="H509" t="s">
        <v>75</v>
      </c>
      <c r="I509" t="s">
        <v>67</v>
      </c>
      <c r="J509" s="7">
        <v>3041500</v>
      </c>
      <c r="K509" t="s">
        <v>71</v>
      </c>
      <c r="L509" t="s">
        <v>2527</v>
      </c>
      <c r="M509" t="s">
        <v>78</v>
      </c>
      <c r="N509" s="6" t="s">
        <v>2525</v>
      </c>
      <c r="O509" t="s">
        <v>36</v>
      </c>
      <c r="P509">
        <f t="shared" si="7"/>
        <v>69</v>
      </c>
    </row>
    <row r="510" spans="1:16" x14ac:dyDescent="0.2">
      <c r="A510" t="s">
        <v>2051</v>
      </c>
      <c r="B510" t="s">
        <v>59</v>
      </c>
      <c r="C510" t="s">
        <v>92</v>
      </c>
      <c r="D510" s="4">
        <v>26115</v>
      </c>
      <c r="E510" s="4">
        <v>45462</v>
      </c>
      <c r="F510" s="9">
        <v>45463</v>
      </c>
      <c r="G510" t="s">
        <v>83</v>
      </c>
      <c r="H510" t="s">
        <v>66</v>
      </c>
      <c r="I510" t="s">
        <v>67</v>
      </c>
      <c r="J510" s="7">
        <v>399832</v>
      </c>
      <c r="K510" t="s">
        <v>71</v>
      </c>
      <c r="L510" t="s">
        <v>23</v>
      </c>
      <c r="M510" t="s">
        <v>35</v>
      </c>
      <c r="N510" s="6">
        <v>1</v>
      </c>
      <c r="O510" t="s">
        <v>2531</v>
      </c>
      <c r="P510">
        <f t="shared" si="7"/>
        <v>53</v>
      </c>
    </row>
    <row r="511" spans="1:16" x14ac:dyDescent="0.2">
      <c r="A511" t="s">
        <v>2052</v>
      </c>
      <c r="B511" t="s">
        <v>91</v>
      </c>
      <c r="C511" t="s">
        <v>92</v>
      </c>
      <c r="D511" s="4">
        <v>33072</v>
      </c>
      <c r="E511" s="4">
        <v>45423</v>
      </c>
      <c r="F511" s="9">
        <v>45424</v>
      </c>
      <c r="G511" t="s">
        <v>88</v>
      </c>
      <c r="H511" t="s">
        <v>66</v>
      </c>
      <c r="I511" t="s">
        <v>2533</v>
      </c>
      <c r="J511" s="7">
        <v>675500</v>
      </c>
      <c r="K511" t="s">
        <v>71</v>
      </c>
      <c r="L511" t="s">
        <v>23</v>
      </c>
      <c r="M511" t="s">
        <v>24</v>
      </c>
      <c r="N511" s="6">
        <v>1</v>
      </c>
      <c r="O511" t="s">
        <v>2531</v>
      </c>
      <c r="P511">
        <f t="shared" si="7"/>
        <v>34</v>
      </c>
    </row>
    <row r="512" spans="1:16" x14ac:dyDescent="0.2">
      <c r="A512" t="s">
        <v>800</v>
      </c>
      <c r="B512" t="s">
        <v>102</v>
      </c>
      <c r="C512" t="s">
        <v>28</v>
      </c>
      <c r="D512" s="4">
        <v>33865</v>
      </c>
      <c r="E512" s="4">
        <v>45390</v>
      </c>
      <c r="F512" s="9">
        <v>45402</v>
      </c>
      <c r="G512" t="s">
        <v>40</v>
      </c>
      <c r="H512" t="s">
        <v>75</v>
      </c>
      <c r="I512" t="s">
        <v>41</v>
      </c>
      <c r="J512" s="7">
        <v>4273676</v>
      </c>
      <c r="K512" t="s">
        <v>48</v>
      </c>
      <c r="L512" t="s">
        <v>2527</v>
      </c>
      <c r="M512" t="s">
        <v>35</v>
      </c>
      <c r="N512" s="6">
        <v>12</v>
      </c>
      <c r="O512" t="s">
        <v>2531</v>
      </c>
      <c r="P512">
        <f t="shared" si="7"/>
        <v>32</v>
      </c>
    </row>
    <row r="513" spans="1:16" x14ac:dyDescent="0.2">
      <c r="A513" t="s">
        <v>2053</v>
      </c>
      <c r="B513" t="s">
        <v>140</v>
      </c>
      <c r="C513" t="s">
        <v>28</v>
      </c>
      <c r="D513" s="4">
        <v>22054</v>
      </c>
      <c r="E513" s="4">
        <v>45461</v>
      </c>
      <c r="F513" s="9">
        <v>45464</v>
      </c>
      <c r="G513" t="s">
        <v>74</v>
      </c>
      <c r="H513" t="s">
        <v>2528</v>
      </c>
      <c r="I513" t="s">
        <v>2534</v>
      </c>
      <c r="J513" s="7">
        <v>599748</v>
      </c>
      <c r="K513" t="s">
        <v>48</v>
      </c>
      <c r="L513" t="s">
        <v>2527</v>
      </c>
      <c r="M513" t="s">
        <v>78</v>
      </c>
      <c r="N513" s="6">
        <v>3</v>
      </c>
      <c r="O513" t="s">
        <v>36</v>
      </c>
      <c r="P513">
        <f t="shared" si="7"/>
        <v>64</v>
      </c>
    </row>
    <row r="514" spans="1:16" x14ac:dyDescent="0.2">
      <c r="A514" t="s">
        <v>2054</v>
      </c>
      <c r="B514" t="s">
        <v>56</v>
      </c>
      <c r="C514" t="s">
        <v>28</v>
      </c>
      <c r="D514" s="4">
        <v>22297</v>
      </c>
      <c r="E514" s="4">
        <v>45428</v>
      </c>
      <c r="F514" s="9" t="s">
        <v>2536</v>
      </c>
      <c r="G514" t="s">
        <v>83</v>
      </c>
      <c r="H514" t="s">
        <v>66</v>
      </c>
      <c r="I514" t="s">
        <v>67</v>
      </c>
      <c r="J514" s="7">
        <v>4824388</v>
      </c>
      <c r="K514" t="s">
        <v>48</v>
      </c>
      <c r="L514" t="s">
        <v>2527</v>
      </c>
      <c r="M514" t="s">
        <v>24</v>
      </c>
      <c r="N514" s="6" t="s">
        <v>2525</v>
      </c>
      <c r="O514" t="s">
        <v>36</v>
      </c>
      <c r="P514">
        <f t="shared" si="7"/>
        <v>63</v>
      </c>
    </row>
    <row r="515" spans="1:16" x14ac:dyDescent="0.2">
      <c r="A515" t="s">
        <v>2055</v>
      </c>
      <c r="B515" t="s">
        <v>27</v>
      </c>
      <c r="C515" t="s">
        <v>39</v>
      </c>
      <c r="D515" s="4">
        <v>32582</v>
      </c>
      <c r="E515" s="4">
        <v>45349</v>
      </c>
      <c r="F515" s="9" t="s">
        <v>2536</v>
      </c>
      <c r="G515" t="s">
        <v>74</v>
      </c>
      <c r="H515" t="s">
        <v>2528</v>
      </c>
      <c r="I515" t="s">
        <v>67</v>
      </c>
      <c r="J515" s="7">
        <v>3002512</v>
      </c>
      <c r="K515" t="s">
        <v>48</v>
      </c>
      <c r="L515" t="s">
        <v>2527</v>
      </c>
      <c r="M515" t="s">
        <v>35</v>
      </c>
      <c r="N515" s="6" t="s">
        <v>2525</v>
      </c>
      <c r="O515" t="s">
        <v>2531</v>
      </c>
      <c r="P515">
        <f t="shared" ref="P515:P578" si="8">YEAR(E515)-YEAR(D515)</f>
        <v>35</v>
      </c>
    </row>
    <row r="516" spans="1:16" x14ac:dyDescent="0.2">
      <c r="A516" t="s">
        <v>2056</v>
      </c>
      <c r="B516" t="s">
        <v>64</v>
      </c>
      <c r="C516" t="s">
        <v>92</v>
      </c>
      <c r="D516" s="4">
        <v>20291</v>
      </c>
      <c r="E516" s="4">
        <v>45391</v>
      </c>
      <c r="F516" s="9">
        <v>45397</v>
      </c>
      <c r="G516" t="s">
        <v>40</v>
      </c>
      <c r="H516" t="s">
        <v>75</v>
      </c>
      <c r="I516" t="s">
        <v>2535</v>
      </c>
      <c r="J516" s="7">
        <v>4937548</v>
      </c>
      <c r="K516" t="s">
        <v>48</v>
      </c>
      <c r="L516" t="s">
        <v>2527</v>
      </c>
      <c r="M516" t="s">
        <v>35</v>
      </c>
      <c r="N516" s="6">
        <v>6</v>
      </c>
      <c r="O516" t="s">
        <v>36</v>
      </c>
      <c r="P516">
        <f t="shared" si="8"/>
        <v>69</v>
      </c>
    </row>
    <row r="517" spans="1:16" x14ac:dyDescent="0.2">
      <c r="A517" t="s">
        <v>809</v>
      </c>
      <c r="B517" t="s">
        <v>45</v>
      </c>
      <c r="C517" t="s">
        <v>39</v>
      </c>
      <c r="D517" s="4">
        <v>25437</v>
      </c>
      <c r="E517" s="4">
        <v>45466</v>
      </c>
      <c r="F517" s="9" t="s">
        <v>2536</v>
      </c>
      <c r="G517" t="s">
        <v>60</v>
      </c>
      <c r="H517" t="s">
        <v>66</v>
      </c>
      <c r="I517" t="s">
        <v>2534</v>
      </c>
      <c r="J517" s="7">
        <v>5514664</v>
      </c>
      <c r="K517" t="s">
        <v>43</v>
      </c>
      <c r="L517" t="s">
        <v>2527</v>
      </c>
      <c r="M517" t="s">
        <v>78</v>
      </c>
      <c r="N517" s="6" t="s">
        <v>2525</v>
      </c>
      <c r="O517" t="s">
        <v>25</v>
      </c>
      <c r="P517">
        <f t="shared" si="8"/>
        <v>55</v>
      </c>
    </row>
    <row r="518" spans="1:16" x14ac:dyDescent="0.2">
      <c r="A518" t="s">
        <v>2057</v>
      </c>
      <c r="B518" t="s">
        <v>119</v>
      </c>
      <c r="C518" t="s">
        <v>28</v>
      </c>
      <c r="D518" s="4">
        <v>38943</v>
      </c>
      <c r="E518" s="4">
        <v>45418</v>
      </c>
      <c r="F518" s="9">
        <v>45425</v>
      </c>
      <c r="G518" t="s">
        <v>83</v>
      </c>
      <c r="H518" t="s">
        <v>66</v>
      </c>
      <c r="I518" t="s">
        <v>41</v>
      </c>
      <c r="J518" s="7">
        <v>2002932</v>
      </c>
      <c r="K518" t="s">
        <v>48</v>
      </c>
      <c r="L518" t="s">
        <v>23</v>
      </c>
      <c r="M518" t="s">
        <v>78</v>
      </c>
      <c r="N518" s="6">
        <v>7</v>
      </c>
      <c r="O518" t="s">
        <v>2531</v>
      </c>
      <c r="P518">
        <f t="shared" si="8"/>
        <v>18</v>
      </c>
    </row>
    <row r="519" spans="1:16" x14ac:dyDescent="0.2">
      <c r="A519" t="s">
        <v>812</v>
      </c>
      <c r="B519" t="s">
        <v>64</v>
      </c>
      <c r="C519" t="s">
        <v>92</v>
      </c>
      <c r="D519" s="4">
        <v>31118</v>
      </c>
      <c r="E519" s="4">
        <v>45400</v>
      </c>
      <c r="F519" s="9">
        <v>45413</v>
      </c>
      <c r="G519" t="s">
        <v>29</v>
      </c>
      <c r="H519" t="s">
        <v>19</v>
      </c>
      <c r="I519" t="s">
        <v>2535</v>
      </c>
      <c r="J519" s="7">
        <v>2376500</v>
      </c>
      <c r="K519" t="s">
        <v>48</v>
      </c>
      <c r="L519" t="s">
        <v>2527</v>
      </c>
      <c r="M519" t="s">
        <v>35</v>
      </c>
      <c r="N519" s="6">
        <v>13</v>
      </c>
      <c r="O519" t="s">
        <v>2531</v>
      </c>
      <c r="P519">
        <f t="shared" si="8"/>
        <v>39</v>
      </c>
    </row>
    <row r="520" spans="1:16" x14ac:dyDescent="0.2">
      <c r="A520" t="s">
        <v>814</v>
      </c>
      <c r="B520" t="s">
        <v>45</v>
      </c>
      <c r="C520" t="s">
        <v>28</v>
      </c>
      <c r="D520" s="4">
        <v>39715</v>
      </c>
      <c r="E520" s="4">
        <v>45439</v>
      </c>
      <c r="F520" s="9">
        <v>45447</v>
      </c>
      <c r="G520" t="s">
        <v>46</v>
      </c>
      <c r="H520" t="s">
        <v>30</v>
      </c>
      <c r="I520" t="s">
        <v>67</v>
      </c>
      <c r="J520" s="7">
        <v>1886000</v>
      </c>
      <c r="K520" t="s">
        <v>48</v>
      </c>
      <c r="L520" t="s">
        <v>34</v>
      </c>
      <c r="M520" t="s">
        <v>24</v>
      </c>
      <c r="N520" s="6">
        <v>8</v>
      </c>
      <c r="O520" t="s">
        <v>25</v>
      </c>
      <c r="P520">
        <f t="shared" si="8"/>
        <v>16</v>
      </c>
    </row>
    <row r="521" spans="1:16" x14ac:dyDescent="0.2">
      <c r="A521" t="s">
        <v>2058</v>
      </c>
      <c r="B521" t="s">
        <v>82</v>
      </c>
      <c r="C521" t="s">
        <v>28</v>
      </c>
      <c r="D521" s="4">
        <v>23776</v>
      </c>
      <c r="E521" s="4">
        <v>45316</v>
      </c>
      <c r="F521" s="9">
        <v>45319</v>
      </c>
      <c r="G521" t="s">
        <v>74</v>
      </c>
      <c r="H521" t="s">
        <v>2528</v>
      </c>
      <c r="I521" t="s">
        <v>2534</v>
      </c>
      <c r="J521" s="7">
        <v>2991196</v>
      </c>
      <c r="K521" t="s">
        <v>48</v>
      </c>
      <c r="L521" t="s">
        <v>2527</v>
      </c>
      <c r="M521" t="s">
        <v>35</v>
      </c>
      <c r="N521" s="6">
        <v>3</v>
      </c>
      <c r="O521" t="s">
        <v>25</v>
      </c>
      <c r="P521">
        <f t="shared" si="8"/>
        <v>59</v>
      </c>
    </row>
    <row r="522" spans="1:16" x14ac:dyDescent="0.2">
      <c r="A522" t="s">
        <v>2059</v>
      </c>
      <c r="B522" t="s">
        <v>56</v>
      </c>
      <c r="C522" t="s">
        <v>92</v>
      </c>
      <c r="D522" s="4">
        <v>37798</v>
      </c>
      <c r="E522" s="4">
        <v>45459</v>
      </c>
      <c r="F522" s="9">
        <v>45472</v>
      </c>
      <c r="G522" t="s">
        <v>100</v>
      </c>
      <c r="H522" t="s">
        <v>61</v>
      </c>
      <c r="I522" t="s">
        <v>41</v>
      </c>
      <c r="J522" s="7">
        <v>5397732</v>
      </c>
      <c r="K522" t="s">
        <v>48</v>
      </c>
      <c r="L522" t="s">
        <v>2527</v>
      </c>
      <c r="M522" t="s">
        <v>78</v>
      </c>
      <c r="N522" s="6">
        <v>13</v>
      </c>
      <c r="O522" t="s">
        <v>25</v>
      </c>
      <c r="P522">
        <f t="shared" si="8"/>
        <v>21</v>
      </c>
    </row>
    <row r="523" spans="1:16" x14ac:dyDescent="0.2">
      <c r="A523" t="s">
        <v>816</v>
      </c>
      <c r="B523" t="s">
        <v>16</v>
      </c>
      <c r="C523" t="s">
        <v>28</v>
      </c>
      <c r="D523" s="4">
        <v>39281</v>
      </c>
      <c r="E523" s="4">
        <v>45297</v>
      </c>
      <c r="F523" s="9">
        <v>45309</v>
      </c>
      <c r="G523" t="s">
        <v>18</v>
      </c>
      <c r="H523" t="s">
        <v>2529</v>
      </c>
      <c r="I523" t="s">
        <v>2533</v>
      </c>
      <c r="J523" s="7">
        <v>4115252</v>
      </c>
      <c r="K523" t="s">
        <v>48</v>
      </c>
      <c r="L523" t="s">
        <v>23</v>
      </c>
      <c r="M523" t="s">
        <v>35</v>
      </c>
      <c r="N523" s="6">
        <v>12</v>
      </c>
      <c r="O523" t="s">
        <v>2531</v>
      </c>
      <c r="P523">
        <f t="shared" si="8"/>
        <v>17</v>
      </c>
    </row>
    <row r="524" spans="1:16" x14ac:dyDescent="0.2">
      <c r="A524" t="s">
        <v>817</v>
      </c>
      <c r="B524" t="s">
        <v>118</v>
      </c>
      <c r="C524" t="s">
        <v>39</v>
      </c>
      <c r="D524" s="4">
        <v>18911</v>
      </c>
      <c r="E524" s="4">
        <v>45434</v>
      </c>
      <c r="F524" s="9" t="s">
        <v>2536</v>
      </c>
      <c r="G524" t="s">
        <v>18</v>
      </c>
      <c r="H524" t="s">
        <v>2529</v>
      </c>
      <c r="I524" t="s">
        <v>2534</v>
      </c>
      <c r="J524" s="7">
        <v>5409048</v>
      </c>
      <c r="K524" t="s">
        <v>48</v>
      </c>
      <c r="L524" t="s">
        <v>34</v>
      </c>
      <c r="M524" t="s">
        <v>35</v>
      </c>
      <c r="N524" s="6" t="s">
        <v>2525</v>
      </c>
      <c r="O524" t="s">
        <v>25</v>
      </c>
      <c r="P524">
        <f t="shared" si="8"/>
        <v>73</v>
      </c>
    </row>
    <row r="525" spans="1:16" x14ac:dyDescent="0.2">
      <c r="A525" t="s">
        <v>818</v>
      </c>
      <c r="B525" t="s">
        <v>27</v>
      </c>
      <c r="C525" t="s">
        <v>28</v>
      </c>
      <c r="D525" s="4">
        <v>28562</v>
      </c>
      <c r="E525" s="4">
        <v>45302</v>
      </c>
      <c r="F525" s="9">
        <v>45313</v>
      </c>
      <c r="G525" t="s">
        <v>74</v>
      </c>
      <c r="H525" t="s">
        <v>2528</v>
      </c>
      <c r="I525" t="s">
        <v>2533</v>
      </c>
      <c r="J525" s="7">
        <v>645012</v>
      </c>
      <c r="K525" t="s">
        <v>48</v>
      </c>
      <c r="L525" t="s">
        <v>2527</v>
      </c>
      <c r="M525" t="s">
        <v>78</v>
      </c>
      <c r="N525" s="6">
        <v>11</v>
      </c>
      <c r="O525" t="s">
        <v>36</v>
      </c>
      <c r="P525">
        <f t="shared" si="8"/>
        <v>46</v>
      </c>
    </row>
    <row r="526" spans="1:16" x14ac:dyDescent="0.2">
      <c r="A526" t="s">
        <v>2060</v>
      </c>
      <c r="B526" t="s">
        <v>64</v>
      </c>
      <c r="C526" t="s">
        <v>28</v>
      </c>
      <c r="D526" s="4">
        <v>28114</v>
      </c>
      <c r="E526" s="4">
        <v>45424</v>
      </c>
      <c r="F526" s="9">
        <v>45432</v>
      </c>
      <c r="G526" t="s">
        <v>18</v>
      </c>
      <c r="H526" t="s">
        <v>2529</v>
      </c>
      <c r="I526" t="s">
        <v>2534</v>
      </c>
      <c r="J526" s="7">
        <v>2590000</v>
      </c>
      <c r="K526" t="s">
        <v>43</v>
      </c>
      <c r="L526" t="s">
        <v>23</v>
      </c>
      <c r="M526" t="s">
        <v>24</v>
      </c>
      <c r="N526" s="6">
        <v>8</v>
      </c>
      <c r="O526" t="s">
        <v>25</v>
      </c>
      <c r="P526">
        <f t="shared" si="8"/>
        <v>48</v>
      </c>
    </row>
    <row r="527" spans="1:16" x14ac:dyDescent="0.2">
      <c r="A527" t="s">
        <v>822</v>
      </c>
      <c r="B527" t="s">
        <v>80</v>
      </c>
      <c r="C527" t="s">
        <v>28</v>
      </c>
      <c r="D527" s="4">
        <v>22906</v>
      </c>
      <c r="E527" s="4">
        <v>45347</v>
      </c>
      <c r="F527" s="9">
        <v>45351</v>
      </c>
      <c r="G527" t="s">
        <v>60</v>
      </c>
      <c r="H527" t="s">
        <v>66</v>
      </c>
      <c r="I527" t="s">
        <v>2534</v>
      </c>
      <c r="J527" s="7">
        <v>5182728</v>
      </c>
      <c r="K527" t="s">
        <v>48</v>
      </c>
      <c r="L527" t="s">
        <v>2527</v>
      </c>
      <c r="M527" t="s">
        <v>78</v>
      </c>
      <c r="N527" s="6">
        <v>4</v>
      </c>
      <c r="O527" t="s">
        <v>25</v>
      </c>
      <c r="P527">
        <f t="shared" si="8"/>
        <v>62</v>
      </c>
    </row>
    <row r="528" spans="1:16" x14ac:dyDescent="0.2">
      <c r="A528" t="s">
        <v>2061</v>
      </c>
      <c r="B528" t="s">
        <v>114</v>
      </c>
      <c r="C528" t="s">
        <v>92</v>
      </c>
      <c r="D528" s="4">
        <v>26592</v>
      </c>
      <c r="E528" s="4">
        <v>45469</v>
      </c>
      <c r="F528" s="9">
        <v>45471</v>
      </c>
      <c r="G528" t="s">
        <v>72</v>
      </c>
      <c r="H528" t="s">
        <v>2529</v>
      </c>
      <c r="I528" t="s">
        <v>2534</v>
      </c>
      <c r="J528" s="7">
        <v>1729000</v>
      </c>
      <c r="K528" t="s">
        <v>43</v>
      </c>
      <c r="L528" t="s">
        <v>23</v>
      </c>
      <c r="M528" t="s">
        <v>78</v>
      </c>
      <c r="N528" s="6">
        <v>2</v>
      </c>
      <c r="O528" t="s">
        <v>36</v>
      </c>
      <c r="P528">
        <f t="shared" si="8"/>
        <v>52</v>
      </c>
    </row>
    <row r="529" spans="1:16" x14ac:dyDescent="0.2">
      <c r="A529" t="s">
        <v>2062</v>
      </c>
      <c r="B529" t="s">
        <v>64</v>
      </c>
      <c r="C529" t="s">
        <v>92</v>
      </c>
      <c r="D529" s="4">
        <v>26374</v>
      </c>
      <c r="E529" s="4">
        <v>45361</v>
      </c>
      <c r="F529" s="9">
        <v>45372</v>
      </c>
      <c r="G529" t="s">
        <v>74</v>
      </c>
      <c r="H529" t="s">
        <v>2528</v>
      </c>
      <c r="I529" t="s">
        <v>2534</v>
      </c>
      <c r="J529" s="7">
        <v>987000</v>
      </c>
      <c r="K529" t="s">
        <v>48</v>
      </c>
      <c r="L529" t="s">
        <v>2527</v>
      </c>
      <c r="M529" t="s">
        <v>35</v>
      </c>
      <c r="N529" s="6">
        <v>11</v>
      </c>
      <c r="O529" t="s">
        <v>36</v>
      </c>
      <c r="P529">
        <f t="shared" si="8"/>
        <v>52</v>
      </c>
    </row>
    <row r="530" spans="1:16" x14ac:dyDescent="0.2">
      <c r="A530" t="s">
        <v>825</v>
      </c>
      <c r="B530" t="s">
        <v>16</v>
      </c>
      <c r="C530" t="s">
        <v>28</v>
      </c>
      <c r="D530" s="4">
        <v>25545</v>
      </c>
      <c r="E530" s="4">
        <v>45318</v>
      </c>
      <c r="F530" s="9">
        <v>45330</v>
      </c>
      <c r="G530" t="s">
        <v>18</v>
      </c>
      <c r="H530" t="s">
        <v>2529</v>
      </c>
      <c r="I530" t="s">
        <v>41</v>
      </c>
      <c r="J530" s="7">
        <v>4156744</v>
      </c>
      <c r="K530" t="s">
        <v>43</v>
      </c>
      <c r="L530" t="s">
        <v>2527</v>
      </c>
      <c r="M530" t="s">
        <v>24</v>
      </c>
      <c r="N530" s="6">
        <v>12</v>
      </c>
      <c r="O530" t="s">
        <v>2531</v>
      </c>
      <c r="P530">
        <f t="shared" si="8"/>
        <v>55</v>
      </c>
    </row>
    <row r="531" spans="1:16" x14ac:dyDescent="0.2">
      <c r="A531" t="s">
        <v>2063</v>
      </c>
      <c r="B531" t="s">
        <v>85</v>
      </c>
      <c r="C531" t="s">
        <v>92</v>
      </c>
      <c r="D531" s="4">
        <v>19835</v>
      </c>
      <c r="E531" s="4">
        <v>45373</v>
      </c>
      <c r="F531" s="9">
        <v>45386</v>
      </c>
      <c r="G531" t="s">
        <v>100</v>
      </c>
      <c r="H531" t="s">
        <v>61</v>
      </c>
      <c r="I531" t="s">
        <v>67</v>
      </c>
      <c r="J531" s="7">
        <v>2376360</v>
      </c>
      <c r="K531" t="s">
        <v>43</v>
      </c>
      <c r="L531" t="s">
        <v>23</v>
      </c>
      <c r="M531" t="s">
        <v>24</v>
      </c>
      <c r="N531" s="6">
        <v>13</v>
      </c>
      <c r="O531" t="s">
        <v>36</v>
      </c>
      <c r="P531">
        <f t="shared" si="8"/>
        <v>70</v>
      </c>
    </row>
    <row r="532" spans="1:16" x14ac:dyDescent="0.2">
      <c r="A532" t="s">
        <v>2064</v>
      </c>
      <c r="B532" t="s">
        <v>38</v>
      </c>
      <c r="C532" t="s">
        <v>92</v>
      </c>
      <c r="D532" s="4">
        <v>39209</v>
      </c>
      <c r="E532" s="4">
        <v>45473</v>
      </c>
      <c r="F532" s="9">
        <v>45480</v>
      </c>
      <c r="G532" t="s">
        <v>46</v>
      </c>
      <c r="H532" t="s">
        <v>30</v>
      </c>
      <c r="I532" t="s">
        <v>2533</v>
      </c>
      <c r="J532" s="7">
        <v>3706500</v>
      </c>
      <c r="K532" t="s">
        <v>48</v>
      </c>
      <c r="L532" t="s">
        <v>2527</v>
      </c>
      <c r="M532" t="s">
        <v>24</v>
      </c>
      <c r="N532" s="6">
        <v>7</v>
      </c>
      <c r="O532" t="s">
        <v>25</v>
      </c>
      <c r="P532">
        <f t="shared" si="8"/>
        <v>17</v>
      </c>
    </row>
    <row r="533" spans="1:16" x14ac:dyDescent="0.2">
      <c r="A533" t="s">
        <v>2065</v>
      </c>
      <c r="B533" t="s">
        <v>150</v>
      </c>
      <c r="C533" t="s">
        <v>92</v>
      </c>
      <c r="D533" s="4">
        <v>31584</v>
      </c>
      <c r="E533" s="4">
        <v>45315</v>
      </c>
      <c r="F533" s="9" t="s">
        <v>2536</v>
      </c>
      <c r="G533" t="s">
        <v>50</v>
      </c>
      <c r="H533" t="s">
        <v>2528</v>
      </c>
      <c r="I533" t="s">
        <v>67</v>
      </c>
      <c r="J533" s="7">
        <v>4820616</v>
      </c>
      <c r="K533" t="s">
        <v>48</v>
      </c>
      <c r="L533" t="s">
        <v>2527</v>
      </c>
      <c r="M533" t="s">
        <v>24</v>
      </c>
      <c r="N533" s="6" t="s">
        <v>2525</v>
      </c>
      <c r="O533" t="s">
        <v>25</v>
      </c>
      <c r="P533">
        <f t="shared" si="8"/>
        <v>38</v>
      </c>
    </row>
    <row r="534" spans="1:16" x14ac:dyDescent="0.2">
      <c r="A534" t="s">
        <v>2066</v>
      </c>
      <c r="B534" t="s">
        <v>105</v>
      </c>
      <c r="C534" t="s">
        <v>28</v>
      </c>
      <c r="D534" s="4">
        <v>22734</v>
      </c>
      <c r="E534" s="4">
        <v>45419</v>
      </c>
      <c r="F534" s="9">
        <v>45429</v>
      </c>
      <c r="G534" t="s">
        <v>88</v>
      </c>
      <c r="H534" t="s">
        <v>66</v>
      </c>
      <c r="I534" t="s">
        <v>2533</v>
      </c>
      <c r="J534" s="7">
        <v>4179000</v>
      </c>
      <c r="K534" t="s">
        <v>48</v>
      </c>
      <c r="L534" t="s">
        <v>34</v>
      </c>
      <c r="M534" t="s">
        <v>24</v>
      </c>
      <c r="N534" s="6">
        <v>10</v>
      </c>
      <c r="O534" t="s">
        <v>2531</v>
      </c>
      <c r="P534">
        <f t="shared" si="8"/>
        <v>62</v>
      </c>
    </row>
    <row r="535" spans="1:16" x14ac:dyDescent="0.2">
      <c r="A535" t="s">
        <v>2067</v>
      </c>
      <c r="B535" t="s">
        <v>91</v>
      </c>
      <c r="C535" t="s">
        <v>28</v>
      </c>
      <c r="D535" s="4">
        <v>20725</v>
      </c>
      <c r="E535" s="4">
        <v>45326</v>
      </c>
      <c r="F535" s="9">
        <v>45333</v>
      </c>
      <c r="G535" t="s">
        <v>29</v>
      </c>
      <c r="H535" t="s">
        <v>19</v>
      </c>
      <c r="I535" t="s">
        <v>2533</v>
      </c>
      <c r="J535" s="7">
        <v>1158500</v>
      </c>
      <c r="K535" t="s">
        <v>48</v>
      </c>
      <c r="L535" t="s">
        <v>34</v>
      </c>
      <c r="M535" t="s">
        <v>78</v>
      </c>
      <c r="N535" s="6">
        <v>7</v>
      </c>
      <c r="O535" t="s">
        <v>36</v>
      </c>
      <c r="P535">
        <f t="shared" si="8"/>
        <v>68</v>
      </c>
    </row>
    <row r="536" spans="1:16" x14ac:dyDescent="0.2">
      <c r="A536" t="s">
        <v>2068</v>
      </c>
      <c r="B536" t="s">
        <v>51</v>
      </c>
      <c r="C536" t="s">
        <v>92</v>
      </c>
      <c r="D536" s="4">
        <v>38946</v>
      </c>
      <c r="E536" s="4">
        <v>45347</v>
      </c>
      <c r="F536" s="9">
        <v>45358</v>
      </c>
      <c r="G536" t="s">
        <v>100</v>
      </c>
      <c r="H536" t="s">
        <v>61</v>
      </c>
      <c r="I536" t="s">
        <v>41</v>
      </c>
      <c r="J536" s="7">
        <v>4145428</v>
      </c>
      <c r="K536" t="s">
        <v>48</v>
      </c>
      <c r="L536" t="s">
        <v>34</v>
      </c>
      <c r="M536" t="s">
        <v>24</v>
      </c>
      <c r="N536" s="6">
        <v>11</v>
      </c>
      <c r="O536" t="s">
        <v>36</v>
      </c>
      <c r="P536">
        <f t="shared" si="8"/>
        <v>18</v>
      </c>
    </row>
    <row r="537" spans="1:16" x14ac:dyDescent="0.2">
      <c r="A537" t="s">
        <v>834</v>
      </c>
      <c r="B537" t="s">
        <v>64</v>
      </c>
      <c r="C537" t="s">
        <v>92</v>
      </c>
      <c r="D537" s="4">
        <v>24364</v>
      </c>
      <c r="E537" s="4">
        <v>45382</v>
      </c>
      <c r="F537" s="9" t="s">
        <v>2536</v>
      </c>
      <c r="G537" t="s">
        <v>100</v>
      </c>
      <c r="H537" t="s">
        <v>61</v>
      </c>
      <c r="I537" t="s">
        <v>67</v>
      </c>
      <c r="J537" s="7">
        <v>4462276</v>
      </c>
      <c r="K537" t="s">
        <v>71</v>
      </c>
      <c r="L537" t="s">
        <v>34</v>
      </c>
      <c r="M537" t="s">
        <v>78</v>
      </c>
      <c r="N537" s="6" t="s">
        <v>2525</v>
      </c>
      <c r="O537" t="s">
        <v>2531</v>
      </c>
      <c r="P537">
        <f t="shared" si="8"/>
        <v>58</v>
      </c>
    </row>
    <row r="538" spans="1:16" x14ac:dyDescent="0.2">
      <c r="A538" t="s">
        <v>2069</v>
      </c>
      <c r="B538" t="s">
        <v>91</v>
      </c>
      <c r="C538" t="s">
        <v>28</v>
      </c>
      <c r="D538" s="4">
        <v>31219</v>
      </c>
      <c r="E538" s="4">
        <v>45368</v>
      </c>
      <c r="F538" s="9">
        <v>45371</v>
      </c>
      <c r="G538" t="s">
        <v>74</v>
      </c>
      <c r="H538" t="s">
        <v>2528</v>
      </c>
      <c r="I538" t="s">
        <v>2534</v>
      </c>
      <c r="J538" s="7">
        <v>3768228</v>
      </c>
      <c r="K538" t="s">
        <v>48</v>
      </c>
      <c r="L538" t="s">
        <v>2527</v>
      </c>
      <c r="M538" t="s">
        <v>24</v>
      </c>
      <c r="N538" s="6">
        <v>3</v>
      </c>
      <c r="O538" t="s">
        <v>2531</v>
      </c>
      <c r="P538">
        <f t="shared" si="8"/>
        <v>39</v>
      </c>
    </row>
    <row r="539" spans="1:16" x14ac:dyDescent="0.2">
      <c r="A539" t="s">
        <v>837</v>
      </c>
      <c r="B539" t="s">
        <v>16</v>
      </c>
      <c r="C539" t="s">
        <v>28</v>
      </c>
      <c r="D539" s="4">
        <v>27599</v>
      </c>
      <c r="E539" s="4">
        <v>45326</v>
      </c>
      <c r="F539" s="9">
        <v>45332</v>
      </c>
      <c r="G539" t="s">
        <v>46</v>
      </c>
      <c r="H539" t="s">
        <v>30</v>
      </c>
      <c r="I539" t="s">
        <v>67</v>
      </c>
      <c r="J539" s="7">
        <v>3783500</v>
      </c>
      <c r="K539" t="s">
        <v>48</v>
      </c>
      <c r="L539" t="s">
        <v>2527</v>
      </c>
      <c r="M539" t="s">
        <v>78</v>
      </c>
      <c r="N539" s="6">
        <v>6</v>
      </c>
      <c r="O539" t="s">
        <v>2531</v>
      </c>
      <c r="P539">
        <f t="shared" si="8"/>
        <v>49</v>
      </c>
    </row>
    <row r="540" spans="1:16" x14ac:dyDescent="0.2">
      <c r="A540" t="s">
        <v>2070</v>
      </c>
      <c r="B540" t="s">
        <v>87</v>
      </c>
      <c r="C540" t="s">
        <v>92</v>
      </c>
      <c r="D540" s="4">
        <v>31367</v>
      </c>
      <c r="E540" s="4">
        <v>45325</v>
      </c>
      <c r="F540" s="9">
        <v>45338</v>
      </c>
      <c r="G540" t="s">
        <v>46</v>
      </c>
      <c r="H540" t="s">
        <v>30</v>
      </c>
      <c r="I540" t="s">
        <v>2533</v>
      </c>
      <c r="J540" s="7">
        <v>4239728</v>
      </c>
      <c r="K540" t="s">
        <v>48</v>
      </c>
      <c r="L540" t="s">
        <v>34</v>
      </c>
      <c r="M540" t="s">
        <v>24</v>
      </c>
      <c r="N540" s="6">
        <v>13</v>
      </c>
      <c r="O540" t="s">
        <v>2531</v>
      </c>
      <c r="P540">
        <f t="shared" si="8"/>
        <v>39</v>
      </c>
    </row>
    <row r="541" spans="1:16" x14ac:dyDescent="0.2">
      <c r="A541" t="s">
        <v>2071</v>
      </c>
      <c r="B541" t="s">
        <v>64</v>
      </c>
      <c r="C541" t="s">
        <v>28</v>
      </c>
      <c r="D541" s="4">
        <v>33998</v>
      </c>
      <c r="E541" s="4">
        <v>45364</v>
      </c>
      <c r="F541" s="9" t="s">
        <v>2536</v>
      </c>
      <c r="G541" t="s">
        <v>29</v>
      </c>
      <c r="H541" t="s">
        <v>19</v>
      </c>
      <c r="I541" t="s">
        <v>2535</v>
      </c>
      <c r="J541" s="7">
        <v>1554064</v>
      </c>
      <c r="K541" t="s">
        <v>48</v>
      </c>
      <c r="L541" t="s">
        <v>2527</v>
      </c>
      <c r="M541" t="s">
        <v>35</v>
      </c>
      <c r="N541" s="6" t="s">
        <v>2525</v>
      </c>
      <c r="O541" t="s">
        <v>25</v>
      </c>
      <c r="P541">
        <f t="shared" si="8"/>
        <v>31</v>
      </c>
    </row>
    <row r="542" spans="1:16" x14ac:dyDescent="0.2">
      <c r="A542" t="s">
        <v>2072</v>
      </c>
      <c r="B542" t="s">
        <v>82</v>
      </c>
      <c r="C542" t="s">
        <v>28</v>
      </c>
      <c r="D542" s="4">
        <v>33792</v>
      </c>
      <c r="E542" s="4">
        <v>45471</v>
      </c>
      <c r="F542" s="9">
        <v>45485</v>
      </c>
      <c r="G542" t="s">
        <v>50</v>
      </c>
      <c r="H542" t="s">
        <v>2528</v>
      </c>
      <c r="I542" t="s">
        <v>67</v>
      </c>
      <c r="J542" s="7">
        <v>3474012</v>
      </c>
      <c r="K542" t="s">
        <v>48</v>
      </c>
      <c r="L542" t="s">
        <v>23</v>
      </c>
      <c r="M542" t="s">
        <v>35</v>
      </c>
      <c r="N542" s="6">
        <v>14</v>
      </c>
      <c r="O542" t="s">
        <v>25</v>
      </c>
      <c r="P542">
        <f t="shared" si="8"/>
        <v>32</v>
      </c>
    </row>
    <row r="543" spans="1:16" x14ac:dyDescent="0.2">
      <c r="A543" t="s">
        <v>844</v>
      </c>
      <c r="B543" t="s">
        <v>80</v>
      </c>
      <c r="C543" t="s">
        <v>28</v>
      </c>
      <c r="D543" s="4">
        <v>31610</v>
      </c>
      <c r="E543" s="4">
        <v>45471</v>
      </c>
      <c r="F543" s="9">
        <v>45478</v>
      </c>
      <c r="G543" t="s">
        <v>88</v>
      </c>
      <c r="H543" t="s">
        <v>66</v>
      </c>
      <c r="I543" t="s">
        <v>2533</v>
      </c>
      <c r="J543" s="7">
        <v>5348696</v>
      </c>
      <c r="K543" t="s">
        <v>48</v>
      </c>
      <c r="L543" t="s">
        <v>34</v>
      </c>
      <c r="M543" t="s">
        <v>78</v>
      </c>
      <c r="N543" s="6">
        <v>7</v>
      </c>
      <c r="O543" t="s">
        <v>2531</v>
      </c>
      <c r="P543">
        <f t="shared" si="8"/>
        <v>38</v>
      </c>
    </row>
    <row r="544" spans="1:16" x14ac:dyDescent="0.2">
      <c r="A544" t="s">
        <v>2073</v>
      </c>
      <c r="B544" t="s">
        <v>91</v>
      </c>
      <c r="C544" t="s">
        <v>92</v>
      </c>
      <c r="D544" s="4">
        <v>19822</v>
      </c>
      <c r="E544" s="4">
        <v>45302</v>
      </c>
      <c r="F544" s="9" t="s">
        <v>2536</v>
      </c>
      <c r="G544" t="s">
        <v>83</v>
      </c>
      <c r="H544" t="s">
        <v>66</v>
      </c>
      <c r="I544" t="s">
        <v>2533</v>
      </c>
      <c r="J544" s="7">
        <v>3731000</v>
      </c>
      <c r="K544" t="s">
        <v>43</v>
      </c>
      <c r="L544" t="s">
        <v>34</v>
      </c>
      <c r="M544" t="s">
        <v>78</v>
      </c>
      <c r="N544" s="6" t="s">
        <v>2525</v>
      </c>
      <c r="O544" t="s">
        <v>36</v>
      </c>
      <c r="P544">
        <f t="shared" si="8"/>
        <v>70</v>
      </c>
    </row>
    <row r="545" spans="1:16" x14ac:dyDescent="0.2">
      <c r="A545" t="s">
        <v>2074</v>
      </c>
      <c r="B545" t="s">
        <v>59</v>
      </c>
      <c r="C545" t="s">
        <v>92</v>
      </c>
      <c r="D545" s="4">
        <v>21918</v>
      </c>
      <c r="E545" s="4">
        <v>45463</v>
      </c>
      <c r="F545" s="9">
        <v>45476</v>
      </c>
      <c r="G545" t="s">
        <v>83</v>
      </c>
      <c r="H545" t="s">
        <v>66</v>
      </c>
      <c r="I545" t="s">
        <v>2534</v>
      </c>
      <c r="J545" s="7">
        <v>2940000</v>
      </c>
      <c r="K545" t="s">
        <v>48</v>
      </c>
      <c r="L545" t="s">
        <v>2527</v>
      </c>
      <c r="M545" t="s">
        <v>35</v>
      </c>
      <c r="N545" s="6">
        <v>13</v>
      </c>
      <c r="O545" t="s">
        <v>25</v>
      </c>
      <c r="P545">
        <f t="shared" si="8"/>
        <v>64</v>
      </c>
    </row>
    <row r="546" spans="1:16" x14ac:dyDescent="0.2">
      <c r="A546" t="s">
        <v>847</v>
      </c>
      <c r="B546" t="s">
        <v>85</v>
      </c>
      <c r="C546" t="s">
        <v>92</v>
      </c>
      <c r="D546" s="4">
        <v>19608</v>
      </c>
      <c r="E546" s="4">
        <v>45341</v>
      </c>
      <c r="F546" s="9">
        <v>45343</v>
      </c>
      <c r="G546" t="s">
        <v>60</v>
      </c>
      <c r="H546" t="s">
        <v>66</v>
      </c>
      <c r="I546" t="s">
        <v>2533</v>
      </c>
      <c r="J546" s="7">
        <v>1935036</v>
      </c>
      <c r="K546" t="s">
        <v>48</v>
      </c>
      <c r="L546" t="s">
        <v>23</v>
      </c>
      <c r="M546" t="s">
        <v>35</v>
      </c>
      <c r="N546" s="6">
        <v>2</v>
      </c>
      <c r="O546" t="s">
        <v>36</v>
      </c>
      <c r="P546">
        <f t="shared" si="8"/>
        <v>71</v>
      </c>
    </row>
    <row r="547" spans="1:16" x14ac:dyDescent="0.2">
      <c r="A547" t="s">
        <v>2075</v>
      </c>
      <c r="B547" t="s">
        <v>102</v>
      </c>
      <c r="C547" t="s">
        <v>92</v>
      </c>
      <c r="D547" s="4">
        <v>32959</v>
      </c>
      <c r="E547" s="4">
        <v>45403</v>
      </c>
      <c r="F547" s="9">
        <v>45412</v>
      </c>
      <c r="G547" t="s">
        <v>46</v>
      </c>
      <c r="H547" t="s">
        <v>30</v>
      </c>
      <c r="I547" t="s">
        <v>2533</v>
      </c>
      <c r="J547" s="7">
        <v>1274000</v>
      </c>
      <c r="K547" t="s">
        <v>48</v>
      </c>
      <c r="L547" t="s">
        <v>34</v>
      </c>
      <c r="M547" t="s">
        <v>24</v>
      </c>
      <c r="N547" s="6">
        <v>9</v>
      </c>
      <c r="O547" t="s">
        <v>36</v>
      </c>
      <c r="P547">
        <f t="shared" si="8"/>
        <v>34</v>
      </c>
    </row>
    <row r="548" spans="1:16" x14ac:dyDescent="0.2">
      <c r="A548" t="s">
        <v>2076</v>
      </c>
      <c r="B548" t="s">
        <v>27</v>
      </c>
      <c r="C548" t="s">
        <v>39</v>
      </c>
      <c r="D548" s="4">
        <v>35089</v>
      </c>
      <c r="E548" s="4">
        <v>45334</v>
      </c>
      <c r="F548" s="9">
        <v>45341</v>
      </c>
      <c r="G548" t="s">
        <v>29</v>
      </c>
      <c r="H548" t="s">
        <v>19</v>
      </c>
      <c r="I548" t="s">
        <v>2533</v>
      </c>
      <c r="J548" s="7">
        <v>1972756</v>
      </c>
      <c r="K548" t="s">
        <v>48</v>
      </c>
      <c r="L548" t="s">
        <v>23</v>
      </c>
      <c r="M548" t="s">
        <v>24</v>
      </c>
      <c r="N548" s="6">
        <v>7</v>
      </c>
      <c r="O548" t="s">
        <v>2531</v>
      </c>
      <c r="P548">
        <f t="shared" si="8"/>
        <v>28</v>
      </c>
    </row>
    <row r="549" spans="1:16" x14ac:dyDescent="0.2">
      <c r="A549" t="s">
        <v>851</v>
      </c>
      <c r="B549" t="s">
        <v>105</v>
      </c>
      <c r="C549" t="s">
        <v>28</v>
      </c>
      <c r="D549" s="4">
        <v>34773</v>
      </c>
      <c r="E549" s="4">
        <v>45369</v>
      </c>
      <c r="F549" s="9">
        <v>45374</v>
      </c>
      <c r="G549" t="s">
        <v>46</v>
      </c>
      <c r="H549" t="s">
        <v>30</v>
      </c>
      <c r="I549" t="s">
        <v>67</v>
      </c>
      <c r="J549" s="7">
        <v>4496224</v>
      </c>
      <c r="K549" t="s">
        <v>48</v>
      </c>
      <c r="L549" t="s">
        <v>34</v>
      </c>
      <c r="M549" t="s">
        <v>24</v>
      </c>
      <c r="N549" s="6">
        <v>5</v>
      </c>
      <c r="O549" t="s">
        <v>36</v>
      </c>
      <c r="P549">
        <f t="shared" si="8"/>
        <v>29</v>
      </c>
    </row>
    <row r="550" spans="1:16" x14ac:dyDescent="0.2">
      <c r="A550" t="s">
        <v>853</v>
      </c>
      <c r="B550" t="s">
        <v>38</v>
      </c>
      <c r="C550" t="s">
        <v>39</v>
      </c>
      <c r="D550" s="4">
        <v>19952</v>
      </c>
      <c r="E550" s="4">
        <v>45345</v>
      </c>
      <c r="F550" s="9" t="s">
        <v>2536</v>
      </c>
      <c r="G550" t="s">
        <v>83</v>
      </c>
      <c r="H550" t="s">
        <v>66</v>
      </c>
      <c r="I550" t="s">
        <v>2535</v>
      </c>
      <c r="J550" s="7">
        <v>2992500</v>
      </c>
      <c r="K550" t="s">
        <v>48</v>
      </c>
      <c r="L550" t="s">
        <v>2527</v>
      </c>
      <c r="M550" t="s">
        <v>24</v>
      </c>
      <c r="N550" s="6" t="s">
        <v>2525</v>
      </c>
      <c r="O550" t="s">
        <v>2531</v>
      </c>
      <c r="P550">
        <f t="shared" si="8"/>
        <v>70</v>
      </c>
    </row>
    <row r="551" spans="1:16" x14ac:dyDescent="0.2">
      <c r="A551" t="s">
        <v>2077</v>
      </c>
      <c r="B551" t="s">
        <v>59</v>
      </c>
      <c r="C551" t="s">
        <v>92</v>
      </c>
      <c r="D551" s="4">
        <v>38775</v>
      </c>
      <c r="E551" s="4">
        <v>45383</v>
      </c>
      <c r="F551" s="9">
        <v>45388</v>
      </c>
      <c r="G551" t="s">
        <v>60</v>
      </c>
      <c r="H551" t="s">
        <v>66</v>
      </c>
      <c r="I551" t="s">
        <v>2535</v>
      </c>
      <c r="J551" s="7">
        <v>5454312</v>
      </c>
      <c r="K551" t="s">
        <v>71</v>
      </c>
      <c r="L551" t="s">
        <v>2527</v>
      </c>
      <c r="M551" t="s">
        <v>24</v>
      </c>
      <c r="N551" s="6">
        <v>5</v>
      </c>
      <c r="O551" t="s">
        <v>25</v>
      </c>
      <c r="P551">
        <f t="shared" si="8"/>
        <v>18</v>
      </c>
    </row>
    <row r="552" spans="1:16" x14ac:dyDescent="0.2">
      <c r="A552" t="s">
        <v>2078</v>
      </c>
      <c r="B552" t="s">
        <v>91</v>
      </c>
      <c r="C552" t="s">
        <v>92</v>
      </c>
      <c r="D552" s="4">
        <v>27071</v>
      </c>
      <c r="E552" s="4">
        <v>45440</v>
      </c>
      <c r="F552" s="9">
        <v>45444</v>
      </c>
      <c r="G552" t="s">
        <v>83</v>
      </c>
      <c r="H552" t="s">
        <v>66</v>
      </c>
      <c r="I552" t="s">
        <v>2533</v>
      </c>
      <c r="J552" s="7">
        <v>1097652</v>
      </c>
      <c r="K552" t="s">
        <v>48</v>
      </c>
      <c r="L552" t="s">
        <v>2527</v>
      </c>
      <c r="M552" t="s">
        <v>35</v>
      </c>
      <c r="N552" s="6">
        <v>4</v>
      </c>
      <c r="O552" t="s">
        <v>25</v>
      </c>
      <c r="P552">
        <f t="shared" si="8"/>
        <v>50</v>
      </c>
    </row>
    <row r="553" spans="1:16" x14ac:dyDescent="0.2">
      <c r="A553" t="s">
        <v>2079</v>
      </c>
      <c r="B553" t="s">
        <v>56</v>
      </c>
      <c r="C553" t="s">
        <v>28</v>
      </c>
      <c r="D553" s="4">
        <v>24175</v>
      </c>
      <c r="E553" s="4">
        <v>45297</v>
      </c>
      <c r="F553" s="9">
        <v>45300</v>
      </c>
      <c r="G553" t="s">
        <v>72</v>
      </c>
      <c r="H553" t="s">
        <v>2529</v>
      </c>
      <c r="I553" t="s">
        <v>67</v>
      </c>
      <c r="J553" s="7">
        <v>912824</v>
      </c>
      <c r="K553" t="s">
        <v>48</v>
      </c>
      <c r="L553" t="s">
        <v>2527</v>
      </c>
      <c r="M553" t="s">
        <v>35</v>
      </c>
      <c r="N553" s="6">
        <v>3</v>
      </c>
      <c r="O553" t="s">
        <v>36</v>
      </c>
      <c r="P553">
        <f t="shared" si="8"/>
        <v>58</v>
      </c>
    </row>
    <row r="554" spans="1:16" x14ac:dyDescent="0.2">
      <c r="A554" t="s">
        <v>858</v>
      </c>
      <c r="B554" t="s">
        <v>105</v>
      </c>
      <c r="C554" t="s">
        <v>28</v>
      </c>
      <c r="D554" s="4">
        <v>18650</v>
      </c>
      <c r="E554" s="4">
        <v>45388</v>
      </c>
      <c r="F554" s="9" t="s">
        <v>2536</v>
      </c>
      <c r="G554" t="s">
        <v>88</v>
      </c>
      <c r="H554" t="s">
        <v>66</v>
      </c>
      <c r="I554" t="s">
        <v>41</v>
      </c>
      <c r="J554" s="7">
        <v>5352468</v>
      </c>
      <c r="K554" t="s">
        <v>48</v>
      </c>
      <c r="L554" t="s">
        <v>23</v>
      </c>
      <c r="M554" t="s">
        <v>35</v>
      </c>
      <c r="N554" s="6" t="s">
        <v>2525</v>
      </c>
      <c r="O554" t="s">
        <v>2531</v>
      </c>
      <c r="P554">
        <f t="shared" si="8"/>
        <v>73</v>
      </c>
    </row>
    <row r="555" spans="1:16" x14ac:dyDescent="0.2">
      <c r="A555" t="s">
        <v>2080</v>
      </c>
      <c r="B555" t="s">
        <v>64</v>
      </c>
      <c r="C555" t="s">
        <v>39</v>
      </c>
      <c r="D555" s="4">
        <v>18571</v>
      </c>
      <c r="E555" s="4">
        <v>45430</v>
      </c>
      <c r="F555" s="9">
        <v>45432</v>
      </c>
      <c r="G555" t="s">
        <v>46</v>
      </c>
      <c r="H555" t="s">
        <v>30</v>
      </c>
      <c r="I555" t="s">
        <v>41</v>
      </c>
      <c r="J555" s="7">
        <v>4722544</v>
      </c>
      <c r="K555" t="s">
        <v>48</v>
      </c>
      <c r="L555" t="s">
        <v>2527</v>
      </c>
      <c r="M555" t="s">
        <v>78</v>
      </c>
      <c r="N555" s="6">
        <v>2</v>
      </c>
      <c r="O555" t="s">
        <v>25</v>
      </c>
      <c r="P555">
        <f t="shared" si="8"/>
        <v>74</v>
      </c>
    </row>
    <row r="556" spans="1:16" x14ac:dyDescent="0.2">
      <c r="A556" t="s">
        <v>2081</v>
      </c>
      <c r="B556" t="s">
        <v>38</v>
      </c>
      <c r="C556" t="s">
        <v>28</v>
      </c>
      <c r="D556" s="4">
        <v>36077</v>
      </c>
      <c r="E556" s="4">
        <v>45297</v>
      </c>
      <c r="F556" s="9" t="s">
        <v>2536</v>
      </c>
      <c r="G556" t="s">
        <v>60</v>
      </c>
      <c r="H556" t="s">
        <v>66</v>
      </c>
      <c r="I556" t="s">
        <v>2535</v>
      </c>
      <c r="J556" s="7">
        <v>3583400</v>
      </c>
      <c r="K556" t="s">
        <v>48</v>
      </c>
      <c r="L556" t="s">
        <v>23</v>
      </c>
      <c r="M556" t="s">
        <v>35</v>
      </c>
      <c r="N556" s="6" t="s">
        <v>2525</v>
      </c>
      <c r="O556" t="s">
        <v>36</v>
      </c>
      <c r="P556">
        <f t="shared" si="8"/>
        <v>26</v>
      </c>
    </row>
    <row r="557" spans="1:16" x14ac:dyDescent="0.2">
      <c r="A557" t="s">
        <v>863</v>
      </c>
      <c r="B557" t="s">
        <v>102</v>
      </c>
      <c r="C557" t="s">
        <v>28</v>
      </c>
      <c r="D557" s="4">
        <v>27663</v>
      </c>
      <c r="E557" s="4">
        <v>45467</v>
      </c>
      <c r="F557" s="9">
        <v>45479</v>
      </c>
      <c r="G557" t="s">
        <v>100</v>
      </c>
      <c r="H557" t="s">
        <v>61</v>
      </c>
      <c r="I557" t="s">
        <v>67</v>
      </c>
      <c r="J557" s="7">
        <v>2108548</v>
      </c>
      <c r="K557" t="s">
        <v>48</v>
      </c>
      <c r="L557" t="s">
        <v>2527</v>
      </c>
      <c r="M557" t="s">
        <v>35</v>
      </c>
      <c r="N557" s="6">
        <v>12</v>
      </c>
      <c r="O557" t="s">
        <v>36</v>
      </c>
      <c r="P557">
        <f t="shared" si="8"/>
        <v>49</v>
      </c>
    </row>
    <row r="558" spans="1:16" x14ac:dyDescent="0.2">
      <c r="A558" t="s">
        <v>865</v>
      </c>
      <c r="B558" t="s">
        <v>80</v>
      </c>
      <c r="C558" t="s">
        <v>92</v>
      </c>
      <c r="D558" s="4">
        <v>23215</v>
      </c>
      <c r="E558" s="4">
        <v>45401</v>
      </c>
      <c r="F558" s="9">
        <v>45412</v>
      </c>
      <c r="G558" t="s">
        <v>46</v>
      </c>
      <c r="H558" t="s">
        <v>30</v>
      </c>
      <c r="I558" t="s">
        <v>2534</v>
      </c>
      <c r="J558" s="7">
        <v>2509500</v>
      </c>
      <c r="K558" t="s">
        <v>48</v>
      </c>
      <c r="L558" t="s">
        <v>34</v>
      </c>
      <c r="M558" t="s">
        <v>78</v>
      </c>
      <c r="N558" s="6">
        <v>11</v>
      </c>
      <c r="O558" t="s">
        <v>36</v>
      </c>
      <c r="P558">
        <f t="shared" si="8"/>
        <v>61</v>
      </c>
    </row>
    <row r="559" spans="1:16" x14ac:dyDescent="0.2">
      <c r="A559" t="s">
        <v>2082</v>
      </c>
      <c r="B559" t="s">
        <v>150</v>
      </c>
      <c r="C559" t="s">
        <v>39</v>
      </c>
      <c r="D559" s="4">
        <v>18335</v>
      </c>
      <c r="E559" s="4">
        <v>45459</v>
      </c>
      <c r="F559" s="9">
        <v>45466</v>
      </c>
      <c r="G559" t="s">
        <v>100</v>
      </c>
      <c r="H559" t="s">
        <v>61</v>
      </c>
      <c r="I559" t="s">
        <v>67</v>
      </c>
      <c r="J559" s="7">
        <v>1248532</v>
      </c>
      <c r="K559" t="s">
        <v>48</v>
      </c>
      <c r="L559" t="s">
        <v>23</v>
      </c>
      <c r="M559" t="s">
        <v>35</v>
      </c>
      <c r="N559" s="6">
        <v>7</v>
      </c>
      <c r="O559" t="s">
        <v>25</v>
      </c>
      <c r="P559">
        <f t="shared" si="8"/>
        <v>74</v>
      </c>
    </row>
    <row r="560" spans="1:16" x14ac:dyDescent="0.2">
      <c r="A560" t="s">
        <v>2083</v>
      </c>
      <c r="B560" t="s">
        <v>102</v>
      </c>
      <c r="C560" t="s">
        <v>92</v>
      </c>
      <c r="D560" s="4">
        <v>34458</v>
      </c>
      <c r="E560" s="4">
        <v>45415</v>
      </c>
      <c r="F560" s="9">
        <v>45426</v>
      </c>
      <c r="G560" t="s">
        <v>46</v>
      </c>
      <c r="H560" t="s">
        <v>30</v>
      </c>
      <c r="I560" t="s">
        <v>2534</v>
      </c>
      <c r="J560" s="7">
        <v>2274516</v>
      </c>
      <c r="K560" t="s">
        <v>71</v>
      </c>
      <c r="L560" t="s">
        <v>2527</v>
      </c>
      <c r="M560" t="s">
        <v>24</v>
      </c>
      <c r="N560" s="6">
        <v>11</v>
      </c>
      <c r="O560" t="s">
        <v>2531</v>
      </c>
      <c r="P560">
        <f t="shared" si="8"/>
        <v>30</v>
      </c>
    </row>
    <row r="561" spans="1:16" x14ac:dyDescent="0.2">
      <c r="A561" t="s">
        <v>867</v>
      </c>
      <c r="B561" t="s">
        <v>118</v>
      </c>
      <c r="C561" t="s">
        <v>92</v>
      </c>
      <c r="D561" s="4">
        <v>37301</v>
      </c>
      <c r="E561" s="4">
        <v>45426</v>
      </c>
      <c r="F561" s="9">
        <v>45430</v>
      </c>
      <c r="G561" t="s">
        <v>88</v>
      </c>
      <c r="H561" t="s">
        <v>66</v>
      </c>
      <c r="I561" t="s">
        <v>41</v>
      </c>
      <c r="J561" s="7">
        <v>472500</v>
      </c>
      <c r="K561" t="s">
        <v>43</v>
      </c>
      <c r="L561" t="s">
        <v>2527</v>
      </c>
      <c r="M561" t="s">
        <v>35</v>
      </c>
      <c r="N561" s="6">
        <v>4</v>
      </c>
      <c r="O561" t="s">
        <v>36</v>
      </c>
      <c r="P561">
        <f t="shared" si="8"/>
        <v>22</v>
      </c>
    </row>
    <row r="562" spans="1:16" x14ac:dyDescent="0.2">
      <c r="A562" t="s">
        <v>2084</v>
      </c>
      <c r="B562" t="s">
        <v>87</v>
      </c>
      <c r="C562" t="s">
        <v>92</v>
      </c>
      <c r="D562" s="4">
        <v>33350</v>
      </c>
      <c r="E562" s="4">
        <v>45433</v>
      </c>
      <c r="F562" s="9">
        <v>45447</v>
      </c>
      <c r="G562" t="s">
        <v>88</v>
      </c>
      <c r="H562" t="s">
        <v>66</v>
      </c>
      <c r="I562" t="s">
        <v>67</v>
      </c>
      <c r="J562" s="7">
        <v>1282480</v>
      </c>
      <c r="K562" t="s">
        <v>71</v>
      </c>
      <c r="L562" t="s">
        <v>34</v>
      </c>
      <c r="M562" t="s">
        <v>24</v>
      </c>
      <c r="N562" s="6">
        <v>14</v>
      </c>
      <c r="O562" t="s">
        <v>25</v>
      </c>
      <c r="P562">
        <f t="shared" si="8"/>
        <v>33</v>
      </c>
    </row>
    <row r="563" spans="1:16" x14ac:dyDescent="0.2">
      <c r="A563" t="s">
        <v>2085</v>
      </c>
      <c r="B563" t="s">
        <v>16</v>
      </c>
      <c r="C563" t="s">
        <v>28</v>
      </c>
      <c r="D563" s="4">
        <v>37322</v>
      </c>
      <c r="E563" s="4">
        <v>45414</v>
      </c>
      <c r="F563" s="9" t="s">
        <v>2536</v>
      </c>
      <c r="G563" t="s">
        <v>83</v>
      </c>
      <c r="H563" t="s">
        <v>66</v>
      </c>
      <c r="I563" t="s">
        <v>67</v>
      </c>
      <c r="J563" s="7">
        <v>2266972</v>
      </c>
      <c r="K563" t="s">
        <v>48</v>
      </c>
      <c r="L563" t="s">
        <v>2527</v>
      </c>
      <c r="M563" t="s">
        <v>35</v>
      </c>
      <c r="N563" s="6" t="s">
        <v>2525</v>
      </c>
      <c r="O563" t="s">
        <v>2531</v>
      </c>
      <c r="P563">
        <f t="shared" si="8"/>
        <v>22</v>
      </c>
    </row>
    <row r="564" spans="1:16" x14ac:dyDescent="0.2">
      <c r="A564" t="s">
        <v>872</v>
      </c>
      <c r="B564" t="s">
        <v>105</v>
      </c>
      <c r="C564" t="s">
        <v>28</v>
      </c>
      <c r="D564" s="4">
        <v>28078</v>
      </c>
      <c r="E564" s="4">
        <v>45397</v>
      </c>
      <c r="F564" s="9">
        <v>45408</v>
      </c>
      <c r="G564" t="s">
        <v>60</v>
      </c>
      <c r="H564" t="s">
        <v>66</v>
      </c>
      <c r="I564" t="s">
        <v>67</v>
      </c>
      <c r="J564" s="7">
        <v>837384</v>
      </c>
      <c r="K564" t="s">
        <v>43</v>
      </c>
      <c r="L564" t="s">
        <v>23</v>
      </c>
      <c r="M564" t="s">
        <v>24</v>
      </c>
      <c r="N564" s="6">
        <v>11</v>
      </c>
      <c r="O564" t="s">
        <v>36</v>
      </c>
      <c r="P564">
        <f t="shared" si="8"/>
        <v>48</v>
      </c>
    </row>
    <row r="565" spans="1:16" x14ac:dyDescent="0.2">
      <c r="A565" t="s">
        <v>2086</v>
      </c>
      <c r="B565" t="s">
        <v>114</v>
      </c>
      <c r="C565" t="s">
        <v>92</v>
      </c>
      <c r="D565" s="4">
        <v>26719</v>
      </c>
      <c r="E565" s="4">
        <v>45473</v>
      </c>
      <c r="F565" s="9">
        <v>45476</v>
      </c>
      <c r="G565" t="s">
        <v>74</v>
      </c>
      <c r="H565" t="s">
        <v>2528</v>
      </c>
      <c r="I565" t="s">
        <v>2533</v>
      </c>
      <c r="J565" s="7">
        <v>1342832</v>
      </c>
      <c r="K565" t="s">
        <v>71</v>
      </c>
      <c r="L565" t="s">
        <v>34</v>
      </c>
      <c r="M565" t="s">
        <v>35</v>
      </c>
      <c r="N565" s="6">
        <v>3</v>
      </c>
      <c r="O565" t="s">
        <v>2531</v>
      </c>
      <c r="P565">
        <f t="shared" si="8"/>
        <v>51</v>
      </c>
    </row>
    <row r="566" spans="1:16" x14ac:dyDescent="0.2">
      <c r="A566" t="s">
        <v>2087</v>
      </c>
      <c r="B566" t="s">
        <v>85</v>
      </c>
      <c r="C566" t="s">
        <v>39</v>
      </c>
      <c r="D566" s="4">
        <v>20793</v>
      </c>
      <c r="E566" s="4">
        <v>45414</v>
      </c>
      <c r="F566" s="9">
        <v>45421</v>
      </c>
      <c r="G566" t="s">
        <v>46</v>
      </c>
      <c r="H566" t="s">
        <v>30</v>
      </c>
      <c r="I566" t="s">
        <v>41</v>
      </c>
      <c r="J566" s="7">
        <v>3243920</v>
      </c>
      <c r="K566" t="s">
        <v>48</v>
      </c>
      <c r="L566" t="s">
        <v>2527</v>
      </c>
      <c r="M566" t="s">
        <v>35</v>
      </c>
      <c r="N566" s="6">
        <v>7</v>
      </c>
      <c r="O566" t="s">
        <v>36</v>
      </c>
      <c r="P566">
        <f t="shared" si="8"/>
        <v>68</v>
      </c>
    </row>
    <row r="567" spans="1:16" x14ac:dyDescent="0.2">
      <c r="A567" t="s">
        <v>2088</v>
      </c>
      <c r="B567" t="s">
        <v>59</v>
      </c>
      <c r="C567" t="s">
        <v>92</v>
      </c>
      <c r="D567" s="4">
        <v>26112</v>
      </c>
      <c r="E567" s="4">
        <v>45333</v>
      </c>
      <c r="F567" s="9" t="s">
        <v>2536</v>
      </c>
      <c r="G567" t="s">
        <v>18</v>
      </c>
      <c r="H567" t="s">
        <v>2529</v>
      </c>
      <c r="I567" t="s">
        <v>41</v>
      </c>
      <c r="J567" s="7">
        <v>2764876</v>
      </c>
      <c r="K567" t="s">
        <v>43</v>
      </c>
      <c r="L567" t="s">
        <v>23</v>
      </c>
      <c r="M567" t="s">
        <v>24</v>
      </c>
      <c r="N567" s="6" t="s">
        <v>2525</v>
      </c>
      <c r="O567" t="s">
        <v>36</v>
      </c>
      <c r="P567">
        <f t="shared" si="8"/>
        <v>53</v>
      </c>
    </row>
    <row r="568" spans="1:16" x14ac:dyDescent="0.2">
      <c r="A568" t="s">
        <v>878</v>
      </c>
      <c r="B568" t="s">
        <v>119</v>
      </c>
      <c r="C568" t="s">
        <v>92</v>
      </c>
      <c r="D568" s="4">
        <v>19734</v>
      </c>
      <c r="E568" s="4">
        <v>45303</v>
      </c>
      <c r="F568" s="9">
        <v>45308</v>
      </c>
      <c r="G568" t="s">
        <v>83</v>
      </c>
      <c r="H568" t="s">
        <v>66</v>
      </c>
      <c r="I568" t="s">
        <v>2533</v>
      </c>
      <c r="J568" s="7">
        <v>3451380</v>
      </c>
      <c r="K568" t="s">
        <v>48</v>
      </c>
      <c r="L568" t="s">
        <v>2527</v>
      </c>
      <c r="M568" t="s">
        <v>24</v>
      </c>
      <c r="N568" s="6">
        <v>5</v>
      </c>
      <c r="O568" t="s">
        <v>2531</v>
      </c>
      <c r="P568">
        <f t="shared" si="8"/>
        <v>70</v>
      </c>
    </row>
    <row r="569" spans="1:16" x14ac:dyDescent="0.2">
      <c r="A569" t="s">
        <v>2089</v>
      </c>
      <c r="B569" t="s">
        <v>16</v>
      </c>
      <c r="C569" t="s">
        <v>92</v>
      </c>
      <c r="D569" s="4">
        <v>31609</v>
      </c>
      <c r="E569" s="4">
        <v>45420</v>
      </c>
      <c r="F569" s="9" t="s">
        <v>2536</v>
      </c>
      <c r="G569" t="s">
        <v>29</v>
      </c>
      <c r="H569" t="s">
        <v>19</v>
      </c>
      <c r="I569" t="s">
        <v>2535</v>
      </c>
      <c r="J569" s="7">
        <v>616000</v>
      </c>
      <c r="K569" t="s">
        <v>48</v>
      </c>
      <c r="L569" t="s">
        <v>23</v>
      </c>
      <c r="M569" t="s">
        <v>24</v>
      </c>
      <c r="N569" s="6" t="s">
        <v>2525</v>
      </c>
      <c r="O569" t="s">
        <v>2531</v>
      </c>
      <c r="P569">
        <f t="shared" si="8"/>
        <v>38</v>
      </c>
    </row>
    <row r="570" spans="1:16" x14ac:dyDescent="0.2">
      <c r="A570" t="s">
        <v>881</v>
      </c>
      <c r="B570" t="s">
        <v>91</v>
      </c>
      <c r="C570" t="s">
        <v>28</v>
      </c>
      <c r="D570" s="4">
        <v>39701</v>
      </c>
      <c r="E570" s="4">
        <v>45333</v>
      </c>
      <c r="F570" s="9">
        <v>45336</v>
      </c>
      <c r="G570" t="s">
        <v>60</v>
      </c>
      <c r="H570" t="s">
        <v>66</v>
      </c>
      <c r="I570" t="s">
        <v>2535</v>
      </c>
      <c r="J570" s="7">
        <v>3704104</v>
      </c>
      <c r="K570" t="s">
        <v>71</v>
      </c>
      <c r="L570" t="s">
        <v>23</v>
      </c>
      <c r="M570" t="s">
        <v>35</v>
      </c>
      <c r="N570" s="6">
        <v>3</v>
      </c>
      <c r="O570" t="s">
        <v>25</v>
      </c>
      <c r="P570">
        <f t="shared" si="8"/>
        <v>16</v>
      </c>
    </row>
    <row r="571" spans="1:16" x14ac:dyDescent="0.2">
      <c r="A571" t="s">
        <v>883</v>
      </c>
      <c r="B571" t="s">
        <v>119</v>
      </c>
      <c r="C571" t="s">
        <v>28</v>
      </c>
      <c r="D571" s="4">
        <v>34566</v>
      </c>
      <c r="E571" s="4">
        <v>45295</v>
      </c>
      <c r="F571" s="9">
        <v>45300</v>
      </c>
      <c r="G571" t="s">
        <v>100</v>
      </c>
      <c r="H571" t="s">
        <v>61</v>
      </c>
      <c r="I571" t="s">
        <v>2533</v>
      </c>
      <c r="J571" s="7">
        <v>2798824</v>
      </c>
      <c r="K571" t="s">
        <v>48</v>
      </c>
      <c r="L571" t="s">
        <v>23</v>
      </c>
      <c r="M571" t="s">
        <v>35</v>
      </c>
      <c r="N571" s="6">
        <v>5</v>
      </c>
      <c r="O571" t="s">
        <v>36</v>
      </c>
      <c r="P571">
        <f t="shared" si="8"/>
        <v>30</v>
      </c>
    </row>
    <row r="572" spans="1:16" x14ac:dyDescent="0.2">
      <c r="A572" t="s">
        <v>2090</v>
      </c>
      <c r="B572" t="s">
        <v>150</v>
      </c>
      <c r="C572" t="s">
        <v>92</v>
      </c>
      <c r="D572" s="4">
        <v>24135</v>
      </c>
      <c r="E572" s="4">
        <v>45358</v>
      </c>
      <c r="F572" s="9">
        <v>45371</v>
      </c>
      <c r="G572" t="s">
        <v>72</v>
      </c>
      <c r="H572" t="s">
        <v>2529</v>
      </c>
      <c r="I572" t="s">
        <v>67</v>
      </c>
      <c r="J572" s="7">
        <v>4767808</v>
      </c>
      <c r="K572" t="s">
        <v>48</v>
      </c>
      <c r="L572" t="s">
        <v>2527</v>
      </c>
      <c r="M572" t="s">
        <v>78</v>
      </c>
      <c r="N572" s="6">
        <v>13</v>
      </c>
      <c r="O572" t="s">
        <v>2531</v>
      </c>
      <c r="P572">
        <f t="shared" si="8"/>
        <v>58</v>
      </c>
    </row>
    <row r="573" spans="1:16" x14ac:dyDescent="0.2">
      <c r="A573" t="s">
        <v>2091</v>
      </c>
      <c r="B573" t="s">
        <v>87</v>
      </c>
      <c r="C573" t="s">
        <v>28</v>
      </c>
      <c r="D573" s="4">
        <v>30281</v>
      </c>
      <c r="E573" s="4">
        <v>45387</v>
      </c>
      <c r="F573" s="9">
        <v>45396</v>
      </c>
      <c r="G573" t="s">
        <v>60</v>
      </c>
      <c r="H573" t="s">
        <v>66</v>
      </c>
      <c r="I573" t="s">
        <v>67</v>
      </c>
      <c r="J573" s="7">
        <v>5171412</v>
      </c>
      <c r="K573" t="s">
        <v>48</v>
      </c>
      <c r="L573" t="s">
        <v>34</v>
      </c>
      <c r="M573" t="s">
        <v>35</v>
      </c>
      <c r="N573" s="6">
        <v>9</v>
      </c>
      <c r="O573" t="s">
        <v>36</v>
      </c>
      <c r="P573">
        <f t="shared" si="8"/>
        <v>42</v>
      </c>
    </row>
    <row r="574" spans="1:16" x14ac:dyDescent="0.2">
      <c r="A574" t="s">
        <v>887</v>
      </c>
      <c r="B574" t="s">
        <v>119</v>
      </c>
      <c r="C574" t="s">
        <v>28</v>
      </c>
      <c r="D574" s="4">
        <v>20655</v>
      </c>
      <c r="E574" s="4">
        <v>45391</v>
      </c>
      <c r="F574" s="9">
        <v>45397</v>
      </c>
      <c r="G574" t="s">
        <v>100</v>
      </c>
      <c r="H574" t="s">
        <v>61</v>
      </c>
      <c r="I574" t="s">
        <v>2535</v>
      </c>
      <c r="J574" s="7">
        <v>3968144</v>
      </c>
      <c r="K574" t="s">
        <v>48</v>
      </c>
      <c r="L574" t="s">
        <v>23</v>
      </c>
      <c r="M574" t="s">
        <v>24</v>
      </c>
      <c r="N574" s="6">
        <v>6</v>
      </c>
      <c r="O574" t="s">
        <v>36</v>
      </c>
      <c r="P574">
        <f t="shared" si="8"/>
        <v>68</v>
      </c>
    </row>
    <row r="575" spans="1:16" x14ac:dyDescent="0.2">
      <c r="A575" t="s">
        <v>2092</v>
      </c>
      <c r="B575" t="s">
        <v>51</v>
      </c>
      <c r="C575" t="s">
        <v>28</v>
      </c>
      <c r="D575" s="4">
        <v>29035</v>
      </c>
      <c r="E575" s="4">
        <v>45373</v>
      </c>
      <c r="F575" s="9">
        <v>45381</v>
      </c>
      <c r="G575" t="s">
        <v>100</v>
      </c>
      <c r="H575" t="s">
        <v>61</v>
      </c>
      <c r="I575" t="s">
        <v>2533</v>
      </c>
      <c r="J575" s="7">
        <v>3885160</v>
      </c>
      <c r="K575" t="s">
        <v>43</v>
      </c>
      <c r="L575" t="s">
        <v>23</v>
      </c>
      <c r="M575" t="s">
        <v>78</v>
      </c>
      <c r="N575" s="6">
        <v>8</v>
      </c>
      <c r="O575" t="s">
        <v>25</v>
      </c>
      <c r="P575">
        <f t="shared" si="8"/>
        <v>45</v>
      </c>
    </row>
    <row r="576" spans="1:16" x14ac:dyDescent="0.2">
      <c r="A576" t="s">
        <v>2093</v>
      </c>
      <c r="B576" t="s">
        <v>119</v>
      </c>
      <c r="C576" t="s">
        <v>92</v>
      </c>
      <c r="D576" s="4">
        <v>37960</v>
      </c>
      <c r="E576" s="4">
        <v>45307</v>
      </c>
      <c r="F576" s="9">
        <v>45315</v>
      </c>
      <c r="G576" t="s">
        <v>88</v>
      </c>
      <c r="H576" t="s">
        <v>66</v>
      </c>
      <c r="I576" t="s">
        <v>41</v>
      </c>
      <c r="J576" s="7">
        <v>550712</v>
      </c>
      <c r="K576" t="s">
        <v>48</v>
      </c>
      <c r="L576" t="s">
        <v>2527</v>
      </c>
      <c r="M576" t="s">
        <v>24</v>
      </c>
      <c r="N576" s="6">
        <v>8</v>
      </c>
      <c r="O576" t="s">
        <v>25</v>
      </c>
      <c r="P576">
        <f t="shared" si="8"/>
        <v>21</v>
      </c>
    </row>
    <row r="577" spans="1:16" x14ac:dyDescent="0.2">
      <c r="A577" t="s">
        <v>890</v>
      </c>
      <c r="B577" t="s">
        <v>38</v>
      </c>
      <c r="C577" t="s">
        <v>28</v>
      </c>
      <c r="D577" s="4">
        <v>20941</v>
      </c>
      <c r="E577" s="4">
        <v>45407</v>
      </c>
      <c r="F577" s="9">
        <v>45418</v>
      </c>
      <c r="G577" t="s">
        <v>46</v>
      </c>
      <c r="H577" t="s">
        <v>30</v>
      </c>
      <c r="I577" t="s">
        <v>67</v>
      </c>
      <c r="J577" s="7">
        <v>1090108</v>
      </c>
      <c r="K577" t="s">
        <v>48</v>
      </c>
      <c r="L577" t="s">
        <v>2527</v>
      </c>
      <c r="M577" t="s">
        <v>35</v>
      </c>
      <c r="N577" s="6">
        <v>11</v>
      </c>
      <c r="O577" t="s">
        <v>36</v>
      </c>
      <c r="P577">
        <f t="shared" si="8"/>
        <v>67</v>
      </c>
    </row>
    <row r="578" spans="1:16" x14ac:dyDescent="0.2">
      <c r="A578" t="s">
        <v>2094</v>
      </c>
      <c r="B578" t="s">
        <v>56</v>
      </c>
      <c r="C578" t="s">
        <v>92</v>
      </c>
      <c r="D578" s="4">
        <v>23529</v>
      </c>
      <c r="E578" s="4">
        <v>45382</v>
      </c>
      <c r="F578" s="9">
        <v>45391</v>
      </c>
      <c r="G578" t="s">
        <v>74</v>
      </c>
      <c r="H578" t="s">
        <v>2528</v>
      </c>
      <c r="I578" t="s">
        <v>2534</v>
      </c>
      <c r="J578" s="7">
        <v>4843248</v>
      </c>
      <c r="K578" t="s">
        <v>48</v>
      </c>
      <c r="L578" t="s">
        <v>2527</v>
      </c>
      <c r="M578" t="s">
        <v>35</v>
      </c>
      <c r="N578" s="6">
        <v>9</v>
      </c>
      <c r="O578" t="s">
        <v>36</v>
      </c>
      <c r="P578">
        <f t="shared" si="8"/>
        <v>60</v>
      </c>
    </row>
    <row r="579" spans="1:16" x14ac:dyDescent="0.2">
      <c r="A579" t="s">
        <v>892</v>
      </c>
      <c r="B579" t="s">
        <v>56</v>
      </c>
      <c r="C579" t="s">
        <v>39</v>
      </c>
      <c r="D579" s="4">
        <v>28632</v>
      </c>
      <c r="E579" s="4">
        <v>45464</v>
      </c>
      <c r="F579" s="9">
        <v>45476</v>
      </c>
      <c r="G579" t="s">
        <v>100</v>
      </c>
      <c r="H579" t="s">
        <v>61</v>
      </c>
      <c r="I579" t="s">
        <v>41</v>
      </c>
      <c r="J579" s="7">
        <v>1346604</v>
      </c>
      <c r="K579" t="s">
        <v>43</v>
      </c>
      <c r="L579" t="s">
        <v>34</v>
      </c>
      <c r="M579" t="s">
        <v>35</v>
      </c>
      <c r="N579" s="6">
        <v>12</v>
      </c>
      <c r="O579" t="s">
        <v>25</v>
      </c>
      <c r="P579">
        <f t="shared" ref="P579:P642" si="9">YEAR(E579)-YEAR(D579)</f>
        <v>46</v>
      </c>
    </row>
    <row r="580" spans="1:16" x14ac:dyDescent="0.2">
      <c r="A580" t="s">
        <v>2095</v>
      </c>
      <c r="B580" t="s">
        <v>27</v>
      </c>
      <c r="C580" t="s">
        <v>39</v>
      </c>
      <c r="D580" s="4">
        <v>23706</v>
      </c>
      <c r="E580" s="4">
        <v>45347</v>
      </c>
      <c r="F580" s="9">
        <v>45351</v>
      </c>
      <c r="G580" t="s">
        <v>83</v>
      </c>
      <c r="H580" t="s">
        <v>66</v>
      </c>
      <c r="I580" t="s">
        <v>2533</v>
      </c>
      <c r="J580" s="7">
        <v>465500</v>
      </c>
      <c r="K580" t="s">
        <v>48</v>
      </c>
      <c r="L580" t="s">
        <v>34</v>
      </c>
      <c r="M580" t="s">
        <v>24</v>
      </c>
      <c r="N580" s="6">
        <v>4</v>
      </c>
      <c r="O580" t="s">
        <v>36</v>
      </c>
      <c r="P580">
        <f t="shared" si="9"/>
        <v>60</v>
      </c>
    </row>
    <row r="581" spans="1:16" x14ac:dyDescent="0.2">
      <c r="A581" t="s">
        <v>2096</v>
      </c>
      <c r="B581" t="s">
        <v>102</v>
      </c>
      <c r="C581" t="s">
        <v>92</v>
      </c>
      <c r="D581" s="4">
        <v>36039</v>
      </c>
      <c r="E581" s="4">
        <v>45425</v>
      </c>
      <c r="F581" s="9" t="s">
        <v>2536</v>
      </c>
      <c r="G581" t="s">
        <v>46</v>
      </c>
      <c r="H581" t="s">
        <v>30</v>
      </c>
      <c r="I581" t="s">
        <v>2533</v>
      </c>
      <c r="J581" s="7">
        <v>3259008</v>
      </c>
      <c r="K581" t="s">
        <v>43</v>
      </c>
      <c r="L581" t="s">
        <v>23</v>
      </c>
      <c r="M581" t="s">
        <v>24</v>
      </c>
      <c r="N581" s="6" t="s">
        <v>2525</v>
      </c>
      <c r="O581" t="s">
        <v>2531</v>
      </c>
      <c r="P581">
        <f t="shared" si="9"/>
        <v>26</v>
      </c>
    </row>
    <row r="582" spans="1:16" x14ac:dyDescent="0.2">
      <c r="A582" t="s">
        <v>2097</v>
      </c>
      <c r="B582" t="s">
        <v>82</v>
      </c>
      <c r="C582" t="s">
        <v>28</v>
      </c>
      <c r="D582" s="4">
        <v>27545</v>
      </c>
      <c r="E582" s="4">
        <v>45314</v>
      </c>
      <c r="F582" s="9" t="s">
        <v>2536</v>
      </c>
      <c r="G582" t="s">
        <v>88</v>
      </c>
      <c r="H582" t="s">
        <v>66</v>
      </c>
      <c r="I582" t="s">
        <v>2533</v>
      </c>
      <c r="J582" s="7">
        <v>1176864</v>
      </c>
      <c r="K582" t="s">
        <v>43</v>
      </c>
      <c r="L582" t="s">
        <v>34</v>
      </c>
      <c r="M582" t="s">
        <v>24</v>
      </c>
      <c r="N582" s="6" t="s">
        <v>2525</v>
      </c>
      <c r="O582" t="s">
        <v>25</v>
      </c>
      <c r="P582">
        <f t="shared" si="9"/>
        <v>49</v>
      </c>
    </row>
    <row r="583" spans="1:16" x14ac:dyDescent="0.2">
      <c r="A583" t="s">
        <v>2098</v>
      </c>
      <c r="B583" t="s">
        <v>45</v>
      </c>
      <c r="C583" t="s">
        <v>39</v>
      </c>
      <c r="D583" s="4">
        <v>32047</v>
      </c>
      <c r="E583" s="4">
        <v>45349</v>
      </c>
      <c r="F583" s="9">
        <v>45351</v>
      </c>
      <c r="G583" t="s">
        <v>100</v>
      </c>
      <c r="H583" t="s">
        <v>61</v>
      </c>
      <c r="I583" t="s">
        <v>2533</v>
      </c>
      <c r="J583" s="7">
        <v>3960600</v>
      </c>
      <c r="K583" t="s">
        <v>71</v>
      </c>
      <c r="L583" t="s">
        <v>34</v>
      </c>
      <c r="M583" t="s">
        <v>78</v>
      </c>
      <c r="N583" s="6">
        <v>2</v>
      </c>
      <c r="O583" t="s">
        <v>36</v>
      </c>
      <c r="P583">
        <f t="shared" si="9"/>
        <v>37</v>
      </c>
    </row>
    <row r="584" spans="1:16" x14ac:dyDescent="0.2">
      <c r="A584" t="s">
        <v>2099</v>
      </c>
      <c r="B584" t="s">
        <v>38</v>
      </c>
      <c r="C584" t="s">
        <v>92</v>
      </c>
      <c r="D584" s="4">
        <v>31853</v>
      </c>
      <c r="E584" s="4">
        <v>45293</v>
      </c>
      <c r="F584" s="9" t="s">
        <v>2536</v>
      </c>
      <c r="G584" t="s">
        <v>88</v>
      </c>
      <c r="H584" t="s">
        <v>66</v>
      </c>
      <c r="I584" t="s">
        <v>41</v>
      </c>
      <c r="J584" s="7">
        <v>3031000</v>
      </c>
      <c r="K584" t="s">
        <v>48</v>
      </c>
      <c r="L584" t="s">
        <v>23</v>
      </c>
      <c r="M584" t="s">
        <v>24</v>
      </c>
      <c r="N584" s="6" t="s">
        <v>2525</v>
      </c>
      <c r="O584" t="s">
        <v>2531</v>
      </c>
      <c r="P584">
        <f t="shared" si="9"/>
        <v>37</v>
      </c>
    </row>
    <row r="585" spans="1:16" x14ac:dyDescent="0.2">
      <c r="A585" t="s">
        <v>2100</v>
      </c>
      <c r="B585" t="s">
        <v>51</v>
      </c>
      <c r="C585" t="s">
        <v>92</v>
      </c>
      <c r="D585" s="4">
        <v>39380</v>
      </c>
      <c r="E585" s="4">
        <v>45305</v>
      </c>
      <c r="F585" s="9" t="s">
        <v>2536</v>
      </c>
      <c r="G585" t="s">
        <v>72</v>
      </c>
      <c r="H585" t="s">
        <v>2529</v>
      </c>
      <c r="I585" t="s">
        <v>2534</v>
      </c>
      <c r="J585" s="7">
        <v>1716260</v>
      </c>
      <c r="K585" t="s">
        <v>48</v>
      </c>
      <c r="L585" t="s">
        <v>23</v>
      </c>
      <c r="M585" t="s">
        <v>78</v>
      </c>
      <c r="N585" s="6" t="s">
        <v>2525</v>
      </c>
      <c r="O585" t="s">
        <v>2531</v>
      </c>
      <c r="P585">
        <f t="shared" si="9"/>
        <v>17</v>
      </c>
    </row>
    <row r="586" spans="1:16" x14ac:dyDescent="0.2">
      <c r="A586" t="s">
        <v>897</v>
      </c>
      <c r="B586" t="s">
        <v>105</v>
      </c>
      <c r="C586" t="s">
        <v>92</v>
      </c>
      <c r="D586" s="4">
        <v>38955</v>
      </c>
      <c r="E586" s="4">
        <v>45452</v>
      </c>
      <c r="F586" s="9">
        <v>45455</v>
      </c>
      <c r="G586" t="s">
        <v>50</v>
      </c>
      <c r="H586" t="s">
        <v>2528</v>
      </c>
      <c r="I586" t="s">
        <v>67</v>
      </c>
      <c r="J586" s="7">
        <v>573344</v>
      </c>
      <c r="K586" t="s">
        <v>48</v>
      </c>
      <c r="L586" t="s">
        <v>23</v>
      </c>
      <c r="M586" t="s">
        <v>35</v>
      </c>
      <c r="N586" s="6">
        <v>3</v>
      </c>
      <c r="O586" t="s">
        <v>25</v>
      </c>
      <c r="P586">
        <f t="shared" si="9"/>
        <v>18</v>
      </c>
    </row>
    <row r="587" spans="1:16" x14ac:dyDescent="0.2">
      <c r="A587" t="s">
        <v>2101</v>
      </c>
      <c r="B587" t="s">
        <v>118</v>
      </c>
      <c r="C587" t="s">
        <v>92</v>
      </c>
      <c r="D587" s="4">
        <v>22541</v>
      </c>
      <c r="E587" s="4">
        <v>45454</v>
      </c>
      <c r="F587" s="9">
        <v>45465</v>
      </c>
      <c r="G587" t="s">
        <v>60</v>
      </c>
      <c r="H587" t="s">
        <v>66</v>
      </c>
      <c r="I587" t="s">
        <v>2535</v>
      </c>
      <c r="J587" s="7">
        <v>2270744</v>
      </c>
      <c r="K587" t="s">
        <v>48</v>
      </c>
      <c r="L587" t="s">
        <v>34</v>
      </c>
      <c r="M587" t="s">
        <v>78</v>
      </c>
      <c r="N587" s="6">
        <v>11</v>
      </c>
      <c r="O587" t="s">
        <v>25</v>
      </c>
      <c r="P587">
        <f t="shared" si="9"/>
        <v>63</v>
      </c>
    </row>
    <row r="588" spans="1:16" x14ac:dyDescent="0.2">
      <c r="A588" t="s">
        <v>2102</v>
      </c>
      <c r="B588" t="s">
        <v>64</v>
      </c>
      <c r="C588" t="s">
        <v>28</v>
      </c>
      <c r="D588" s="4">
        <v>37248</v>
      </c>
      <c r="E588" s="4">
        <v>45320</v>
      </c>
      <c r="F588" s="9">
        <v>45322</v>
      </c>
      <c r="G588" t="s">
        <v>46</v>
      </c>
      <c r="H588" t="s">
        <v>30</v>
      </c>
      <c r="I588" t="s">
        <v>2533</v>
      </c>
      <c r="J588" s="7">
        <v>1769068</v>
      </c>
      <c r="K588" t="s">
        <v>48</v>
      </c>
      <c r="L588" t="s">
        <v>2527</v>
      </c>
      <c r="M588" t="s">
        <v>78</v>
      </c>
      <c r="N588" s="6">
        <v>2</v>
      </c>
      <c r="O588" t="s">
        <v>36</v>
      </c>
      <c r="P588">
        <f t="shared" si="9"/>
        <v>23</v>
      </c>
    </row>
    <row r="589" spans="1:16" x14ac:dyDescent="0.2">
      <c r="A589" t="s">
        <v>901</v>
      </c>
      <c r="B589" t="s">
        <v>56</v>
      </c>
      <c r="C589" t="s">
        <v>39</v>
      </c>
      <c r="D589" s="4">
        <v>18983</v>
      </c>
      <c r="E589" s="4">
        <v>45310</v>
      </c>
      <c r="F589" s="9">
        <v>45312</v>
      </c>
      <c r="G589" t="s">
        <v>72</v>
      </c>
      <c r="H589" t="s">
        <v>2529</v>
      </c>
      <c r="I589" t="s">
        <v>2533</v>
      </c>
      <c r="J589" s="7">
        <v>2798824</v>
      </c>
      <c r="K589" t="s">
        <v>48</v>
      </c>
      <c r="L589" t="s">
        <v>23</v>
      </c>
      <c r="M589" t="s">
        <v>78</v>
      </c>
      <c r="N589" s="6">
        <v>2</v>
      </c>
      <c r="O589" t="s">
        <v>25</v>
      </c>
      <c r="P589">
        <f t="shared" si="9"/>
        <v>73</v>
      </c>
    </row>
    <row r="590" spans="1:16" x14ac:dyDescent="0.2">
      <c r="A590" t="s">
        <v>2103</v>
      </c>
      <c r="B590" t="s">
        <v>119</v>
      </c>
      <c r="C590" t="s">
        <v>28</v>
      </c>
      <c r="D590" s="4">
        <v>38142</v>
      </c>
      <c r="E590" s="4">
        <v>45322</v>
      </c>
      <c r="F590" s="9">
        <v>45330</v>
      </c>
      <c r="G590" t="s">
        <v>46</v>
      </c>
      <c r="H590" t="s">
        <v>30</v>
      </c>
      <c r="I590" t="s">
        <v>2534</v>
      </c>
      <c r="J590" s="7">
        <v>2342412</v>
      </c>
      <c r="K590" t="s">
        <v>48</v>
      </c>
      <c r="L590" t="s">
        <v>34</v>
      </c>
      <c r="M590" t="s">
        <v>24</v>
      </c>
      <c r="N590" s="6">
        <v>8</v>
      </c>
      <c r="O590" t="s">
        <v>2531</v>
      </c>
      <c r="P590">
        <f t="shared" si="9"/>
        <v>20</v>
      </c>
    </row>
    <row r="591" spans="1:16" x14ac:dyDescent="0.2">
      <c r="A591" t="s">
        <v>904</v>
      </c>
      <c r="B591" t="s">
        <v>51</v>
      </c>
      <c r="C591" t="s">
        <v>39</v>
      </c>
      <c r="D591" s="4">
        <v>30220</v>
      </c>
      <c r="E591" s="4">
        <v>45347</v>
      </c>
      <c r="F591" s="9">
        <v>45351</v>
      </c>
      <c r="G591" t="s">
        <v>46</v>
      </c>
      <c r="H591" t="s">
        <v>30</v>
      </c>
      <c r="I591" t="s">
        <v>2533</v>
      </c>
      <c r="J591" s="7">
        <v>4096392</v>
      </c>
      <c r="K591" t="s">
        <v>48</v>
      </c>
      <c r="L591" t="s">
        <v>2527</v>
      </c>
      <c r="M591" t="s">
        <v>24</v>
      </c>
      <c r="N591" s="6">
        <v>4</v>
      </c>
      <c r="O591" t="s">
        <v>36</v>
      </c>
      <c r="P591">
        <f t="shared" si="9"/>
        <v>42</v>
      </c>
    </row>
    <row r="592" spans="1:16" x14ac:dyDescent="0.2">
      <c r="A592" t="s">
        <v>2104</v>
      </c>
      <c r="B592" t="s">
        <v>56</v>
      </c>
      <c r="C592" t="s">
        <v>28</v>
      </c>
      <c r="D592" s="4">
        <v>35062</v>
      </c>
      <c r="E592" s="4">
        <v>45341</v>
      </c>
      <c r="F592" s="9">
        <v>45352</v>
      </c>
      <c r="G592" t="s">
        <v>29</v>
      </c>
      <c r="H592" t="s">
        <v>19</v>
      </c>
      <c r="I592" t="s">
        <v>2535</v>
      </c>
      <c r="J592" s="7">
        <v>4560500</v>
      </c>
      <c r="K592" t="s">
        <v>48</v>
      </c>
      <c r="L592" t="s">
        <v>23</v>
      </c>
      <c r="M592" t="s">
        <v>24</v>
      </c>
      <c r="N592" s="6">
        <v>11</v>
      </c>
      <c r="O592" t="s">
        <v>36</v>
      </c>
      <c r="P592">
        <f t="shared" si="9"/>
        <v>29</v>
      </c>
    </row>
    <row r="593" spans="1:16" x14ac:dyDescent="0.2">
      <c r="A593" t="s">
        <v>2105</v>
      </c>
      <c r="B593" t="s">
        <v>85</v>
      </c>
      <c r="C593" t="s">
        <v>28</v>
      </c>
      <c r="D593" s="4">
        <v>27166</v>
      </c>
      <c r="E593" s="4">
        <v>45451</v>
      </c>
      <c r="F593" s="9">
        <v>45458</v>
      </c>
      <c r="G593" t="s">
        <v>18</v>
      </c>
      <c r="H593" t="s">
        <v>2529</v>
      </c>
      <c r="I593" t="s">
        <v>2533</v>
      </c>
      <c r="J593" s="7">
        <v>5261940</v>
      </c>
      <c r="K593" t="s">
        <v>71</v>
      </c>
      <c r="L593" t="s">
        <v>23</v>
      </c>
      <c r="M593" t="s">
        <v>35</v>
      </c>
      <c r="N593" s="6">
        <v>7</v>
      </c>
      <c r="O593" t="s">
        <v>2531</v>
      </c>
      <c r="P593">
        <f t="shared" si="9"/>
        <v>50</v>
      </c>
    </row>
    <row r="594" spans="1:16" x14ac:dyDescent="0.2">
      <c r="A594" t="s">
        <v>2106</v>
      </c>
      <c r="B594" t="s">
        <v>45</v>
      </c>
      <c r="C594" t="s">
        <v>92</v>
      </c>
      <c r="D594" s="4">
        <v>39402</v>
      </c>
      <c r="E594" s="4">
        <v>45393</v>
      </c>
      <c r="F594" s="9" t="s">
        <v>2536</v>
      </c>
      <c r="G594" t="s">
        <v>83</v>
      </c>
      <c r="H594" t="s">
        <v>66</v>
      </c>
      <c r="I594" t="s">
        <v>41</v>
      </c>
      <c r="J594" s="7">
        <v>1680000</v>
      </c>
      <c r="K594" t="s">
        <v>48</v>
      </c>
      <c r="L594" t="s">
        <v>34</v>
      </c>
      <c r="M594" t="s">
        <v>35</v>
      </c>
      <c r="N594" s="6" t="s">
        <v>2525</v>
      </c>
      <c r="O594" t="s">
        <v>25</v>
      </c>
      <c r="P594">
        <f t="shared" si="9"/>
        <v>17</v>
      </c>
    </row>
    <row r="595" spans="1:16" x14ac:dyDescent="0.2">
      <c r="A595" t="s">
        <v>2107</v>
      </c>
      <c r="B595" t="s">
        <v>16</v>
      </c>
      <c r="C595" t="s">
        <v>92</v>
      </c>
      <c r="D595" s="4">
        <v>28703</v>
      </c>
      <c r="E595" s="4">
        <v>45376</v>
      </c>
      <c r="F595" s="9">
        <v>45389</v>
      </c>
      <c r="G595" t="s">
        <v>50</v>
      </c>
      <c r="H595" t="s">
        <v>2528</v>
      </c>
      <c r="I595" t="s">
        <v>67</v>
      </c>
      <c r="J595" s="7">
        <v>3111500</v>
      </c>
      <c r="K595" t="s">
        <v>43</v>
      </c>
      <c r="L595" t="s">
        <v>23</v>
      </c>
      <c r="M595" t="s">
        <v>24</v>
      </c>
      <c r="N595" s="6">
        <v>13</v>
      </c>
      <c r="O595" t="s">
        <v>2531</v>
      </c>
      <c r="P595">
        <f t="shared" si="9"/>
        <v>46</v>
      </c>
    </row>
    <row r="596" spans="1:16" x14ac:dyDescent="0.2">
      <c r="A596" t="s">
        <v>2108</v>
      </c>
      <c r="B596" t="s">
        <v>85</v>
      </c>
      <c r="C596" t="s">
        <v>39</v>
      </c>
      <c r="D596" s="4">
        <v>20715</v>
      </c>
      <c r="E596" s="4">
        <v>45466</v>
      </c>
      <c r="F596" s="9">
        <v>45472</v>
      </c>
      <c r="G596" t="s">
        <v>50</v>
      </c>
      <c r="H596" t="s">
        <v>2528</v>
      </c>
      <c r="I596" t="s">
        <v>41</v>
      </c>
      <c r="J596" s="7">
        <v>4190692</v>
      </c>
      <c r="K596" t="s">
        <v>48</v>
      </c>
      <c r="L596" t="s">
        <v>2527</v>
      </c>
      <c r="M596" t="s">
        <v>78</v>
      </c>
      <c r="N596" s="6">
        <v>6</v>
      </c>
      <c r="O596" t="s">
        <v>36</v>
      </c>
      <c r="P596">
        <f t="shared" si="9"/>
        <v>68</v>
      </c>
    </row>
    <row r="597" spans="1:16" x14ac:dyDescent="0.2">
      <c r="A597" t="s">
        <v>910</v>
      </c>
      <c r="B597" t="s">
        <v>85</v>
      </c>
      <c r="C597" t="s">
        <v>92</v>
      </c>
      <c r="D597" s="4">
        <v>37635</v>
      </c>
      <c r="E597" s="4">
        <v>45352</v>
      </c>
      <c r="F597" s="9">
        <v>45363</v>
      </c>
      <c r="G597" t="s">
        <v>100</v>
      </c>
      <c r="H597" t="s">
        <v>61</v>
      </c>
      <c r="I597" t="s">
        <v>67</v>
      </c>
      <c r="J597" s="7">
        <v>3485328</v>
      </c>
      <c r="K597" t="s">
        <v>43</v>
      </c>
      <c r="L597" t="s">
        <v>34</v>
      </c>
      <c r="M597" t="s">
        <v>78</v>
      </c>
      <c r="N597" s="6">
        <v>11</v>
      </c>
      <c r="O597" t="s">
        <v>36</v>
      </c>
      <c r="P597">
        <f t="shared" si="9"/>
        <v>21</v>
      </c>
    </row>
    <row r="598" spans="1:16" x14ac:dyDescent="0.2">
      <c r="A598" t="s">
        <v>912</v>
      </c>
      <c r="B598" t="s">
        <v>82</v>
      </c>
      <c r="C598" t="s">
        <v>28</v>
      </c>
      <c r="D598" s="4">
        <v>28127</v>
      </c>
      <c r="E598" s="4">
        <v>45373</v>
      </c>
      <c r="F598" s="9">
        <v>45382</v>
      </c>
      <c r="G598" t="s">
        <v>100</v>
      </c>
      <c r="H598" t="s">
        <v>61</v>
      </c>
      <c r="I598" t="s">
        <v>67</v>
      </c>
      <c r="J598" s="7">
        <v>3167500</v>
      </c>
      <c r="K598" t="s">
        <v>71</v>
      </c>
      <c r="L598" t="s">
        <v>2527</v>
      </c>
      <c r="M598" t="s">
        <v>24</v>
      </c>
      <c r="N598" s="6">
        <v>9</v>
      </c>
      <c r="O598" t="s">
        <v>36</v>
      </c>
      <c r="P598">
        <f t="shared" si="9"/>
        <v>47</v>
      </c>
    </row>
    <row r="599" spans="1:16" x14ac:dyDescent="0.2">
      <c r="A599" t="s">
        <v>2109</v>
      </c>
      <c r="B599" t="s">
        <v>16</v>
      </c>
      <c r="C599" t="s">
        <v>92</v>
      </c>
      <c r="D599" s="4">
        <v>25604</v>
      </c>
      <c r="E599" s="4">
        <v>45294</v>
      </c>
      <c r="F599" s="9" t="s">
        <v>2536</v>
      </c>
      <c r="G599" t="s">
        <v>83</v>
      </c>
      <c r="H599" t="s">
        <v>66</v>
      </c>
      <c r="I599" t="s">
        <v>2534</v>
      </c>
      <c r="J599" s="7">
        <v>3741824</v>
      </c>
      <c r="K599" t="s">
        <v>48</v>
      </c>
      <c r="L599" t="s">
        <v>34</v>
      </c>
      <c r="M599" t="s">
        <v>35</v>
      </c>
      <c r="N599" s="6" t="s">
        <v>2525</v>
      </c>
      <c r="O599" t="s">
        <v>36</v>
      </c>
      <c r="P599">
        <f t="shared" si="9"/>
        <v>54</v>
      </c>
    </row>
    <row r="600" spans="1:16" x14ac:dyDescent="0.2">
      <c r="A600" t="s">
        <v>2110</v>
      </c>
      <c r="B600" t="s">
        <v>64</v>
      </c>
      <c r="C600" t="s">
        <v>28</v>
      </c>
      <c r="D600" s="4">
        <v>19984</v>
      </c>
      <c r="E600" s="4">
        <v>45303</v>
      </c>
      <c r="F600" s="9" t="s">
        <v>2536</v>
      </c>
      <c r="G600" t="s">
        <v>60</v>
      </c>
      <c r="H600" t="s">
        <v>66</v>
      </c>
      <c r="I600" t="s">
        <v>2533</v>
      </c>
      <c r="J600" s="7">
        <v>2919528</v>
      </c>
      <c r="K600" t="s">
        <v>48</v>
      </c>
      <c r="L600" t="s">
        <v>23</v>
      </c>
      <c r="M600" t="s">
        <v>35</v>
      </c>
      <c r="N600" s="6" t="s">
        <v>2525</v>
      </c>
      <c r="O600" t="s">
        <v>25</v>
      </c>
      <c r="P600">
        <f t="shared" si="9"/>
        <v>70</v>
      </c>
    </row>
    <row r="601" spans="1:16" x14ac:dyDescent="0.2">
      <c r="A601" t="s">
        <v>2111</v>
      </c>
      <c r="B601" t="s">
        <v>87</v>
      </c>
      <c r="C601" t="s">
        <v>39</v>
      </c>
      <c r="D601" s="4">
        <v>37404</v>
      </c>
      <c r="E601" s="4">
        <v>45455</v>
      </c>
      <c r="F601" s="9">
        <v>45464</v>
      </c>
      <c r="G601" t="s">
        <v>18</v>
      </c>
      <c r="H601" t="s">
        <v>2529</v>
      </c>
      <c r="I601" t="s">
        <v>2534</v>
      </c>
      <c r="J601" s="7">
        <v>3860500</v>
      </c>
      <c r="K601" t="s">
        <v>48</v>
      </c>
      <c r="L601" t="s">
        <v>2527</v>
      </c>
      <c r="M601" t="s">
        <v>35</v>
      </c>
      <c r="N601" s="6">
        <v>9</v>
      </c>
      <c r="O601" t="s">
        <v>36</v>
      </c>
      <c r="P601">
        <f t="shared" si="9"/>
        <v>22</v>
      </c>
    </row>
    <row r="602" spans="1:16" x14ac:dyDescent="0.2">
      <c r="A602" t="s">
        <v>2112</v>
      </c>
      <c r="B602" t="s">
        <v>150</v>
      </c>
      <c r="C602" t="s">
        <v>92</v>
      </c>
      <c r="D602" s="4">
        <v>36565</v>
      </c>
      <c r="E602" s="4">
        <v>45460</v>
      </c>
      <c r="F602" s="9">
        <v>45462</v>
      </c>
      <c r="G602" t="s">
        <v>88</v>
      </c>
      <c r="H602" t="s">
        <v>66</v>
      </c>
      <c r="I602" t="s">
        <v>67</v>
      </c>
      <c r="J602" s="7">
        <v>5556156</v>
      </c>
      <c r="K602" t="s">
        <v>71</v>
      </c>
      <c r="L602" t="s">
        <v>2527</v>
      </c>
      <c r="M602" t="s">
        <v>35</v>
      </c>
      <c r="N602" s="6">
        <v>2</v>
      </c>
      <c r="O602" t="s">
        <v>25</v>
      </c>
      <c r="P602">
        <f t="shared" si="9"/>
        <v>24</v>
      </c>
    </row>
    <row r="603" spans="1:16" x14ac:dyDescent="0.2">
      <c r="A603" t="s">
        <v>2113</v>
      </c>
      <c r="B603" t="s">
        <v>105</v>
      </c>
      <c r="C603" t="s">
        <v>92</v>
      </c>
      <c r="D603" s="4">
        <v>28532</v>
      </c>
      <c r="E603" s="4">
        <v>45473</v>
      </c>
      <c r="F603" s="9">
        <v>45487</v>
      </c>
      <c r="G603" t="s">
        <v>46</v>
      </c>
      <c r="H603" t="s">
        <v>30</v>
      </c>
      <c r="I603" t="s">
        <v>2533</v>
      </c>
      <c r="J603" s="7">
        <v>3353308</v>
      </c>
      <c r="K603" t="s">
        <v>43</v>
      </c>
      <c r="L603" t="s">
        <v>23</v>
      </c>
      <c r="M603" t="s">
        <v>78</v>
      </c>
      <c r="N603" s="6">
        <v>14</v>
      </c>
      <c r="O603" t="s">
        <v>36</v>
      </c>
      <c r="P603">
        <f t="shared" si="9"/>
        <v>46</v>
      </c>
    </row>
    <row r="604" spans="1:16" x14ac:dyDescent="0.2">
      <c r="A604" t="s">
        <v>2114</v>
      </c>
      <c r="B604" t="s">
        <v>140</v>
      </c>
      <c r="C604" t="s">
        <v>28</v>
      </c>
      <c r="D604" s="4">
        <v>28328</v>
      </c>
      <c r="E604" s="4">
        <v>45329</v>
      </c>
      <c r="F604" s="9">
        <v>45341</v>
      </c>
      <c r="G604" t="s">
        <v>50</v>
      </c>
      <c r="H604" t="s">
        <v>2528</v>
      </c>
      <c r="I604" t="s">
        <v>2533</v>
      </c>
      <c r="J604" s="7">
        <v>1690500</v>
      </c>
      <c r="K604" t="s">
        <v>48</v>
      </c>
      <c r="L604" t="s">
        <v>2527</v>
      </c>
      <c r="M604" t="s">
        <v>24</v>
      </c>
      <c r="N604" s="6">
        <v>12</v>
      </c>
      <c r="O604" t="s">
        <v>36</v>
      </c>
      <c r="P604">
        <f t="shared" si="9"/>
        <v>47</v>
      </c>
    </row>
    <row r="605" spans="1:16" x14ac:dyDescent="0.2">
      <c r="A605" t="s">
        <v>922</v>
      </c>
      <c r="B605" t="s">
        <v>27</v>
      </c>
      <c r="C605" t="s">
        <v>92</v>
      </c>
      <c r="D605" s="4">
        <v>29877</v>
      </c>
      <c r="E605" s="4">
        <v>45346</v>
      </c>
      <c r="F605" s="9">
        <v>45353</v>
      </c>
      <c r="G605" t="s">
        <v>88</v>
      </c>
      <c r="H605" t="s">
        <v>66</v>
      </c>
      <c r="I605" t="s">
        <v>2533</v>
      </c>
      <c r="J605" s="7">
        <v>3232604</v>
      </c>
      <c r="K605" t="s">
        <v>48</v>
      </c>
      <c r="L605" t="s">
        <v>2527</v>
      </c>
      <c r="M605" t="s">
        <v>24</v>
      </c>
      <c r="N605" s="6">
        <v>7</v>
      </c>
      <c r="O605" t="s">
        <v>36</v>
      </c>
      <c r="P605">
        <f t="shared" si="9"/>
        <v>43</v>
      </c>
    </row>
    <row r="606" spans="1:16" x14ac:dyDescent="0.2">
      <c r="A606" t="s">
        <v>924</v>
      </c>
      <c r="B606" t="s">
        <v>118</v>
      </c>
      <c r="C606" t="s">
        <v>28</v>
      </c>
      <c r="D606" s="4">
        <v>37729</v>
      </c>
      <c r="E606" s="4">
        <v>45427</v>
      </c>
      <c r="F606" s="9">
        <v>45429</v>
      </c>
      <c r="G606" t="s">
        <v>72</v>
      </c>
      <c r="H606" t="s">
        <v>2529</v>
      </c>
      <c r="I606" t="s">
        <v>67</v>
      </c>
      <c r="J606" s="7">
        <v>2070828</v>
      </c>
      <c r="K606" t="s">
        <v>48</v>
      </c>
      <c r="L606" t="s">
        <v>34</v>
      </c>
      <c r="M606" t="s">
        <v>24</v>
      </c>
      <c r="N606" s="6">
        <v>2</v>
      </c>
      <c r="O606" t="s">
        <v>25</v>
      </c>
      <c r="P606">
        <f t="shared" si="9"/>
        <v>21</v>
      </c>
    </row>
    <row r="607" spans="1:16" x14ac:dyDescent="0.2">
      <c r="A607" t="s">
        <v>2115</v>
      </c>
      <c r="B607" t="s">
        <v>16</v>
      </c>
      <c r="C607" t="s">
        <v>92</v>
      </c>
      <c r="D607" s="4">
        <v>25684</v>
      </c>
      <c r="E607" s="4">
        <v>45392</v>
      </c>
      <c r="F607" s="9" t="s">
        <v>2536</v>
      </c>
      <c r="G607" t="s">
        <v>60</v>
      </c>
      <c r="H607" t="s">
        <v>66</v>
      </c>
      <c r="I607" t="s">
        <v>67</v>
      </c>
      <c r="J607" s="7">
        <v>1697400</v>
      </c>
      <c r="K607" t="s">
        <v>48</v>
      </c>
      <c r="L607" t="s">
        <v>2527</v>
      </c>
      <c r="M607" t="s">
        <v>24</v>
      </c>
      <c r="N607" s="6" t="s">
        <v>2525</v>
      </c>
      <c r="O607" t="s">
        <v>25</v>
      </c>
      <c r="P607">
        <f t="shared" si="9"/>
        <v>54</v>
      </c>
    </row>
    <row r="608" spans="1:16" x14ac:dyDescent="0.2">
      <c r="A608" t="s">
        <v>928</v>
      </c>
      <c r="B608" t="s">
        <v>140</v>
      </c>
      <c r="C608" t="s">
        <v>92</v>
      </c>
      <c r="D608" s="4">
        <v>38649</v>
      </c>
      <c r="E608" s="4">
        <v>45370</v>
      </c>
      <c r="F608" s="9">
        <v>45381</v>
      </c>
      <c r="G608" t="s">
        <v>46</v>
      </c>
      <c r="H608" t="s">
        <v>30</v>
      </c>
      <c r="I608" t="s">
        <v>2533</v>
      </c>
      <c r="J608" s="7">
        <v>3892704</v>
      </c>
      <c r="K608" t="s">
        <v>48</v>
      </c>
      <c r="L608" t="s">
        <v>2527</v>
      </c>
      <c r="M608" t="s">
        <v>78</v>
      </c>
      <c r="N608" s="6">
        <v>11</v>
      </c>
      <c r="O608" t="s">
        <v>36</v>
      </c>
      <c r="P608">
        <f t="shared" si="9"/>
        <v>19</v>
      </c>
    </row>
    <row r="609" spans="1:16" x14ac:dyDescent="0.2">
      <c r="A609" t="s">
        <v>930</v>
      </c>
      <c r="B609" t="s">
        <v>140</v>
      </c>
      <c r="C609" t="s">
        <v>28</v>
      </c>
      <c r="D609" s="4">
        <v>18582</v>
      </c>
      <c r="E609" s="4">
        <v>45413</v>
      </c>
      <c r="F609" s="9">
        <v>45417</v>
      </c>
      <c r="G609" t="s">
        <v>74</v>
      </c>
      <c r="H609" t="s">
        <v>2528</v>
      </c>
      <c r="I609" t="s">
        <v>41</v>
      </c>
      <c r="J609" s="7">
        <v>472500</v>
      </c>
      <c r="K609" t="s">
        <v>48</v>
      </c>
      <c r="L609" t="s">
        <v>23</v>
      </c>
      <c r="M609" t="s">
        <v>35</v>
      </c>
      <c r="N609" s="6">
        <v>4</v>
      </c>
      <c r="O609" t="s">
        <v>36</v>
      </c>
      <c r="P609">
        <f t="shared" si="9"/>
        <v>74</v>
      </c>
    </row>
    <row r="610" spans="1:16" x14ac:dyDescent="0.2">
      <c r="A610" t="s">
        <v>2116</v>
      </c>
      <c r="B610" t="s">
        <v>59</v>
      </c>
      <c r="C610" t="s">
        <v>28</v>
      </c>
      <c r="D610" s="4">
        <v>34342</v>
      </c>
      <c r="E610" s="4">
        <v>45431</v>
      </c>
      <c r="F610" s="9">
        <v>45436</v>
      </c>
      <c r="G610" t="s">
        <v>100</v>
      </c>
      <c r="H610" t="s">
        <v>61</v>
      </c>
      <c r="I610" t="s">
        <v>41</v>
      </c>
      <c r="J610" s="7">
        <v>2877000</v>
      </c>
      <c r="K610" t="s">
        <v>48</v>
      </c>
      <c r="L610" t="s">
        <v>2527</v>
      </c>
      <c r="M610" t="s">
        <v>35</v>
      </c>
      <c r="N610" s="6">
        <v>5</v>
      </c>
      <c r="O610" t="s">
        <v>2531</v>
      </c>
      <c r="P610">
        <f t="shared" si="9"/>
        <v>30</v>
      </c>
    </row>
    <row r="611" spans="1:16" x14ac:dyDescent="0.2">
      <c r="A611" t="s">
        <v>2117</v>
      </c>
      <c r="B611" t="s">
        <v>64</v>
      </c>
      <c r="C611" t="s">
        <v>28</v>
      </c>
      <c r="D611" s="4">
        <v>31709</v>
      </c>
      <c r="E611" s="4">
        <v>45460</v>
      </c>
      <c r="F611" s="9">
        <v>45461</v>
      </c>
      <c r="G611" t="s">
        <v>18</v>
      </c>
      <c r="H611" t="s">
        <v>2529</v>
      </c>
      <c r="I611" t="s">
        <v>2534</v>
      </c>
      <c r="J611" s="7">
        <v>3437000</v>
      </c>
      <c r="K611" t="s">
        <v>48</v>
      </c>
      <c r="L611" t="s">
        <v>34</v>
      </c>
      <c r="M611" t="s">
        <v>35</v>
      </c>
      <c r="N611" s="6">
        <v>1</v>
      </c>
      <c r="O611" t="s">
        <v>2531</v>
      </c>
      <c r="P611">
        <f t="shared" si="9"/>
        <v>38</v>
      </c>
    </row>
    <row r="612" spans="1:16" x14ac:dyDescent="0.2">
      <c r="A612" t="s">
        <v>935</v>
      </c>
      <c r="B612" t="s">
        <v>38</v>
      </c>
      <c r="C612" t="s">
        <v>28</v>
      </c>
      <c r="D612" s="4">
        <v>36119</v>
      </c>
      <c r="E612" s="4">
        <v>45426</v>
      </c>
      <c r="F612" s="9">
        <v>45437</v>
      </c>
      <c r="G612" t="s">
        <v>83</v>
      </c>
      <c r="H612" t="s">
        <v>66</v>
      </c>
      <c r="I612" t="s">
        <v>2535</v>
      </c>
      <c r="J612" s="7">
        <v>3339000</v>
      </c>
      <c r="K612" t="s">
        <v>48</v>
      </c>
      <c r="L612" t="s">
        <v>23</v>
      </c>
      <c r="M612" t="s">
        <v>35</v>
      </c>
      <c r="N612" s="6">
        <v>11</v>
      </c>
      <c r="O612" t="s">
        <v>36</v>
      </c>
      <c r="P612">
        <f t="shared" si="9"/>
        <v>26</v>
      </c>
    </row>
    <row r="613" spans="1:16" x14ac:dyDescent="0.2">
      <c r="A613" t="s">
        <v>2118</v>
      </c>
      <c r="B613" t="s">
        <v>16</v>
      </c>
      <c r="C613" t="s">
        <v>28</v>
      </c>
      <c r="D613" s="4">
        <v>33174</v>
      </c>
      <c r="E613" s="4">
        <v>45365</v>
      </c>
      <c r="F613" s="9">
        <v>45373</v>
      </c>
      <c r="G613" t="s">
        <v>100</v>
      </c>
      <c r="H613" t="s">
        <v>61</v>
      </c>
      <c r="I613" t="s">
        <v>67</v>
      </c>
      <c r="J613" s="7">
        <v>4098500</v>
      </c>
      <c r="K613" t="s">
        <v>43</v>
      </c>
      <c r="L613" t="s">
        <v>23</v>
      </c>
      <c r="M613" t="s">
        <v>78</v>
      </c>
      <c r="N613" s="6">
        <v>8</v>
      </c>
      <c r="O613" t="s">
        <v>36</v>
      </c>
      <c r="P613">
        <f t="shared" si="9"/>
        <v>34</v>
      </c>
    </row>
    <row r="614" spans="1:16" x14ac:dyDescent="0.2">
      <c r="A614" t="s">
        <v>938</v>
      </c>
      <c r="B614" t="s">
        <v>114</v>
      </c>
      <c r="C614" t="s">
        <v>92</v>
      </c>
      <c r="D614" s="4">
        <v>25385</v>
      </c>
      <c r="E614" s="4">
        <v>45443</v>
      </c>
      <c r="F614" s="9" t="s">
        <v>2536</v>
      </c>
      <c r="G614" t="s">
        <v>60</v>
      </c>
      <c r="H614" t="s">
        <v>66</v>
      </c>
      <c r="I614" t="s">
        <v>2533</v>
      </c>
      <c r="J614" s="7">
        <v>3096812</v>
      </c>
      <c r="K614" t="s">
        <v>48</v>
      </c>
      <c r="L614" t="s">
        <v>2527</v>
      </c>
      <c r="M614" t="s">
        <v>35</v>
      </c>
      <c r="N614" s="6" t="s">
        <v>2525</v>
      </c>
      <c r="O614" t="s">
        <v>2531</v>
      </c>
      <c r="P614">
        <f t="shared" si="9"/>
        <v>55</v>
      </c>
    </row>
    <row r="615" spans="1:16" x14ac:dyDescent="0.2">
      <c r="A615" t="s">
        <v>2119</v>
      </c>
      <c r="B615" t="s">
        <v>27</v>
      </c>
      <c r="C615" t="s">
        <v>28</v>
      </c>
      <c r="D615" s="4">
        <v>21082</v>
      </c>
      <c r="E615" s="4">
        <v>45328</v>
      </c>
      <c r="F615" s="9">
        <v>45343</v>
      </c>
      <c r="G615" t="s">
        <v>60</v>
      </c>
      <c r="H615" t="s">
        <v>66</v>
      </c>
      <c r="I615" t="s">
        <v>67</v>
      </c>
      <c r="J615" s="7">
        <v>3741500</v>
      </c>
      <c r="K615" t="s">
        <v>48</v>
      </c>
      <c r="L615" t="s">
        <v>2527</v>
      </c>
      <c r="M615" t="s">
        <v>78</v>
      </c>
      <c r="N615" s="6">
        <v>15</v>
      </c>
      <c r="O615" t="s">
        <v>25</v>
      </c>
      <c r="P615">
        <f t="shared" si="9"/>
        <v>67</v>
      </c>
    </row>
    <row r="616" spans="1:16" x14ac:dyDescent="0.2">
      <c r="A616" t="s">
        <v>2120</v>
      </c>
      <c r="B616" t="s">
        <v>45</v>
      </c>
      <c r="C616" t="s">
        <v>92</v>
      </c>
      <c r="D616" s="4">
        <v>28446</v>
      </c>
      <c r="E616" s="4">
        <v>45436</v>
      </c>
      <c r="F616" s="9">
        <v>45442</v>
      </c>
      <c r="G616" t="s">
        <v>72</v>
      </c>
      <c r="H616" t="s">
        <v>2529</v>
      </c>
      <c r="I616" t="s">
        <v>67</v>
      </c>
      <c r="J616" s="7">
        <v>2308464</v>
      </c>
      <c r="K616" t="s">
        <v>71</v>
      </c>
      <c r="L616" t="s">
        <v>23</v>
      </c>
      <c r="M616" t="s">
        <v>78</v>
      </c>
      <c r="N616" s="6">
        <v>6</v>
      </c>
      <c r="O616" t="s">
        <v>2531</v>
      </c>
      <c r="P616">
        <f t="shared" si="9"/>
        <v>47</v>
      </c>
    </row>
    <row r="617" spans="1:16" x14ac:dyDescent="0.2">
      <c r="A617" t="s">
        <v>2121</v>
      </c>
      <c r="B617" t="s">
        <v>114</v>
      </c>
      <c r="C617" t="s">
        <v>92</v>
      </c>
      <c r="D617" s="4">
        <v>24272</v>
      </c>
      <c r="E617" s="4">
        <v>45403</v>
      </c>
      <c r="F617" s="9" t="s">
        <v>2536</v>
      </c>
      <c r="G617" t="s">
        <v>100</v>
      </c>
      <c r="H617" t="s">
        <v>61</v>
      </c>
      <c r="I617" t="s">
        <v>2533</v>
      </c>
      <c r="J617" s="7">
        <v>3958500</v>
      </c>
      <c r="K617" t="s">
        <v>71</v>
      </c>
      <c r="L617" t="s">
        <v>2527</v>
      </c>
      <c r="M617" t="s">
        <v>78</v>
      </c>
      <c r="N617" s="6" t="s">
        <v>2525</v>
      </c>
      <c r="O617" t="s">
        <v>36</v>
      </c>
      <c r="P617">
        <f t="shared" si="9"/>
        <v>58</v>
      </c>
    </row>
    <row r="618" spans="1:16" x14ac:dyDescent="0.2">
      <c r="A618" t="s">
        <v>945</v>
      </c>
      <c r="B618" t="s">
        <v>27</v>
      </c>
      <c r="C618" t="s">
        <v>92</v>
      </c>
      <c r="D618" s="4">
        <v>32056</v>
      </c>
      <c r="E618" s="4">
        <v>45327</v>
      </c>
      <c r="F618" s="9">
        <v>45337</v>
      </c>
      <c r="G618" t="s">
        <v>46</v>
      </c>
      <c r="H618" t="s">
        <v>30</v>
      </c>
      <c r="I618" t="s">
        <v>2535</v>
      </c>
      <c r="J618" s="7">
        <v>4403000</v>
      </c>
      <c r="K618" t="s">
        <v>48</v>
      </c>
      <c r="L618" t="s">
        <v>2527</v>
      </c>
      <c r="M618" t="s">
        <v>35</v>
      </c>
      <c r="N618" s="6">
        <v>10</v>
      </c>
      <c r="O618" t="s">
        <v>36</v>
      </c>
      <c r="P618">
        <f t="shared" si="9"/>
        <v>37</v>
      </c>
    </row>
    <row r="619" spans="1:16" x14ac:dyDescent="0.2">
      <c r="A619" t="s">
        <v>2122</v>
      </c>
      <c r="B619" t="s">
        <v>114</v>
      </c>
      <c r="C619" t="s">
        <v>39</v>
      </c>
      <c r="D619" s="4">
        <v>20044</v>
      </c>
      <c r="E619" s="4">
        <v>45306</v>
      </c>
      <c r="F619" s="9">
        <v>45317</v>
      </c>
      <c r="G619" t="s">
        <v>83</v>
      </c>
      <c r="H619" t="s">
        <v>66</v>
      </c>
      <c r="I619" t="s">
        <v>67</v>
      </c>
      <c r="J619" s="7">
        <v>2621540</v>
      </c>
      <c r="K619" t="s">
        <v>48</v>
      </c>
      <c r="L619" t="s">
        <v>34</v>
      </c>
      <c r="M619" t="s">
        <v>35</v>
      </c>
      <c r="N619" s="6">
        <v>11</v>
      </c>
      <c r="O619" t="s">
        <v>2531</v>
      </c>
      <c r="P619">
        <f t="shared" si="9"/>
        <v>70</v>
      </c>
    </row>
    <row r="620" spans="1:16" x14ac:dyDescent="0.2">
      <c r="A620" t="s">
        <v>2123</v>
      </c>
      <c r="B620" t="s">
        <v>80</v>
      </c>
      <c r="C620" t="s">
        <v>28</v>
      </c>
      <c r="D620" s="4">
        <v>24983</v>
      </c>
      <c r="E620" s="4">
        <v>45435</v>
      </c>
      <c r="F620" s="9" t="s">
        <v>2536</v>
      </c>
      <c r="G620" t="s">
        <v>72</v>
      </c>
      <c r="H620" t="s">
        <v>2529</v>
      </c>
      <c r="I620" t="s">
        <v>41</v>
      </c>
      <c r="J620" s="7">
        <v>1456000</v>
      </c>
      <c r="K620" t="s">
        <v>48</v>
      </c>
      <c r="L620" t="s">
        <v>34</v>
      </c>
      <c r="M620" t="s">
        <v>78</v>
      </c>
      <c r="N620" s="6" t="s">
        <v>2525</v>
      </c>
      <c r="O620" t="s">
        <v>25</v>
      </c>
      <c r="P620">
        <f t="shared" si="9"/>
        <v>56</v>
      </c>
    </row>
    <row r="621" spans="1:16" x14ac:dyDescent="0.2">
      <c r="A621" t="s">
        <v>950</v>
      </c>
      <c r="B621" t="s">
        <v>64</v>
      </c>
      <c r="C621" t="s">
        <v>28</v>
      </c>
      <c r="D621" s="4">
        <v>38049</v>
      </c>
      <c r="E621" s="4">
        <v>45425</v>
      </c>
      <c r="F621" s="9">
        <v>45427</v>
      </c>
      <c r="G621" t="s">
        <v>88</v>
      </c>
      <c r="H621" t="s">
        <v>66</v>
      </c>
      <c r="I621" t="s">
        <v>2535</v>
      </c>
      <c r="J621" s="7">
        <v>3802176</v>
      </c>
      <c r="K621" t="s">
        <v>48</v>
      </c>
      <c r="L621" t="s">
        <v>34</v>
      </c>
      <c r="M621" t="s">
        <v>78</v>
      </c>
      <c r="N621" s="6">
        <v>2</v>
      </c>
      <c r="O621" t="s">
        <v>25</v>
      </c>
      <c r="P621">
        <f t="shared" si="9"/>
        <v>20</v>
      </c>
    </row>
    <row r="622" spans="1:16" x14ac:dyDescent="0.2">
      <c r="A622" t="s">
        <v>2124</v>
      </c>
      <c r="B622" t="s">
        <v>38</v>
      </c>
      <c r="C622" t="s">
        <v>39</v>
      </c>
      <c r="D622" s="4">
        <v>38342</v>
      </c>
      <c r="E622" s="4">
        <v>45460</v>
      </c>
      <c r="F622" s="9">
        <v>45471</v>
      </c>
      <c r="G622" t="s">
        <v>46</v>
      </c>
      <c r="H622" t="s">
        <v>30</v>
      </c>
      <c r="I622" t="s">
        <v>41</v>
      </c>
      <c r="J622" s="7">
        <v>5454312</v>
      </c>
      <c r="K622" t="s">
        <v>48</v>
      </c>
      <c r="L622" t="s">
        <v>23</v>
      </c>
      <c r="M622" t="s">
        <v>78</v>
      </c>
      <c r="N622" s="6">
        <v>11</v>
      </c>
      <c r="O622" t="s">
        <v>2531</v>
      </c>
      <c r="P622">
        <f t="shared" si="9"/>
        <v>20</v>
      </c>
    </row>
    <row r="623" spans="1:16" x14ac:dyDescent="0.2">
      <c r="A623" t="s">
        <v>953</v>
      </c>
      <c r="B623" t="s">
        <v>119</v>
      </c>
      <c r="C623" t="s">
        <v>28</v>
      </c>
      <c r="D623" s="4">
        <v>30300</v>
      </c>
      <c r="E623" s="4">
        <v>45392</v>
      </c>
      <c r="F623" s="9">
        <v>45394</v>
      </c>
      <c r="G623" t="s">
        <v>29</v>
      </c>
      <c r="H623" t="s">
        <v>19</v>
      </c>
      <c r="I623" t="s">
        <v>2533</v>
      </c>
      <c r="J623" s="7">
        <v>1520116</v>
      </c>
      <c r="K623" t="s">
        <v>48</v>
      </c>
      <c r="L623" t="s">
        <v>2527</v>
      </c>
      <c r="M623" t="s">
        <v>35</v>
      </c>
      <c r="N623" s="6">
        <v>2</v>
      </c>
      <c r="O623" t="s">
        <v>2531</v>
      </c>
      <c r="P623">
        <f t="shared" si="9"/>
        <v>42</v>
      </c>
    </row>
    <row r="624" spans="1:16" x14ac:dyDescent="0.2">
      <c r="A624" t="s">
        <v>2125</v>
      </c>
      <c r="B624" t="s">
        <v>80</v>
      </c>
      <c r="C624" t="s">
        <v>28</v>
      </c>
      <c r="D624" s="4">
        <v>39577</v>
      </c>
      <c r="E624" s="4">
        <v>45302</v>
      </c>
      <c r="F624" s="9">
        <v>45310</v>
      </c>
      <c r="G624" t="s">
        <v>60</v>
      </c>
      <c r="H624" t="s">
        <v>66</v>
      </c>
      <c r="I624" t="s">
        <v>67</v>
      </c>
      <c r="J624" s="7">
        <v>3138304</v>
      </c>
      <c r="K624" t="s">
        <v>48</v>
      </c>
      <c r="L624" t="s">
        <v>2527</v>
      </c>
      <c r="M624" t="s">
        <v>24</v>
      </c>
      <c r="N624" s="6">
        <v>8</v>
      </c>
      <c r="O624" t="s">
        <v>2531</v>
      </c>
      <c r="P624">
        <f t="shared" si="9"/>
        <v>16</v>
      </c>
    </row>
    <row r="625" spans="1:16" x14ac:dyDescent="0.2">
      <c r="A625" t="s">
        <v>956</v>
      </c>
      <c r="B625" t="s">
        <v>102</v>
      </c>
      <c r="C625" t="s">
        <v>28</v>
      </c>
      <c r="D625" s="4">
        <v>36717</v>
      </c>
      <c r="E625" s="4">
        <v>45409</v>
      </c>
      <c r="F625" s="9">
        <v>45422</v>
      </c>
      <c r="G625" t="s">
        <v>29</v>
      </c>
      <c r="H625" t="s">
        <v>19</v>
      </c>
      <c r="I625" t="s">
        <v>41</v>
      </c>
      <c r="J625" s="7">
        <v>5360012</v>
      </c>
      <c r="K625" t="s">
        <v>71</v>
      </c>
      <c r="L625" t="s">
        <v>2527</v>
      </c>
      <c r="M625" t="s">
        <v>24</v>
      </c>
      <c r="N625" s="6">
        <v>13</v>
      </c>
      <c r="O625" t="s">
        <v>2531</v>
      </c>
      <c r="P625">
        <f t="shared" si="9"/>
        <v>24</v>
      </c>
    </row>
    <row r="626" spans="1:16" x14ac:dyDescent="0.2">
      <c r="A626" t="s">
        <v>2126</v>
      </c>
      <c r="B626" t="s">
        <v>105</v>
      </c>
      <c r="C626" t="s">
        <v>92</v>
      </c>
      <c r="D626" s="4">
        <v>22504</v>
      </c>
      <c r="E626" s="4">
        <v>45442</v>
      </c>
      <c r="F626" s="9">
        <v>45456</v>
      </c>
      <c r="G626" t="s">
        <v>74</v>
      </c>
      <c r="H626" t="s">
        <v>2528</v>
      </c>
      <c r="I626" t="s">
        <v>67</v>
      </c>
      <c r="J626" s="7">
        <v>1603100</v>
      </c>
      <c r="K626" t="s">
        <v>48</v>
      </c>
      <c r="L626" t="s">
        <v>34</v>
      </c>
      <c r="M626" t="s">
        <v>78</v>
      </c>
      <c r="N626" s="6">
        <v>14</v>
      </c>
      <c r="O626" t="s">
        <v>36</v>
      </c>
      <c r="P626">
        <f t="shared" si="9"/>
        <v>63</v>
      </c>
    </row>
    <row r="627" spans="1:16" x14ac:dyDescent="0.2">
      <c r="A627" t="s">
        <v>959</v>
      </c>
      <c r="B627" t="s">
        <v>91</v>
      </c>
      <c r="C627" t="s">
        <v>92</v>
      </c>
      <c r="D627" s="4">
        <v>23965</v>
      </c>
      <c r="E627" s="4">
        <v>45399</v>
      </c>
      <c r="F627" s="9" t="s">
        <v>2536</v>
      </c>
      <c r="G627" t="s">
        <v>60</v>
      </c>
      <c r="H627" t="s">
        <v>66</v>
      </c>
      <c r="I627" t="s">
        <v>67</v>
      </c>
      <c r="J627" s="7">
        <v>939228</v>
      </c>
      <c r="K627" t="s">
        <v>48</v>
      </c>
      <c r="L627" t="s">
        <v>34</v>
      </c>
      <c r="M627" t="s">
        <v>35</v>
      </c>
      <c r="N627" s="6" t="s">
        <v>2525</v>
      </c>
      <c r="O627" t="s">
        <v>36</v>
      </c>
      <c r="P627">
        <f t="shared" si="9"/>
        <v>59</v>
      </c>
    </row>
    <row r="628" spans="1:16" x14ac:dyDescent="0.2">
      <c r="A628" t="s">
        <v>2127</v>
      </c>
      <c r="B628" t="s">
        <v>87</v>
      </c>
      <c r="C628" t="s">
        <v>28</v>
      </c>
      <c r="D628" s="4">
        <v>37065</v>
      </c>
      <c r="E628" s="4">
        <v>45342</v>
      </c>
      <c r="F628" s="9">
        <v>45353</v>
      </c>
      <c r="G628" t="s">
        <v>50</v>
      </c>
      <c r="H628" t="s">
        <v>2528</v>
      </c>
      <c r="I628" t="s">
        <v>2534</v>
      </c>
      <c r="J628" s="7">
        <v>1625732</v>
      </c>
      <c r="K628" t="s">
        <v>43</v>
      </c>
      <c r="L628" t="s">
        <v>23</v>
      </c>
      <c r="M628" t="s">
        <v>35</v>
      </c>
      <c r="N628" s="6">
        <v>11</v>
      </c>
      <c r="O628" t="s">
        <v>2531</v>
      </c>
      <c r="P628">
        <f t="shared" si="9"/>
        <v>23</v>
      </c>
    </row>
    <row r="629" spans="1:16" x14ac:dyDescent="0.2">
      <c r="A629" t="s">
        <v>960</v>
      </c>
      <c r="B629" t="s">
        <v>51</v>
      </c>
      <c r="C629" t="s">
        <v>92</v>
      </c>
      <c r="D629" s="4">
        <v>22869</v>
      </c>
      <c r="E629" s="4">
        <v>45384</v>
      </c>
      <c r="F629" s="9">
        <v>45398</v>
      </c>
      <c r="G629" t="s">
        <v>83</v>
      </c>
      <c r="H629" t="s">
        <v>66</v>
      </c>
      <c r="I629" t="s">
        <v>2534</v>
      </c>
      <c r="J629" s="7">
        <v>5337380</v>
      </c>
      <c r="K629" t="s">
        <v>48</v>
      </c>
      <c r="L629" t="s">
        <v>23</v>
      </c>
      <c r="M629" t="s">
        <v>24</v>
      </c>
      <c r="N629" s="6">
        <v>14</v>
      </c>
      <c r="O629" t="s">
        <v>36</v>
      </c>
      <c r="P629">
        <f t="shared" si="9"/>
        <v>62</v>
      </c>
    </row>
    <row r="630" spans="1:16" x14ac:dyDescent="0.2">
      <c r="A630" t="s">
        <v>2128</v>
      </c>
      <c r="B630" t="s">
        <v>85</v>
      </c>
      <c r="C630" t="s">
        <v>92</v>
      </c>
      <c r="D630" s="4">
        <v>22781</v>
      </c>
      <c r="E630" s="4">
        <v>45404</v>
      </c>
      <c r="F630" s="9">
        <v>45418</v>
      </c>
      <c r="G630" t="s">
        <v>18</v>
      </c>
      <c r="H630" t="s">
        <v>2529</v>
      </c>
      <c r="I630" t="s">
        <v>67</v>
      </c>
      <c r="J630" s="7">
        <v>4056500</v>
      </c>
      <c r="K630" t="s">
        <v>48</v>
      </c>
      <c r="L630" t="s">
        <v>34</v>
      </c>
      <c r="M630" t="s">
        <v>78</v>
      </c>
      <c r="N630" s="6">
        <v>14</v>
      </c>
      <c r="O630" t="s">
        <v>2531</v>
      </c>
      <c r="P630">
        <f t="shared" si="9"/>
        <v>62</v>
      </c>
    </row>
    <row r="631" spans="1:16" x14ac:dyDescent="0.2">
      <c r="A631" t="s">
        <v>2129</v>
      </c>
      <c r="B631" t="s">
        <v>59</v>
      </c>
      <c r="C631" t="s">
        <v>92</v>
      </c>
      <c r="D631" s="4">
        <v>25604</v>
      </c>
      <c r="E631" s="4">
        <v>45356</v>
      </c>
      <c r="F631" s="9">
        <v>45358</v>
      </c>
      <c r="G631" t="s">
        <v>60</v>
      </c>
      <c r="H631" t="s">
        <v>66</v>
      </c>
      <c r="I631" t="s">
        <v>2535</v>
      </c>
      <c r="J631" s="7">
        <v>4820616</v>
      </c>
      <c r="K631" t="s">
        <v>43</v>
      </c>
      <c r="L631" t="s">
        <v>2527</v>
      </c>
      <c r="M631" t="s">
        <v>78</v>
      </c>
      <c r="N631" s="6">
        <v>2</v>
      </c>
      <c r="O631" t="s">
        <v>2531</v>
      </c>
      <c r="P631">
        <f t="shared" si="9"/>
        <v>54</v>
      </c>
    </row>
    <row r="632" spans="1:16" x14ac:dyDescent="0.2">
      <c r="A632" t="s">
        <v>964</v>
      </c>
      <c r="B632" t="s">
        <v>119</v>
      </c>
      <c r="C632" t="s">
        <v>28</v>
      </c>
      <c r="D632" s="4">
        <v>26883</v>
      </c>
      <c r="E632" s="4">
        <v>45300</v>
      </c>
      <c r="F632" s="9">
        <v>45304</v>
      </c>
      <c r="G632" t="s">
        <v>88</v>
      </c>
      <c r="H632" t="s">
        <v>66</v>
      </c>
      <c r="I632" t="s">
        <v>67</v>
      </c>
      <c r="J632" s="7">
        <v>4270000</v>
      </c>
      <c r="K632" t="s">
        <v>48</v>
      </c>
      <c r="L632" t="s">
        <v>23</v>
      </c>
      <c r="M632" t="s">
        <v>78</v>
      </c>
      <c r="N632" s="6">
        <v>4</v>
      </c>
      <c r="O632" t="s">
        <v>2531</v>
      </c>
      <c r="P632">
        <f t="shared" si="9"/>
        <v>51</v>
      </c>
    </row>
    <row r="633" spans="1:16" x14ac:dyDescent="0.2">
      <c r="A633" t="s">
        <v>2130</v>
      </c>
      <c r="B633" t="s">
        <v>80</v>
      </c>
      <c r="C633" t="s">
        <v>92</v>
      </c>
      <c r="D633" s="4">
        <v>20582</v>
      </c>
      <c r="E633" s="4">
        <v>45445</v>
      </c>
      <c r="F633" s="9">
        <v>45453</v>
      </c>
      <c r="G633" t="s">
        <v>60</v>
      </c>
      <c r="H633" t="s">
        <v>66</v>
      </c>
      <c r="I633" t="s">
        <v>67</v>
      </c>
      <c r="J633" s="7">
        <v>1180636</v>
      </c>
      <c r="K633" t="s">
        <v>71</v>
      </c>
      <c r="L633" t="s">
        <v>23</v>
      </c>
      <c r="M633" t="s">
        <v>24</v>
      </c>
      <c r="N633" s="6">
        <v>8</v>
      </c>
      <c r="O633" t="s">
        <v>36</v>
      </c>
      <c r="P633">
        <f t="shared" si="9"/>
        <v>68</v>
      </c>
    </row>
    <row r="634" spans="1:16" x14ac:dyDescent="0.2">
      <c r="A634" t="s">
        <v>968</v>
      </c>
      <c r="B634" t="s">
        <v>64</v>
      </c>
      <c r="C634" t="s">
        <v>92</v>
      </c>
      <c r="D634" s="4">
        <v>19127</v>
      </c>
      <c r="E634" s="4">
        <v>45428</v>
      </c>
      <c r="F634" s="9">
        <v>45440</v>
      </c>
      <c r="G634" t="s">
        <v>40</v>
      </c>
      <c r="H634" t="s">
        <v>75</v>
      </c>
      <c r="I634" t="s">
        <v>67</v>
      </c>
      <c r="J634" s="7">
        <v>3364624</v>
      </c>
      <c r="K634" t="s">
        <v>48</v>
      </c>
      <c r="L634" t="s">
        <v>2527</v>
      </c>
      <c r="M634" t="s">
        <v>24</v>
      </c>
      <c r="N634" s="6">
        <v>12</v>
      </c>
      <c r="O634" t="s">
        <v>25</v>
      </c>
      <c r="P634">
        <f t="shared" si="9"/>
        <v>72</v>
      </c>
    </row>
    <row r="635" spans="1:16" x14ac:dyDescent="0.2">
      <c r="A635" t="s">
        <v>2131</v>
      </c>
      <c r="B635" t="s">
        <v>16</v>
      </c>
      <c r="C635" t="s">
        <v>92</v>
      </c>
      <c r="D635" s="4">
        <v>30313</v>
      </c>
      <c r="E635" s="4">
        <v>45341</v>
      </c>
      <c r="F635" s="9">
        <v>45342</v>
      </c>
      <c r="G635" t="s">
        <v>50</v>
      </c>
      <c r="H635" t="s">
        <v>2528</v>
      </c>
      <c r="I635" t="s">
        <v>2535</v>
      </c>
      <c r="J635" s="7">
        <v>452640</v>
      </c>
      <c r="K635" t="s">
        <v>71</v>
      </c>
      <c r="L635" t="s">
        <v>34</v>
      </c>
      <c r="M635" t="s">
        <v>35</v>
      </c>
      <c r="N635" s="6">
        <v>1</v>
      </c>
      <c r="O635" t="s">
        <v>25</v>
      </c>
      <c r="P635">
        <f t="shared" si="9"/>
        <v>42</v>
      </c>
    </row>
    <row r="636" spans="1:16" x14ac:dyDescent="0.2">
      <c r="A636" t="s">
        <v>970</v>
      </c>
      <c r="B636" t="s">
        <v>80</v>
      </c>
      <c r="C636" t="s">
        <v>28</v>
      </c>
      <c r="D636" s="4">
        <v>32634</v>
      </c>
      <c r="E636" s="4">
        <v>45364</v>
      </c>
      <c r="F636" s="9">
        <v>45374</v>
      </c>
      <c r="G636" t="s">
        <v>60</v>
      </c>
      <c r="H636" t="s">
        <v>66</v>
      </c>
      <c r="I636" t="s">
        <v>2535</v>
      </c>
      <c r="J636" s="7">
        <v>3447608</v>
      </c>
      <c r="K636" t="s">
        <v>48</v>
      </c>
      <c r="L636" t="s">
        <v>34</v>
      </c>
      <c r="M636" t="s">
        <v>35</v>
      </c>
      <c r="N636" s="6">
        <v>10</v>
      </c>
      <c r="O636" t="s">
        <v>2531</v>
      </c>
      <c r="P636">
        <f t="shared" si="9"/>
        <v>35</v>
      </c>
    </row>
    <row r="637" spans="1:16" x14ac:dyDescent="0.2">
      <c r="A637" t="s">
        <v>971</v>
      </c>
      <c r="B637" t="s">
        <v>56</v>
      </c>
      <c r="C637" t="s">
        <v>28</v>
      </c>
      <c r="D637" s="4">
        <v>29960</v>
      </c>
      <c r="E637" s="4">
        <v>45405</v>
      </c>
      <c r="F637" s="9">
        <v>45418</v>
      </c>
      <c r="G637" t="s">
        <v>72</v>
      </c>
      <c r="H637" t="s">
        <v>2529</v>
      </c>
      <c r="I637" t="s">
        <v>2535</v>
      </c>
      <c r="J637" s="7">
        <v>2264500</v>
      </c>
      <c r="K637" t="s">
        <v>43</v>
      </c>
      <c r="L637" t="s">
        <v>34</v>
      </c>
      <c r="M637" t="s">
        <v>35</v>
      </c>
      <c r="N637" s="6">
        <v>13</v>
      </c>
      <c r="O637" t="s">
        <v>2531</v>
      </c>
      <c r="P637">
        <f t="shared" si="9"/>
        <v>42</v>
      </c>
    </row>
    <row r="638" spans="1:16" x14ac:dyDescent="0.2">
      <c r="A638" t="s">
        <v>2132</v>
      </c>
      <c r="B638" t="s">
        <v>56</v>
      </c>
      <c r="C638" t="s">
        <v>92</v>
      </c>
      <c r="D638" s="4">
        <v>20834</v>
      </c>
      <c r="E638" s="4">
        <v>45327</v>
      </c>
      <c r="F638" s="9">
        <v>45336</v>
      </c>
      <c r="G638" t="s">
        <v>74</v>
      </c>
      <c r="H638" t="s">
        <v>2528</v>
      </c>
      <c r="I638" t="s">
        <v>2534</v>
      </c>
      <c r="J638" s="7">
        <v>1471080</v>
      </c>
      <c r="K638" t="s">
        <v>48</v>
      </c>
      <c r="L638" t="s">
        <v>2527</v>
      </c>
      <c r="M638" t="s">
        <v>24</v>
      </c>
      <c r="N638" s="6">
        <v>9</v>
      </c>
      <c r="O638" t="s">
        <v>25</v>
      </c>
      <c r="P638">
        <f t="shared" si="9"/>
        <v>67</v>
      </c>
    </row>
    <row r="639" spans="1:16" x14ac:dyDescent="0.2">
      <c r="A639" t="s">
        <v>2133</v>
      </c>
      <c r="B639" t="s">
        <v>80</v>
      </c>
      <c r="C639" t="s">
        <v>92</v>
      </c>
      <c r="D639" s="4">
        <v>27372</v>
      </c>
      <c r="E639" s="4">
        <v>45368</v>
      </c>
      <c r="F639" s="9" t="s">
        <v>2536</v>
      </c>
      <c r="G639" t="s">
        <v>18</v>
      </c>
      <c r="H639" t="s">
        <v>2529</v>
      </c>
      <c r="I639" t="s">
        <v>2533</v>
      </c>
      <c r="J639" s="7">
        <v>520536</v>
      </c>
      <c r="K639" t="s">
        <v>71</v>
      </c>
      <c r="L639" t="s">
        <v>2527</v>
      </c>
      <c r="M639" t="s">
        <v>35</v>
      </c>
      <c r="N639" s="6" t="s">
        <v>2525</v>
      </c>
      <c r="O639" t="s">
        <v>36</v>
      </c>
      <c r="P639">
        <f t="shared" si="9"/>
        <v>50</v>
      </c>
    </row>
    <row r="640" spans="1:16" x14ac:dyDescent="0.2">
      <c r="A640" t="s">
        <v>975</v>
      </c>
      <c r="B640" t="s">
        <v>82</v>
      </c>
      <c r="C640" t="s">
        <v>92</v>
      </c>
      <c r="D640" s="4">
        <v>19976</v>
      </c>
      <c r="E640" s="4">
        <v>45300</v>
      </c>
      <c r="F640" s="9">
        <v>45315</v>
      </c>
      <c r="G640" t="s">
        <v>60</v>
      </c>
      <c r="H640" t="s">
        <v>66</v>
      </c>
      <c r="I640" t="s">
        <v>41</v>
      </c>
      <c r="J640" s="7">
        <v>4941320</v>
      </c>
      <c r="K640" t="s">
        <v>48</v>
      </c>
      <c r="L640" t="s">
        <v>2527</v>
      </c>
      <c r="M640" t="s">
        <v>24</v>
      </c>
      <c r="N640" s="6">
        <v>15</v>
      </c>
      <c r="O640" t="s">
        <v>36</v>
      </c>
      <c r="P640">
        <f t="shared" si="9"/>
        <v>70</v>
      </c>
    </row>
    <row r="641" spans="1:16" x14ac:dyDescent="0.2">
      <c r="A641" t="s">
        <v>2134</v>
      </c>
      <c r="B641" t="s">
        <v>80</v>
      </c>
      <c r="C641" t="s">
        <v>39</v>
      </c>
      <c r="D641" s="4">
        <v>21842</v>
      </c>
      <c r="E641" s="4">
        <v>45465</v>
      </c>
      <c r="F641" s="9">
        <v>45474</v>
      </c>
      <c r="G641" t="s">
        <v>29</v>
      </c>
      <c r="H641" t="s">
        <v>19</v>
      </c>
      <c r="I641" t="s">
        <v>2534</v>
      </c>
      <c r="J641" s="7">
        <v>4420500</v>
      </c>
      <c r="K641" t="s">
        <v>48</v>
      </c>
      <c r="L641" t="s">
        <v>2527</v>
      </c>
      <c r="M641" t="s">
        <v>78</v>
      </c>
      <c r="N641" s="6">
        <v>9</v>
      </c>
      <c r="O641" t="s">
        <v>25</v>
      </c>
      <c r="P641">
        <f t="shared" si="9"/>
        <v>65</v>
      </c>
    </row>
    <row r="642" spans="1:16" x14ac:dyDescent="0.2">
      <c r="A642" t="s">
        <v>979</v>
      </c>
      <c r="B642" t="s">
        <v>64</v>
      </c>
      <c r="C642" t="s">
        <v>92</v>
      </c>
      <c r="D642" s="4">
        <v>27255</v>
      </c>
      <c r="E642" s="4">
        <v>45355</v>
      </c>
      <c r="F642" s="9">
        <v>45362</v>
      </c>
      <c r="G642" t="s">
        <v>18</v>
      </c>
      <c r="H642" t="s">
        <v>2529</v>
      </c>
      <c r="I642" t="s">
        <v>2533</v>
      </c>
      <c r="J642" s="7">
        <v>2275000</v>
      </c>
      <c r="K642" t="s">
        <v>43</v>
      </c>
      <c r="L642" t="s">
        <v>34</v>
      </c>
      <c r="M642" t="s">
        <v>35</v>
      </c>
      <c r="N642" s="6">
        <v>7</v>
      </c>
      <c r="O642" t="s">
        <v>36</v>
      </c>
      <c r="P642">
        <f t="shared" si="9"/>
        <v>50</v>
      </c>
    </row>
    <row r="643" spans="1:16" x14ac:dyDescent="0.2">
      <c r="A643" t="s">
        <v>2135</v>
      </c>
      <c r="B643" t="s">
        <v>140</v>
      </c>
      <c r="C643" t="s">
        <v>28</v>
      </c>
      <c r="D643" s="4">
        <v>33426</v>
      </c>
      <c r="E643" s="4">
        <v>45404</v>
      </c>
      <c r="F643" s="9">
        <v>45410</v>
      </c>
      <c r="G643" t="s">
        <v>72</v>
      </c>
      <c r="H643" t="s">
        <v>2529</v>
      </c>
      <c r="I643" t="s">
        <v>2535</v>
      </c>
      <c r="J643" s="7">
        <v>2059512</v>
      </c>
      <c r="K643" t="s">
        <v>48</v>
      </c>
      <c r="L643" t="s">
        <v>34</v>
      </c>
      <c r="M643" t="s">
        <v>78</v>
      </c>
      <c r="N643" s="6">
        <v>6</v>
      </c>
      <c r="O643" t="s">
        <v>36</v>
      </c>
      <c r="P643">
        <f t="shared" ref="P643:P706" si="10">YEAR(E643)-YEAR(D643)</f>
        <v>33</v>
      </c>
    </row>
    <row r="644" spans="1:16" x14ac:dyDescent="0.2">
      <c r="A644" t="s">
        <v>981</v>
      </c>
      <c r="B644" t="s">
        <v>114</v>
      </c>
      <c r="C644" t="s">
        <v>28</v>
      </c>
      <c r="D644" s="4">
        <v>26718</v>
      </c>
      <c r="E644" s="4">
        <v>45358</v>
      </c>
      <c r="F644" s="9" t="s">
        <v>2536</v>
      </c>
      <c r="G644" t="s">
        <v>72</v>
      </c>
      <c r="H644" t="s">
        <v>2529</v>
      </c>
      <c r="I644" t="s">
        <v>67</v>
      </c>
      <c r="J644" s="7">
        <v>5148780</v>
      </c>
      <c r="K644" t="s">
        <v>48</v>
      </c>
      <c r="L644" t="s">
        <v>34</v>
      </c>
      <c r="M644" t="s">
        <v>24</v>
      </c>
      <c r="N644" s="6" t="s">
        <v>2525</v>
      </c>
      <c r="O644" t="s">
        <v>2531</v>
      </c>
      <c r="P644">
        <f t="shared" si="10"/>
        <v>51</v>
      </c>
    </row>
    <row r="645" spans="1:16" x14ac:dyDescent="0.2">
      <c r="A645" t="s">
        <v>2136</v>
      </c>
      <c r="B645" t="s">
        <v>114</v>
      </c>
      <c r="C645" t="s">
        <v>92</v>
      </c>
      <c r="D645" s="4">
        <v>28662</v>
      </c>
      <c r="E645" s="4">
        <v>45433</v>
      </c>
      <c r="F645" s="9" t="s">
        <v>2536</v>
      </c>
      <c r="G645" t="s">
        <v>60</v>
      </c>
      <c r="H645" t="s">
        <v>66</v>
      </c>
      <c r="I645" t="s">
        <v>67</v>
      </c>
      <c r="J645" s="7">
        <v>5211500</v>
      </c>
      <c r="K645" t="s">
        <v>43</v>
      </c>
      <c r="L645" t="s">
        <v>34</v>
      </c>
      <c r="M645" t="s">
        <v>24</v>
      </c>
      <c r="N645" s="6" t="s">
        <v>2525</v>
      </c>
      <c r="O645" t="s">
        <v>25</v>
      </c>
      <c r="P645">
        <f t="shared" si="10"/>
        <v>46</v>
      </c>
    </row>
    <row r="646" spans="1:16" x14ac:dyDescent="0.2">
      <c r="A646" t="s">
        <v>985</v>
      </c>
      <c r="B646" t="s">
        <v>105</v>
      </c>
      <c r="C646" t="s">
        <v>28</v>
      </c>
      <c r="D646" s="4">
        <v>21972</v>
      </c>
      <c r="E646" s="4">
        <v>45352</v>
      </c>
      <c r="F646" s="9">
        <v>45358</v>
      </c>
      <c r="G646" t="s">
        <v>74</v>
      </c>
      <c r="H646" t="s">
        <v>2528</v>
      </c>
      <c r="I646" t="s">
        <v>2533</v>
      </c>
      <c r="J646" s="7">
        <v>2561188</v>
      </c>
      <c r="K646" t="s">
        <v>48</v>
      </c>
      <c r="L646" t="s">
        <v>2527</v>
      </c>
      <c r="M646" t="s">
        <v>24</v>
      </c>
      <c r="N646" s="6">
        <v>6</v>
      </c>
      <c r="O646" t="s">
        <v>36</v>
      </c>
      <c r="P646">
        <f t="shared" si="10"/>
        <v>64</v>
      </c>
    </row>
    <row r="647" spans="1:16" x14ac:dyDescent="0.2">
      <c r="A647" t="s">
        <v>2137</v>
      </c>
      <c r="B647" t="s">
        <v>102</v>
      </c>
      <c r="C647" t="s">
        <v>28</v>
      </c>
      <c r="D647" s="4">
        <v>27899</v>
      </c>
      <c r="E647" s="4">
        <v>45333</v>
      </c>
      <c r="F647" s="9" t="s">
        <v>2536</v>
      </c>
      <c r="G647" t="s">
        <v>46</v>
      </c>
      <c r="H647" t="s">
        <v>30</v>
      </c>
      <c r="I647" t="s">
        <v>67</v>
      </c>
      <c r="J647" s="7">
        <v>1195724</v>
      </c>
      <c r="K647" t="s">
        <v>48</v>
      </c>
      <c r="L647" t="s">
        <v>2527</v>
      </c>
      <c r="M647" t="s">
        <v>35</v>
      </c>
      <c r="N647" s="6" t="s">
        <v>2525</v>
      </c>
      <c r="O647" t="s">
        <v>25</v>
      </c>
      <c r="P647">
        <f t="shared" si="10"/>
        <v>48</v>
      </c>
    </row>
    <row r="648" spans="1:16" x14ac:dyDescent="0.2">
      <c r="A648" t="s">
        <v>2138</v>
      </c>
      <c r="B648" t="s">
        <v>87</v>
      </c>
      <c r="C648" t="s">
        <v>28</v>
      </c>
      <c r="D648" s="4">
        <v>39537</v>
      </c>
      <c r="E648" s="4">
        <v>45311</v>
      </c>
      <c r="F648" s="9">
        <v>45321</v>
      </c>
      <c r="G648" t="s">
        <v>40</v>
      </c>
      <c r="H648" t="s">
        <v>75</v>
      </c>
      <c r="I648" t="s">
        <v>67</v>
      </c>
      <c r="J648" s="7">
        <v>4450960</v>
      </c>
      <c r="K648" t="s">
        <v>43</v>
      </c>
      <c r="L648" t="s">
        <v>2527</v>
      </c>
      <c r="M648" t="s">
        <v>24</v>
      </c>
      <c r="N648" s="6">
        <v>10</v>
      </c>
      <c r="O648" t="s">
        <v>36</v>
      </c>
      <c r="P648">
        <f t="shared" si="10"/>
        <v>16</v>
      </c>
    </row>
    <row r="649" spans="1:16" x14ac:dyDescent="0.2">
      <c r="A649" t="s">
        <v>2139</v>
      </c>
      <c r="B649" t="s">
        <v>51</v>
      </c>
      <c r="C649" t="s">
        <v>39</v>
      </c>
      <c r="D649" s="4">
        <v>37113</v>
      </c>
      <c r="E649" s="4">
        <v>45354</v>
      </c>
      <c r="F649" s="9">
        <v>45367</v>
      </c>
      <c r="G649" t="s">
        <v>50</v>
      </c>
      <c r="H649" t="s">
        <v>2528</v>
      </c>
      <c r="I649" t="s">
        <v>2533</v>
      </c>
      <c r="J649" s="7">
        <v>1267392</v>
      </c>
      <c r="K649" t="s">
        <v>71</v>
      </c>
      <c r="L649" t="s">
        <v>2527</v>
      </c>
      <c r="M649" t="s">
        <v>78</v>
      </c>
      <c r="N649" s="6">
        <v>13</v>
      </c>
      <c r="O649" t="s">
        <v>2531</v>
      </c>
      <c r="P649">
        <f t="shared" si="10"/>
        <v>23</v>
      </c>
    </row>
    <row r="650" spans="1:16" x14ac:dyDescent="0.2">
      <c r="A650" t="s">
        <v>2140</v>
      </c>
      <c r="B650" t="s">
        <v>150</v>
      </c>
      <c r="C650" t="s">
        <v>92</v>
      </c>
      <c r="D650" s="4">
        <v>39672</v>
      </c>
      <c r="E650" s="4">
        <v>45446</v>
      </c>
      <c r="F650" s="9">
        <v>45453</v>
      </c>
      <c r="G650" t="s">
        <v>18</v>
      </c>
      <c r="H650" t="s">
        <v>2529</v>
      </c>
      <c r="I650" t="s">
        <v>41</v>
      </c>
      <c r="J650" s="7">
        <v>1342832</v>
      </c>
      <c r="K650" t="s">
        <v>71</v>
      </c>
      <c r="L650" t="s">
        <v>23</v>
      </c>
      <c r="M650" t="s">
        <v>24</v>
      </c>
      <c r="N650" s="6">
        <v>7</v>
      </c>
      <c r="O650" t="s">
        <v>36</v>
      </c>
      <c r="P650">
        <f t="shared" si="10"/>
        <v>16</v>
      </c>
    </row>
    <row r="651" spans="1:16" x14ac:dyDescent="0.2">
      <c r="A651" t="s">
        <v>2141</v>
      </c>
      <c r="B651" t="s">
        <v>59</v>
      </c>
      <c r="C651" t="s">
        <v>92</v>
      </c>
      <c r="D651" s="4">
        <v>20934</v>
      </c>
      <c r="E651" s="4">
        <v>45399</v>
      </c>
      <c r="F651" s="9">
        <v>45410</v>
      </c>
      <c r="G651" t="s">
        <v>46</v>
      </c>
      <c r="H651" t="s">
        <v>30</v>
      </c>
      <c r="I651" t="s">
        <v>67</v>
      </c>
      <c r="J651" s="7">
        <v>1663452</v>
      </c>
      <c r="K651" t="s">
        <v>71</v>
      </c>
      <c r="L651" t="s">
        <v>2527</v>
      </c>
      <c r="M651" t="s">
        <v>24</v>
      </c>
      <c r="N651" s="6">
        <v>11</v>
      </c>
      <c r="O651" t="s">
        <v>2531</v>
      </c>
      <c r="P651">
        <f t="shared" si="10"/>
        <v>67</v>
      </c>
    </row>
    <row r="652" spans="1:16" x14ac:dyDescent="0.2">
      <c r="A652" t="s">
        <v>993</v>
      </c>
      <c r="B652" t="s">
        <v>87</v>
      </c>
      <c r="C652" t="s">
        <v>39</v>
      </c>
      <c r="D652" s="4">
        <v>19380</v>
      </c>
      <c r="E652" s="4">
        <v>45298</v>
      </c>
      <c r="F652" s="9">
        <v>45301</v>
      </c>
      <c r="G652" t="s">
        <v>29</v>
      </c>
      <c r="H652" t="s">
        <v>19</v>
      </c>
      <c r="I652" t="s">
        <v>67</v>
      </c>
      <c r="J652" s="7">
        <v>3481556</v>
      </c>
      <c r="K652" t="s">
        <v>48</v>
      </c>
      <c r="L652" t="s">
        <v>34</v>
      </c>
      <c r="M652" t="s">
        <v>78</v>
      </c>
      <c r="N652" s="6">
        <v>3</v>
      </c>
      <c r="O652" t="s">
        <v>36</v>
      </c>
      <c r="P652">
        <f t="shared" si="10"/>
        <v>71</v>
      </c>
    </row>
    <row r="653" spans="1:16" x14ac:dyDescent="0.2">
      <c r="A653" t="s">
        <v>2142</v>
      </c>
      <c r="B653" t="s">
        <v>85</v>
      </c>
      <c r="C653" t="s">
        <v>92</v>
      </c>
      <c r="D653" s="4">
        <v>21795</v>
      </c>
      <c r="E653" s="4">
        <v>45310</v>
      </c>
      <c r="F653" s="9">
        <v>45325</v>
      </c>
      <c r="G653" t="s">
        <v>72</v>
      </c>
      <c r="H653" t="s">
        <v>2529</v>
      </c>
      <c r="I653" t="s">
        <v>2534</v>
      </c>
      <c r="J653" s="7">
        <v>3472000</v>
      </c>
      <c r="K653" t="s">
        <v>71</v>
      </c>
      <c r="L653" t="s">
        <v>23</v>
      </c>
      <c r="M653" t="s">
        <v>24</v>
      </c>
      <c r="N653" s="6">
        <v>15</v>
      </c>
      <c r="O653" t="s">
        <v>2531</v>
      </c>
      <c r="P653">
        <f t="shared" si="10"/>
        <v>65</v>
      </c>
    </row>
    <row r="654" spans="1:16" x14ac:dyDescent="0.2">
      <c r="A654" t="s">
        <v>2143</v>
      </c>
      <c r="B654" t="s">
        <v>150</v>
      </c>
      <c r="C654" t="s">
        <v>28</v>
      </c>
      <c r="D654" s="4">
        <v>18519</v>
      </c>
      <c r="E654" s="4">
        <v>45464</v>
      </c>
      <c r="F654" s="9">
        <v>45472</v>
      </c>
      <c r="G654" t="s">
        <v>40</v>
      </c>
      <c r="H654" t="s">
        <v>75</v>
      </c>
      <c r="I654" t="s">
        <v>2535</v>
      </c>
      <c r="J654" s="7">
        <v>2534784</v>
      </c>
      <c r="K654" t="s">
        <v>48</v>
      </c>
      <c r="L654" t="s">
        <v>2527</v>
      </c>
      <c r="M654" t="s">
        <v>78</v>
      </c>
      <c r="N654" s="6">
        <v>8</v>
      </c>
      <c r="O654" t="s">
        <v>2531</v>
      </c>
      <c r="P654">
        <f t="shared" si="10"/>
        <v>74</v>
      </c>
    </row>
    <row r="655" spans="1:16" x14ac:dyDescent="0.2">
      <c r="A655" t="s">
        <v>2144</v>
      </c>
      <c r="B655" t="s">
        <v>119</v>
      </c>
      <c r="C655" t="s">
        <v>92</v>
      </c>
      <c r="D655" s="4">
        <v>32245</v>
      </c>
      <c r="E655" s="4">
        <v>45374</v>
      </c>
      <c r="F655" s="9">
        <v>45377</v>
      </c>
      <c r="G655" t="s">
        <v>88</v>
      </c>
      <c r="H655" t="s">
        <v>66</v>
      </c>
      <c r="I655" t="s">
        <v>2534</v>
      </c>
      <c r="J655" s="7">
        <v>2002932</v>
      </c>
      <c r="K655" t="s">
        <v>43</v>
      </c>
      <c r="L655" t="s">
        <v>2527</v>
      </c>
      <c r="M655" t="s">
        <v>24</v>
      </c>
      <c r="N655" s="6">
        <v>3</v>
      </c>
      <c r="O655" t="s">
        <v>25</v>
      </c>
      <c r="P655">
        <f t="shared" si="10"/>
        <v>36</v>
      </c>
    </row>
    <row r="656" spans="1:16" x14ac:dyDescent="0.2">
      <c r="A656" t="s">
        <v>2145</v>
      </c>
      <c r="B656" t="s">
        <v>45</v>
      </c>
      <c r="C656" t="s">
        <v>28</v>
      </c>
      <c r="D656" s="4">
        <v>22148</v>
      </c>
      <c r="E656" s="4">
        <v>45362</v>
      </c>
      <c r="F656" s="9">
        <v>45377</v>
      </c>
      <c r="G656" t="s">
        <v>60</v>
      </c>
      <c r="H656" t="s">
        <v>66</v>
      </c>
      <c r="I656" t="s">
        <v>2535</v>
      </c>
      <c r="J656" s="7">
        <v>1195724</v>
      </c>
      <c r="K656" t="s">
        <v>48</v>
      </c>
      <c r="L656" t="s">
        <v>23</v>
      </c>
      <c r="M656" t="s">
        <v>35</v>
      </c>
      <c r="N656" s="6">
        <v>15</v>
      </c>
      <c r="O656" t="s">
        <v>2531</v>
      </c>
      <c r="P656">
        <f t="shared" si="10"/>
        <v>64</v>
      </c>
    </row>
    <row r="657" spans="1:16" x14ac:dyDescent="0.2">
      <c r="A657" t="s">
        <v>1000</v>
      </c>
      <c r="B657" t="s">
        <v>64</v>
      </c>
      <c r="C657" t="s">
        <v>92</v>
      </c>
      <c r="D657" s="4">
        <v>19566</v>
      </c>
      <c r="E657" s="4">
        <v>45293</v>
      </c>
      <c r="F657" s="9">
        <v>45294</v>
      </c>
      <c r="G657" t="s">
        <v>50</v>
      </c>
      <c r="H657" t="s">
        <v>2528</v>
      </c>
      <c r="I657" t="s">
        <v>2535</v>
      </c>
      <c r="J657" s="7">
        <v>3670156</v>
      </c>
      <c r="K657" t="s">
        <v>43</v>
      </c>
      <c r="L657" t="s">
        <v>23</v>
      </c>
      <c r="M657" t="s">
        <v>78</v>
      </c>
      <c r="N657" s="6">
        <v>1</v>
      </c>
      <c r="O657" t="s">
        <v>25</v>
      </c>
      <c r="P657">
        <f t="shared" si="10"/>
        <v>71</v>
      </c>
    </row>
    <row r="658" spans="1:16" x14ac:dyDescent="0.2">
      <c r="A658" t="s">
        <v>2146</v>
      </c>
      <c r="B658" t="s">
        <v>16</v>
      </c>
      <c r="C658" t="s">
        <v>28</v>
      </c>
      <c r="D658" s="4">
        <v>32428</v>
      </c>
      <c r="E658" s="4">
        <v>45359</v>
      </c>
      <c r="F658" s="9">
        <v>45364</v>
      </c>
      <c r="G658" t="s">
        <v>83</v>
      </c>
      <c r="H658" t="s">
        <v>66</v>
      </c>
      <c r="I658" t="s">
        <v>67</v>
      </c>
      <c r="J658" s="7">
        <v>2093460</v>
      </c>
      <c r="K658" t="s">
        <v>48</v>
      </c>
      <c r="L658" t="s">
        <v>23</v>
      </c>
      <c r="M658" t="s">
        <v>24</v>
      </c>
      <c r="N658" s="6">
        <v>5</v>
      </c>
      <c r="O658" t="s">
        <v>2531</v>
      </c>
      <c r="P658">
        <f t="shared" si="10"/>
        <v>36</v>
      </c>
    </row>
    <row r="659" spans="1:16" x14ac:dyDescent="0.2">
      <c r="A659" t="s">
        <v>2147</v>
      </c>
      <c r="B659" t="s">
        <v>105</v>
      </c>
      <c r="C659" t="s">
        <v>28</v>
      </c>
      <c r="D659" s="4">
        <v>20691</v>
      </c>
      <c r="E659" s="4">
        <v>45301</v>
      </c>
      <c r="F659" s="9" t="s">
        <v>2536</v>
      </c>
      <c r="G659" t="s">
        <v>40</v>
      </c>
      <c r="H659" t="s">
        <v>75</v>
      </c>
      <c r="I659" t="s">
        <v>67</v>
      </c>
      <c r="J659" s="7">
        <v>4688596</v>
      </c>
      <c r="K659" t="s">
        <v>48</v>
      </c>
      <c r="L659" t="s">
        <v>23</v>
      </c>
      <c r="M659" t="s">
        <v>35</v>
      </c>
      <c r="N659" s="6" t="s">
        <v>2525</v>
      </c>
      <c r="O659" t="s">
        <v>25</v>
      </c>
      <c r="P659">
        <f t="shared" si="10"/>
        <v>68</v>
      </c>
    </row>
    <row r="660" spans="1:16" x14ac:dyDescent="0.2">
      <c r="A660" t="s">
        <v>2148</v>
      </c>
      <c r="B660" t="s">
        <v>51</v>
      </c>
      <c r="C660" t="s">
        <v>92</v>
      </c>
      <c r="D660" s="4">
        <v>33668</v>
      </c>
      <c r="E660" s="4">
        <v>45416</v>
      </c>
      <c r="F660" s="9">
        <v>45421</v>
      </c>
      <c r="G660" t="s">
        <v>50</v>
      </c>
      <c r="H660" t="s">
        <v>2528</v>
      </c>
      <c r="I660" t="s">
        <v>67</v>
      </c>
      <c r="J660" s="7">
        <v>4364204</v>
      </c>
      <c r="K660" t="s">
        <v>48</v>
      </c>
      <c r="L660" t="s">
        <v>2527</v>
      </c>
      <c r="M660" t="s">
        <v>35</v>
      </c>
      <c r="N660" s="6">
        <v>5</v>
      </c>
      <c r="O660" t="s">
        <v>25</v>
      </c>
      <c r="P660">
        <f t="shared" si="10"/>
        <v>32</v>
      </c>
    </row>
    <row r="661" spans="1:16" x14ac:dyDescent="0.2">
      <c r="A661" t="s">
        <v>2149</v>
      </c>
      <c r="B661" t="s">
        <v>140</v>
      </c>
      <c r="C661" t="s">
        <v>92</v>
      </c>
      <c r="D661" s="4">
        <v>31966</v>
      </c>
      <c r="E661" s="4">
        <v>45449</v>
      </c>
      <c r="F661" s="9">
        <v>45453</v>
      </c>
      <c r="G661" t="s">
        <v>100</v>
      </c>
      <c r="H661" t="s">
        <v>61</v>
      </c>
      <c r="I661" t="s">
        <v>2534</v>
      </c>
      <c r="J661" s="7">
        <v>1638000</v>
      </c>
      <c r="K661" t="s">
        <v>48</v>
      </c>
      <c r="L661" t="s">
        <v>2527</v>
      </c>
      <c r="M661" t="s">
        <v>24</v>
      </c>
      <c r="N661" s="6">
        <v>4</v>
      </c>
      <c r="O661" t="s">
        <v>2531</v>
      </c>
      <c r="P661">
        <f t="shared" si="10"/>
        <v>37</v>
      </c>
    </row>
    <row r="662" spans="1:16" x14ac:dyDescent="0.2">
      <c r="A662" t="s">
        <v>2150</v>
      </c>
      <c r="B662" t="s">
        <v>85</v>
      </c>
      <c r="C662" t="s">
        <v>92</v>
      </c>
      <c r="D662" s="4">
        <v>36070</v>
      </c>
      <c r="E662" s="4">
        <v>45367</v>
      </c>
      <c r="F662" s="9">
        <v>45382</v>
      </c>
      <c r="G662" t="s">
        <v>29</v>
      </c>
      <c r="H662" t="s">
        <v>19</v>
      </c>
      <c r="I662" t="s">
        <v>2533</v>
      </c>
      <c r="J662" s="7">
        <v>2285832</v>
      </c>
      <c r="K662" t="s">
        <v>48</v>
      </c>
      <c r="L662" t="s">
        <v>23</v>
      </c>
      <c r="M662" t="s">
        <v>78</v>
      </c>
      <c r="N662" s="6">
        <v>15</v>
      </c>
      <c r="O662" t="s">
        <v>25</v>
      </c>
      <c r="P662">
        <f t="shared" si="10"/>
        <v>26</v>
      </c>
    </row>
    <row r="663" spans="1:16" x14ac:dyDescent="0.2">
      <c r="A663" t="s">
        <v>2151</v>
      </c>
      <c r="B663" t="s">
        <v>118</v>
      </c>
      <c r="C663" t="s">
        <v>28</v>
      </c>
      <c r="D663" s="4">
        <v>22460</v>
      </c>
      <c r="E663" s="4">
        <v>45417</v>
      </c>
      <c r="F663" s="9">
        <v>45418</v>
      </c>
      <c r="G663" t="s">
        <v>60</v>
      </c>
      <c r="H663" t="s">
        <v>66</v>
      </c>
      <c r="I663" t="s">
        <v>67</v>
      </c>
      <c r="J663" s="7">
        <v>3534364</v>
      </c>
      <c r="K663" t="s">
        <v>43</v>
      </c>
      <c r="L663" t="s">
        <v>2527</v>
      </c>
      <c r="M663" t="s">
        <v>78</v>
      </c>
      <c r="N663" s="6">
        <v>1</v>
      </c>
      <c r="O663" t="s">
        <v>36</v>
      </c>
      <c r="P663">
        <f t="shared" si="10"/>
        <v>63</v>
      </c>
    </row>
    <row r="664" spans="1:16" x14ac:dyDescent="0.2">
      <c r="A664" t="s">
        <v>2152</v>
      </c>
      <c r="B664" t="s">
        <v>82</v>
      </c>
      <c r="C664" t="s">
        <v>28</v>
      </c>
      <c r="D664" s="4">
        <v>26806</v>
      </c>
      <c r="E664" s="4">
        <v>45360</v>
      </c>
      <c r="F664" s="9">
        <v>45366</v>
      </c>
      <c r="G664" t="s">
        <v>60</v>
      </c>
      <c r="H664" t="s">
        <v>66</v>
      </c>
      <c r="I664" t="s">
        <v>2533</v>
      </c>
      <c r="J664" s="7">
        <v>2085916</v>
      </c>
      <c r="K664" t="s">
        <v>43</v>
      </c>
      <c r="L664" t="s">
        <v>23</v>
      </c>
      <c r="M664" t="s">
        <v>24</v>
      </c>
      <c r="N664" s="6">
        <v>6</v>
      </c>
      <c r="O664" t="s">
        <v>2531</v>
      </c>
      <c r="P664">
        <f t="shared" si="10"/>
        <v>51</v>
      </c>
    </row>
    <row r="665" spans="1:16" x14ac:dyDescent="0.2">
      <c r="A665" t="s">
        <v>2153</v>
      </c>
      <c r="B665" t="s">
        <v>59</v>
      </c>
      <c r="C665" t="s">
        <v>28</v>
      </c>
      <c r="D665" s="4">
        <v>38087</v>
      </c>
      <c r="E665" s="4">
        <v>45297</v>
      </c>
      <c r="F665" s="9" t="s">
        <v>2536</v>
      </c>
      <c r="G665" t="s">
        <v>83</v>
      </c>
      <c r="H665" t="s">
        <v>66</v>
      </c>
      <c r="I665" t="s">
        <v>41</v>
      </c>
      <c r="J665" s="7">
        <v>4647104</v>
      </c>
      <c r="K665" t="s">
        <v>48</v>
      </c>
      <c r="L665" t="s">
        <v>23</v>
      </c>
      <c r="M665" t="s">
        <v>78</v>
      </c>
      <c r="N665" s="6" t="s">
        <v>2525</v>
      </c>
      <c r="O665" t="s">
        <v>2531</v>
      </c>
      <c r="P665">
        <f t="shared" si="10"/>
        <v>20</v>
      </c>
    </row>
    <row r="666" spans="1:16" x14ac:dyDescent="0.2">
      <c r="A666" t="s">
        <v>2154</v>
      </c>
      <c r="B666" t="s">
        <v>91</v>
      </c>
      <c r="C666" t="s">
        <v>92</v>
      </c>
      <c r="D666" s="4">
        <v>23552</v>
      </c>
      <c r="E666" s="4">
        <v>45376</v>
      </c>
      <c r="F666" s="9">
        <v>45388</v>
      </c>
      <c r="G666" t="s">
        <v>88</v>
      </c>
      <c r="H666" t="s">
        <v>66</v>
      </c>
      <c r="I666" t="s">
        <v>41</v>
      </c>
      <c r="J666" s="7">
        <v>531852</v>
      </c>
      <c r="K666" t="s">
        <v>43</v>
      </c>
      <c r="L666" t="s">
        <v>2527</v>
      </c>
      <c r="M666" t="s">
        <v>78</v>
      </c>
      <c r="N666" s="6">
        <v>12</v>
      </c>
      <c r="O666" t="s">
        <v>36</v>
      </c>
      <c r="P666">
        <f t="shared" si="10"/>
        <v>60</v>
      </c>
    </row>
    <row r="667" spans="1:16" x14ac:dyDescent="0.2">
      <c r="A667" t="s">
        <v>2155</v>
      </c>
      <c r="B667" t="s">
        <v>64</v>
      </c>
      <c r="C667" t="s">
        <v>28</v>
      </c>
      <c r="D667" s="4">
        <v>38958</v>
      </c>
      <c r="E667" s="4">
        <v>45300</v>
      </c>
      <c r="F667" s="9">
        <v>45314</v>
      </c>
      <c r="G667" t="s">
        <v>72</v>
      </c>
      <c r="H667" t="s">
        <v>2529</v>
      </c>
      <c r="I667" t="s">
        <v>67</v>
      </c>
      <c r="J667" s="7">
        <v>2459344</v>
      </c>
      <c r="K667" t="s">
        <v>48</v>
      </c>
      <c r="L667" t="s">
        <v>34</v>
      </c>
      <c r="M667" t="s">
        <v>24</v>
      </c>
      <c r="N667" s="6">
        <v>14</v>
      </c>
      <c r="O667" t="s">
        <v>2531</v>
      </c>
      <c r="P667">
        <f t="shared" si="10"/>
        <v>18</v>
      </c>
    </row>
    <row r="668" spans="1:16" x14ac:dyDescent="0.2">
      <c r="A668" t="s">
        <v>2156</v>
      </c>
      <c r="B668" t="s">
        <v>64</v>
      </c>
      <c r="C668" t="s">
        <v>92</v>
      </c>
      <c r="D668" s="4">
        <v>36014</v>
      </c>
      <c r="E668" s="4">
        <v>45316</v>
      </c>
      <c r="F668" s="9">
        <v>45326</v>
      </c>
      <c r="G668" t="s">
        <v>83</v>
      </c>
      <c r="H668" t="s">
        <v>66</v>
      </c>
      <c r="I668" t="s">
        <v>2535</v>
      </c>
      <c r="J668" s="7">
        <v>514500</v>
      </c>
      <c r="K668" t="s">
        <v>48</v>
      </c>
      <c r="L668" t="s">
        <v>2527</v>
      </c>
      <c r="M668" t="s">
        <v>35</v>
      </c>
      <c r="N668" s="6">
        <v>10</v>
      </c>
      <c r="O668" t="s">
        <v>2531</v>
      </c>
      <c r="P668">
        <f t="shared" si="10"/>
        <v>26</v>
      </c>
    </row>
    <row r="669" spans="1:16" x14ac:dyDescent="0.2">
      <c r="A669" t="s">
        <v>2157</v>
      </c>
      <c r="B669" t="s">
        <v>56</v>
      </c>
      <c r="C669" t="s">
        <v>28</v>
      </c>
      <c r="D669" s="4">
        <v>27807</v>
      </c>
      <c r="E669" s="4">
        <v>45315</v>
      </c>
      <c r="F669" s="9">
        <v>45324</v>
      </c>
      <c r="G669" t="s">
        <v>100</v>
      </c>
      <c r="H669" t="s">
        <v>61</v>
      </c>
      <c r="I669" t="s">
        <v>2534</v>
      </c>
      <c r="J669" s="7">
        <v>4496224</v>
      </c>
      <c r="K669" t="s">
        <v>71</v>
      </c>
      <c r="L669" t="s">
        <v>34</v>
      </c>
      <c r="M669" t="s">
        <v>78</v>
      </c>
      <c r="N669" s="6">
        <v>9</v>
      </c>
      <c r="O669" t="s">
        <v>2531</v>
      </c>
      <c r="P669">
        <f t="shared" si="10"/>
        <v>48</v>
      </c>
    </row>
    <row r="670" spans="1:16" x14ac:dyDescent="0.2">
      <c r="A670" t="s">
        <v>2158</v>
      </c>
      <c r="B670" t="s">
        <v>16</v>
      </c>
      <c r="C670" t="s">
        <v>28</v>
      </c>
      <c r="D670" s="4">
        <v>25606</v>
      </c>
      <c r="E670" s="4">
        <v>45393</v>
      </c>
      <c r="F670" s="9">
        <v>45401</v>
      </c>
      <c r="G670" t="s">
        <v>72</v>
      </c>
      <c r="H670" t="s">
        <v>2529</v>
      </c>
      <c r="I670" t="s">
        <v>2533</v>
      </c>
      <c r="J670" s="7">
        <v>1486168</v>
      </c>
      <c r="K670" t="s">
        <v>48</v>
      </c>
      <c r="L670" t="s">
        <v>23</v>
      </c>
      <c r="M670" t="s">
        <v>35</v>
      </c>
      <c r="N670" s="6">
        <v>8</v>
      </c>
      <c r="O670" t="s">
        <v>2531</v>
      </c>
      <c r="P670">
        <f t="shared" si="10"/>
        <v>54</v>
      </c>
    </row>
    <row r="671" spans="1:16" x14ac:dyDescent="0.2">
      <c r="A671" t="s">
        <v>1019</v>
      </c>
      <c r="B671" t="s">
        <v>150</v>
      </c>
      <c r="C671" t="s">
        <v>28</v>
      </c>
      <c r="D671" s="4">
        <v>31475</v>
      </c>
      <c r="E671" s="4">
        <v>45425</v>
      </c>
      <c r="F671" s="9" t="s">
        <v>2536</v>
      </c>
      <c r="G671" t="s">
        <v>100</v>
      </c>
      <c r="H671" t="s">
        <v>61</v>
      </c>
      <c r="I671" t="s">
        <v>2533</v>
      </c>
      <c r="J671" s="7">
        <v>2579500</v>
      </c>
      <c r="K671" t="s">
        <v>48</v>
      </c>
      <c r="L671" t="s">
        <v>34</v>
      </c>
      <c r="M671" t="s">
        <v>78</v>
      </c>
      <c r="N671" s="6" t="s">
        <v>2525</v>
      </c>
      <c r="O671" t="s">
        <v>36</v>
      </c>
      <c r="P671">
        <f t="shared" si="10"/>
        <v>38</v>
      </c>
    </row>
    <row r="672" spans="1:16" x14ac:dyDescent="0.2">
      <c r="A672" t="s">
        <v>1021</v>
      </c>
      <c r="B672" t="s">
        <v>38</v>
      </c>
      <c r="C672" t="s">
        <v>28</v>
      </c>
      <c r="D672" s="4">
        <v>25119</v>
      </c>
      <c r="E672" s="4">
        <v>45431</v>
      </c>
      <c r="F672" s="9">
        <v>45442</v>
      </c>
      <c r="G672" t="s">
        <v>83</v>
      </c>
      <c r="H672" t="s">
        <v>66</v>
      </c>
      <c r="I672" t="s">
        <v>2534</v>
      </c>
      <c r="J672" s="7">
        <v>4107708</v>
      </c>
      <c r="K672" t="s">
        <v>48</v>
      </c>
      <c r="L672" t="s">
        <v>2527</v>
      </c>
      <c r="M672" t="s">
        <v>24</v>
      </c>
      <c r="N672" s="6">
        <v>11</v>
      </c>
      <c r="O672" t="s">
        <v>25</v>
      </c>
      <c r="P672">
        <f t="shared" si="10"/>
        <v>56</v>
      </c>
    </row>
    <row r="673" spans="1:16" x14ac:dyDescent="0.2">
      <c r="A673" t="s">
        <v>1023</v>
      </c>
      <c r="B673" t="s">
        <v>140</v>
      </c>
      <c r="C673" t="s">
        <v>92</v>
      </c>
      <c r="D673" s="4">
        <v>22244</v>
      </c>
      <c r="E673" s="4">
        <v>45342</v>
      </c>
      <c r="F673" s="9">
        <v>45344</v>
      </c>
      <c r="G673" t="s">
        <v>29</v>
      </c>
      <c r="H673" t="s">
        <v>19</v>
      </c>
      <c r="I673" t="s">
        <v>67</v>
      </c>
      <c r="J673" s="7">
        <v>5212904</v>
      </c>
      <c r="K673" t="s">
        <v>48</v>
      </c>
      <c r="L673" t="s">
        <v>2527</v>
      </c>
      <c r="M673" t="s">
        <v>78</v>
      </c>
      <c r="N673" s="6">
        <v>2</v>
      </c>
      <c r="O673" t="s">
        <v>25</v>
      </c>
      <c r="P673">
        <f t="shared" si="10"/>
        <v>64</v>
      </c>
    </row>
    <row r="674" spans="1:16" x14ac:dyDescent="0.2">
      <c r="A674" t="s">
        <v>2159</v>
      </c>
      <c r="B674" t="s">
        <v>45</v>
      </c>
      <c r="C674" t="s">
        <v>28</v>
      </c>
      <c r="D674" s="4">
        <v>27147</v>
      </c>
      <c r="E674" s="4">
        <v>45449</v>
      </c>
      <c r="F674" s="9">
        <v>45452</v>
      </c>
      <c r="G674" t="s">
        <v>60</v>
      </c>
      <c r="H674" t="s">
        <v>66</v>
      </c>
      <c r="I674" t="s">
        <v>2534</v>
      </c>
      <c r="J674" s="7">
        <v>1813000</v>
      </c>
      <c r="K674" t="s">
        <v>43</v>
      </c>
      <c r="L674" t="s">
        <v>2527</v>
      </c>
      <c r="M674" t="s">
        <v>78</v>
      </c>
      <c r="N674" s="6">
        <v>3</v>
      </c>
      <c r="O674" t="s">
        <v>36</v>
      </c>
      <c r="P674">
        <f t="shared" si="10"/>
        <v>50</v>
      </c>
    </row>
    <row r="675" spans="1:16" x14ac:dyDescent="0.2">
      <c r="A675" t="s">
        <v>2160</v>
      </c>
      <c r="B675" t="s">
        <v>87</v>
      </c>
      <c r="C675" t="s">
        <v>28</v>
      </c>
      <c r="D675" s="4">
        <v>35446</v>
      </c>
      <c r="E675" s="4">
        <v>45294</v>
      </c>
      <c r="F675" s="9">
        <v>45297</v>
      </c>
      <c r="G675" t="s">
        <v>74</v>
      </c>
      <c r="H675" t="s">
        <v>2528</v>
      </c>
      <c r="I675" t="s">
        <v>2533</v>
      </c>
      <c r="J675" s="7">
        <v>1825648</v>
      </c>
      <c r="K675" t="s">
        <v>48</v>
      </c>
      <c r="L675" t="s">
        <v>2527</v>
      </c>
      <c r="M675" t="s">
        <v>78</v>
      </c>
      <c r="N675" s="6">
        <v>3</v>
      </c>
      <c r="O675" t="s">
        <v>2531</v>
      </c>
      <c r="P675">
        <f t="shared" si="10"/>
        <v>27</v>
      </c>
    </row>
    <row r="676" spans="1:16" x14ac:dyDescent="0.2">
      <c r="A676" t="s">
        <v>2161</v>
      </c>
      <c r="B676" t="s">
        <v>85</v>
      </c>
      <c r="C676" t="s">
        <v>28</v>
      </c>
      <c r="D676" s="4">
        <v>20451</v>
      </c>
      <c r="E676" s="4">
        <v>45454</v>
      </c>
      <c r="F676" s="9">
        <v>45455</v>
      </c>
      <c r="G676" t="s">
        <v>60</v>
      </c>
      <c r="H676" t="s">
        <v>66</v>
      </c>
      <c r="I676" t="s">
        <v>41</v>
      </c>
      <c r="J676" s="7">
        <v>3402000</v>
      </c>
      <c r="K676" t="s">
        <v>48</v>
      </c>
      <c r="L676" t="s">
        <v>2527</v>
      </c>
      <c r="M676" t="s">
        <v>78</v>
      </c>
      <c r="N676" s="6">
        <v>1</v>
      </c>
      <c r="O676" t="s">
        <v>2531</v>
      </c>
      <c r="P676">
        <f t="shared" si="10"/>
        <v>69</v>
      </c>
    </row>
    <row r="677" spans="1:16" x14ac:dyDescent="0.2">
      <c r="A677" t="s">
        <v>1027</v>
      </c>
      <c r="B677" t="s">
        <v>150</v>
      </c>
      <c r="C677" t="s">
        <v>92</v>
      </c>
      <c r="D677" s="4">
        <v>23258</v>
      </c>
      <c r="E677" s="4">
        <v>45347</v>
      </c>
      <c r="F677" s="9">
        <v>45357</v>
      </c>
      <c r="G677" t="s">
        <v>46</v>
      </c>
      <c r="H677" t="s">
        <v>30</v>
      </c>
      <c r="I677" t="s">
        <v>2535</v>
      </c>
      <c r="J677" s="7">
        <v>4911144</v>
      </c>
      <c r="K677" t="s">
        <v>48</v>
      </c>
      <c r="L677" t="s">
        <v>2527</v>
      </c>
      <c r="M677" t="s">
        <v>24</v>
      </c>
      <c r="N677" s="6">
        <v>10</v>
      </c>
      <c r="O677" t="s">
        <v>36</v>
      </c>
      <c r="P677">
        <f t="shared" si="10"/>
        <v>61</v>
      </c>
    </row>
    <row r="678" spans="1:16" x14ac:dyDescent="0.2">
      <c r="A678" t="s">
        <v>1028</v>
      </c>
      <c r="B678" t="s">
        <v>140</v>
      </c>
      <c r="C678" t="s">
        <v>92</v>
      </c>
      <c r="D678" s="4">
        <v>25860</v>
      </c>
      <c r="E678" s="4">
        <v>45315</v>
      </c>
      <c r="F678" s="9" t="s">
        <v>2536</v>
      </c>
      <c r="G678" t="s">
        <v>100</v>
      </c>
      <c r="H678" t="s">
        <v>61</v>
      </c>
      <c r="I678" t="s">
        <v>67</v>
      </c>
      <c r="J678" s="7">
        <v>2874264</v>
      </c>
      <c r="K678" t="s">
        <v>48</v>
      </c>
      <c r="L678" t="s">
        <v>23</v>
      </c>
      <c r="M678" t="s">
        <v>24</v>
      </c>
      <c r="N678" s="6" t="s">
        <v>2525</v>
      </c>
      <c r="O678" t="s">
        <v>2531</v>
      </c>
      <c r="P678">
        <f t="shared" si="10"/>
        <v>54</v>
      </c>
    </row>
    <row r="679" spans="1:16" x14ac:dyDescent="0.2">
      <c r="A679" t="s">
        <v>2162</v>
      </c>
      <c r="B679" t="s">
        <v>59</v>
      </c>
      <c r="C679" t="s">
        <v>92</v>
      </c>
      <c r="D679" s="4">
        <v>34660</v>
      </c>
      <c r="E679" s="4">
        <v>45353</v>
      </c>
      <c r="F679" s="9">
        <v>45360</v>
      </c>
      <c r="G679" t="s">
        <v>83</v>
      </c>
      <c r="H679" t="s">
        <v>66</v>
      </c>
      <c r="I679" t="s">
        <v>41</v>
      </c>
      <c r="J679" s="7">
        <v>4091500</v>
      </c>
      <c r="K679" t="s">
        <v>43</v>
      </c>
      <c r="L679" t="s">
        <v>34</v>
      </c>
      <c r="M679" t="s">
        <v>24</v>
      </c>
      <c r="N679" s="6">
        <v>7</v>
      </c>
      <c r="O679" t="s">
        <v>2531</v>
      </c>
      <c r="P679">
        <f t="shared" si="10"/>
        <v>30</v>
      </c>
    </row>
    <row r="680" spans="1:16" x14ac:dyDescent="0.2">
      <c r="A680" t="s">
        <v>2163</v>
      </c>
      <c r="B680" t="s">
        <v>87</v>
      </c>
      <c r="C680" t="s">
        <v>39</v>
      </c>
      <c r="D680" s="4">
        <v>32591</v>
      </c>
      <c r="E680" s="4">
        <v>45417</v>
      </c>
      <c r="F680" s="9">
        <v>45426</v>
      </c>
      <c r="G680" t="s">
        <v>72</v>
      </c>
      <c r="H680" t="s">
        <v>2529</v>
      </c>
      <c r="I680" t="s">
        <v>67</v>
      </c>
      <c r="J680" s="7">
        <v>528500</v>
      </c>
      <c r="K680" t="s">
        <v>71</v>
      </c>
      <c r="L680" t="s">
        <v>2527</v>
      </c>
      <c r="M680" t="s">
        <v>24</v>
      </c>
      <c r="N680" s="6">
        <v>9</v>
      </c>
      <c r="O680" t="s">
        <v>2531</v>
      </c>
      <c r="P680">
        <f t="shared" si="10"/>
        <v>35</v>
      </c>
    </row>
    <row r="681" spans="1:16" x14ac:dyDescent="0.2">
      <c r="A681" t="s">
        <v>1031</v>
      </c>
      <c r="B681" t="s">
        <v>118</v>
      </c>
      <c r="C681" t="s">
        <v>92</v>
      </c>
      <c r="D681" s="4">
        <v>24129</v>
      </c>
      <c r="E681" s="4">
        <v>45342</v>
      </c>
      <c r="F681" s="9">
        <v>45346</v>
      </c>
      <c r="G681" t="s">
        <v>18</v>
      </c>
      <c r="H681" t="s">
        <v>2529</v>
      </c>
      <c r="I681" t="s">
        <v>2533</v>
      </c>
      <c r="J681" s="7">
        <v>1022000</v>
      </c>
      <c r="K681" t="s">
        <v>48</v>
      </c>
      <c r="L681" t="s">
        <v>34</v>
      </c>
      <c r="M681" t="s">
        <v>24</v>
      </c>
      <c r="N681" s="6">
        <v>4</v>
      </c>
      <c r="O681" t="s">
        <v>2531</v>
      </c>
      <c r="P681">
        <f t="shared" si="10"/>
        <v>58</v>
      </c>
    </row>
    <row r="682" spans="1:16" x14ac:dyDescent="0.2">
      <c r="A682" t="s">
        <v>2164</v>
      </c>
      <c r="B682" t="s">
        <v>56</v>
      </c>
      <c r="C682" t="s">
        <v>28</v>
      </c>
      <c r="D682" s="4">
        <v>19703</v>
      </c>
      <c r="E682" s="4">
        <v>45362</v>
      </c>
      <c r="F682" s="9">
        <v>45376</v>
      </c>
      <c r="G682" t="s">
        <v>100</v>
      </c>
      <c r="H682" t="s">
        <v>61</v>
      </c>
      <c r="I682" t="s">
        <v>2534</v>
      </c>
      <c r="J682" s="7">
        <v>3885160</v>
      </c>
      <c r="K682" t="s">
        <v>48</v>
      </c>
      <c r="L682" t="s">
        <v>2527</v>
      </c>
      <c r="M682" t="s">
        <v>24</v>
      </c>
      <c r="N682" s="6">
        <v>14</v>
      </c>
      <c r="O682" t="s">
        <v>2531</v>
      </c>
      <c r="P682">
        <f t="shared" si="10"/>
        <v>71</v>
      </c>
    </row>
    <row r="683" spans="1:16" x14ac:dyDescent="0.2">
      <c r="A683" t="s">
        <v>1033</v>
      </c>
      <c r="B683" t="s">
        <v>80</v>
      </c>
      <c r="C683" t="s">
        <v>92</v>
      </c>
      <c r="D683" s="4">
        <v>19208</v>
      </c>
      <c r="E683" s="4">
        <v>45472</v>
      </c>
      <c r="F683" s="9">
        <v>45475</v>
      </c>
      <c r="G683" t="s">
        <v>29</v>
      </c>
      <c r="H683" t="s">
        <v>19</v>
      </c>
      <c r="I683" t="s">
        <v>41</v>
      </c>
      <c r="J683" s="7">
        <v>1297568</v>
      </c>
      <c r="K683" t="s">
        <v>71</v>
      </c>
      <c r="L683" t="s">
        <v>34</v>
      </c>
      <c r="M683" t="s">
        <v>78</v>
      </c>
      <c r="N683" s="6">
        <v>3</v>
      </c>
      <c r="O683" t="s">
        <v>2531</v>
      </c>
      <c r="P683">
        <f t="shared" si="10"/>
        <v>72</v>
      </c>
    </row>
    <row r="684" spans="1:16" x14ac:dyDescent="0.2">
      <c r="A684" t="s">
        <v>2165</v>
      </c>
      <c r="B684" t="s">
        <v>51</v>
      </c>
      <c r="C684" t="s">
        <v>28</v>
      </c>
      <c r="D684" s="4">
        <v>38383</v>
      </c>
      <c r="E684" s="4">
        <v>45377</v>
      </c>
      <c r="F684" s="9">
        <v>45380</v>
      </c>
      <c r="G684" t="s">
        <v>40</v>
      </c>
      <c r="H684" t="s">
        <v>75</v>
      </c>
      <c r="I684" t="s">
        <v>2534</v>
      </c>
      <c r="J684" s="7">
        <v>3489100</v>
      </c>
      <c r="K684" t="s">
        <v>48</v>
      </c>
      <c r="L684" t="s">
        <v>34</v>
      </c>
      <c r="M684" t="s">
        <v>35</v>
      </c>
      <c r="N684" s="6">
        <v>3</v>
      </c>
      <c r="O684" t="s">
        <v>25</v>
      </c>
      <c r="P684">
        <f t="shared" si="10"/>
        <v>19</v>
      </c>
    </row>
    <row r="685" spans="1:16" x14ac:dyDescent="0.2">
      <c r="A685" t="s">
        <v>2166</v>
      </c>
      <c r="B685" t="s">
        <v>38</v>
      </c>
      <c r="C685" t="s">
        <v>92</v>
      </c>
      <c r="D685" s="4">
        <v>23919</v>
      </c>
      <c r="E685" s="4">
        <v>45303</v>
      </c>
      <c r="F685" s="9">
        <v>45315</v>
      </c>
      <c r="G685" t="s">
        <v>46</v>
      </c>
      <c r="H685" t="s">
        <v>30</v>
      </c>
      <c r="I685" t="s">
        <v>2534</v>
      </c>
      <c r="J685" s="7">
        <v>371000</v>
      </c>
      <c r="K685" t="s">
        <v>48</v>
      </c>
      <c r="L685" t="s">
        <v>2527</v>
      </c>
      <c r="M685" t="s">
        <v>35</v>
      </c>
      <c r="N685" s="6">
        <v>12</v>
      </c>
      <c r="O685" t="s">
        <v>2531</v>
      </c>
      <c r="P685">
        <f t="shared" si="10"/>
        <v>59</v>
      </c>
    </row>
    <row r="686" spans="1:16" x14ac:dyDescent="0.2">
      <c r="A686" t="s">
        <v>1037</v>
      </c>
      <c r="B686" t="s">
        <v>119</v>
      </c>
      <c r="C686" t="s">
        <v>28</v>
      </c>
      <c r="D686" s="4">
        <v>21152</v>
      </c>
      <c r="E686" s="4">
        <v>45315</v>
      </c>
      <c r="F686" s="9">
        <v>45318</v>
      </c>
      <c r="G686" t="s">
        <v>18</v>
      </c>
      <c r="H686" t="s">
        <v>2529</v>
      </c>
      <c r="I686" t="s">
        <v>67</v>
      </c>
      <c r="J686" s="7">
        <v>1682312</v>
      </c>
      <c r="K686" t="s">
        <v>48</v>
      </c>
      <c r="L686" t="s">
        <v>2527</v>
      </c>
      <c r="M686" t="s">
        <v>78</v>
      </c>
      <c r="N686" s="6">
        <v>3</v>
      </c>
      <c r="O686" t="s">
        <v>2531</v>
      </c>
      <c r="P686">
        <f t="shared" si="10"/>
        <v>67</v>
      </c>
    </row>
    <row r="687" spans="1:16" x14ac:dyDescent="0.2">
      <c r="A687" t="s">
        <v>1039</v>
      </c>
      <c r="B687" t="s">
        <v>45</v>
      </c>
      <c r="C687" t="s">
        <v>39</v>
      </c>
      <c r="D687" s="4">
        <v>39311</v>
      </c>
      <c r="E687" s="4">
        <v>45325</v>
      </c>
      <c r="F687" s="9" t="s">
        <v>2536</v>
      </c>
      <c r="G687" t="s">
        <v>60</v>
      </c>
      <c r="H687" t="s">
        <v>66</v>
      </c>
      <c r="I687" t="s">
        <v>2533</v>
      </c>
      <c r="J687" s="7">
        <v>1354500</v>
      </c>
      <c r="K687" t="s">
        <v>71</v>
      </c>
      <c r="L687" t="s">
        <v>23</v>
      </c>
      <c r="M687" t="s">
        <v>35</v>
      </c>
      <c r="N687" s="6" t="s">
        <v>2525</v>
      </c>
      <c r="O687" t="s">
        <v>25</v>
      </c>
      <c r="P687">
        <f t="shared" si="10"/>
        <v>17</v>
      </c>
    </row>
    <row r="688" spans="1:16" x14ac:dyDescent="0.2">
      <c r="A688" t="s">
        <v>1041</v>
      </c>
      <c r="B688" t="s">
        <v>45</v>
      </c>
      <c r="C688" t="s">
        <v>92</v>
      </c>
      <c r="D688" s="4">
        <v>32668</v>
      </c>
      <c r="E688" s="4">
        <v>45315</v>
      </c>
      <c r="F688" s="9">
        <v>45321</v>
      </c>
      <c r="G688" t="s">
        <v>72</v>
      </c>
      <c r="H688" t="s">
        <v>2529</v>
      </c>
      <c r="I688" t="s">
        <v>2533</v>
      </c>
      <c r="J688" s="7">
        <v>5250624</v>
      </c>
      <c r="K688" t="s">
        <v>48</v>
      </c>
      <c r="L688" t="s">
        <v>2527</v>
      </c>
      <c r="M688" t="s">
        <v>35</v>
      </c>
      <c r="N688" s="6">
        <v>6</v>
      </c>
      <c r="O688" t="s">
        <v>2531</v>
      </c>
      <c r="P688">
        <f t="shared" si="10"/>
        <v>35</v>
      </c>
    </row>
    <row r="689" spans="1:16" x14ac:dyDescent="0.2">
      <c r="A689" t="s">
        <v>2167</v>
      </c>
      <c r="B689" t="s">
        <v>102</v>
      </c>
      <c r="C689" t="s">
        <v>28</v>
      </c>
      <c r="D689" s="4">
        <v>27723</v>
      </c>
      <c r="E689" s="4">
        <v>45379</v>
      </c>
      <c r="F689" s="9" t="s">
        <v>2536</v>
      </c>
      <c r="G689" t="s">
        <v>50</v>
      </c>
      <c r="H689" t="s">
        <v>2528</v>
      </c>
      <c r="I689" t="s">
        <v>67</v>
      </c>
      <c r="J689" s="7">
        <v>3699500</v>
      </c>
      <c r="K689" t="s">
        <v>48</v>
      </c>
      <c r="L689" t="s">
        <v>34</v>
      </c>
      <c r="M689" t="s">
        <v>24</v>
      </c>
      <c r="N689" s="6" t="s">
        <v>2525</v>
      </c>
      <c r="O689" t="s">
        <v>36</v>
      </c>
      <c r="P689">
        <f t="shared" si="10"/>
        <v>49</v>
      </c>
    </row>
    <row r="690" spans="1:16" x14ac:dyDescent="0.2">
      <c r="A690" t="s">
        <v>1043</v>
      </c>
      <c r="B690" t="s">
        <v>114</v>
      </c>
      <c r="C690" t="s">
        <v>92</v>
      </c>
      <c r="D690" s="4">
        <v>28847</v>
      </c>
      <c r="E690" s="4">
        <v>45436</v>
      </c>
      <c r="F690" s="9">
        <v>45451</v>
      </c>
      <c r="G690" t="s">
        <v>83</v>
      </c>
      <c r="H690" t="s">
        <v>66</v>
      </c>
      <c r="I690" t="s">
        <v>67</v>
      </c>
      <c r="J690" s="7">
        <v>4861500</v>
      </c>
      <c r="K690" t="s">
        <v>48</v>
      </c>
      <c r="L690" t="s">
        <v>23</v>
      </c>
      <c r="M690" t="s">
        <v>78</v>
      </c>
      <c r="N690" s="6">
        <v>15</v>
      </c>
      <c r="O690" t="s">
        <v>2531</v>
      </c>
      <c r="P690">
        <f t="shared" si="10"/>
        <v>46</v>
      </c>
    </row>
    <row r="691" spans="1:16" x14ac:dyDescent="0.2">
      <c r="A691" t="s">
        <v>1045</v>
      </c>
      <c r="B691" t="s">
        <v>140</v>
      </c>
      <c r="C691" t="s">
        <v>92</v>
      </c>
      <c r="D691" s="4">
        <v>28300</v>
      </c>
      <c r="E691" s="4">
        <v>45411</v>
      </c>
      <c r="F691" s="9">
        <v>45419</v>
      </c>
      <c r="G691" t="s">
        <v>18</v>
      </c>
      <c r="H691" t="s">
        <v>2529</v>
      </c>
      <c r="I691" t="s">
        <v>2534</v>
      </c>
      <c r="J691" s="7">
        <v>3734280</v>
      </c>
      <c r="K691" t="s">
        <v>71</v>
      </c>
      <c r="L691" t="s">
        <v>23</v>
      </c>
      <c r="M691" t="s">
        <v>78</v>
      </c>
      <c r="N691" s="6">
        <v>8</v>
      </c>
      <c r="O691" t="s">
        <v>36</v>
      </c>
      <c r="P691">
        <f t="shared" si="10"/>
        <v>47</v>
      </c>
    </row>
    <row r="692" spans="1:16" x14ac:dyDescent="0.2">
      <c r="A692" t="s">
        <v>2168</v>
      </c>
      <c r="B692" t="s">
        <v>118</v>
      </c>
      <c r="C692" t="s">
        <v>92</v>
      </c>
      <c r="D692" s="4">
        <v>19578</v>
      </c>
      <c r="E692" s="4">
        <v>45421</v>
      </c>
      <c r="F692" s="9">
        <v>45434</v>
      </c>
      <c r="G692" t="s">
        <v>18</v>
      </c>
      <c r="H692" t="s">
        <v>2529</v>
      </c>
      <c r="I692" t="s">
        <v>2535</v>
      </c>
      <c r="J692" s="7">
        <v>595976</v>
      </c>
      <c r="K692" t="s">
        <v>43</v>
      </c>
      <c r="L692" t="s">
        <v>23</v>
      </c>
      <c r="M692" t="s">
        <v>78</v>
      </c>
      <c r="N692" s="6">
        <v>13</v>
      </c>
      <c r="O692" t="s">
        <v>2531</v>
      </c>
      <c r="P692">
        <f t="shared" si="10"/>
        <v>71</v>
      </c>
    </row>
    <row r="693" spans="1:16" x14ac:dyDescent="0.2">
      <c r="A693" t="s">
        <v>1047</v>
      </c>
      <c r="B693" t="s">
        <v>119</v>
      </c>
      <c r="C693" t="s">
        <v>39</v>
      </c>
      <c r="D693" s="4">
        <v>22836</v>
      </c>
      <c r="E693" s="4">
        <v>45461</v>
      </c>
      <c r="F693" s="9">
        <v>45462</v>
      </c>
      <c r="G693" t="s">
        <v>60</v>
      </c>
      <c r="H693" t="s">
        <v>66</v>
      </c>
      <c r="I693" t="s">
        <v>41</v>
      </c>
      <c r="J693" s="7">
        <v>1361500</v>
      </c>
      <c r="K693" t="s">
        <v>71</v>
      </c>
      <c r="L693" t="s">
        <v>2527</v>
      </c>
      <c r="M693" t="s">
        <v>35</v>
      </c>
      <c r="N693" s="6">
        <v>1</v>
      </c>
      <c r="O693" t="s">
        <v>25</v>
      </c>
      <c r="P693">
        <f t="shared" si="10"/>
        <v>62</v>
      </c>
    </row>
    <row r="694" spans="1:16" x14ac:dyDescent="0.2">
      <c r="A694" t="s">
        <v>1049</v>
      </c>
      <c r="B694" t="s">
        <v>140</v>
      </c>
      <c r="C694" t="s">
        <v>92</v>
      </c>
      <c r="D694" s="4">
        <v>28341</v>
      </c>
      <c r="E694" s="4">
        <v>45339</v>
      </c>
      <c r="F694" s="9">
        <v>45346</v>
      </c>
      <c r="G694" t="s">
        <v>50</v>
      </c>
      <c r="H694" t="s">
        <v>2528</v>
      </c>
      <c r="I694" t="s">
        <v>2534</v>
      </c>
      <c r="J694" s="7">
        <v>4329500</v>
      </c>
      <c r="K694" t="s">
        <v>48</v>
      </c>
      <c r="L694" t="s">
        <v>2527</v>
      </c>
      <c r="M694" t="s">
        <v>35</v>
      </c>
      <c r="N694" s="6">
        <v>7</v>
      </c>
      <c r="O694" t="s">
        <v>2531</v>
      </c>
      <c r="P694">
        <f t="shared" si="10"/>
        <v>47</v>
      </c>
    </row>
    <row r="695" spans="1:16" x14ac:dyDescent="0.2">
      <c r="A695" t="s">
        <v>2169</v>
      </c>
      <c r="B695" t="s">
        <v>118</v>
      </c>
      <c r="C695" t="s">
        <v>28</v>
      </c>
      <c r="D695" s="4">
        <v>25226</v>
      </c>
      <c r="E695" s="4">
        <v>45463</v>
      </c>
      <c r="F695" s="9">
        <v>45475</v>
      </c>
      <c r="G695" t="s">
        <v>74</v>
      </c>
      <c r="H695" t="s">
        <v>2528</v>
      </c>
      <c r="I695" t="s">
        <v>67</v>
      </c>
      <c r="J695" s="7">
        <v>2832772</v>
      </c>
      <c r="K695" t="s">
        <v>71</v>
      </c>
      <c r="L695" t="s">
        <v>2527</v>
      </c>
      <c r="M695" t="s">
        <v>78</v>
      </c>
      <c r="N695" s="6">
        <v>12</v>
      </c>
      <c r="O695" t="s">
        <v>36</v>
      </c>
      <c r="P695">
        <f t="shared" si="10"/>
        <v>55</v>
      </c>
    </row>
    <row r="696" spans="1:16" x14ac:dyDescent="0.2">
      <c r="A696" t="s">
        <v>2170</v>
      </c>
      <c r="B696" t="s">
        <v>118</v>
      </c>
      <c r="C696" t="s">
        <v>92</v>
      </c>
      <c r="D696" s="4">
        <v>20612</v>
      </c>
      <c r="E696" s="4">
        <v>45417</v>
      </c>
      <c r="F696" s="9">
        <v>45427</v>
      </c>
      <c r="G696" t="s">
        <v>50</v>
      </c>
      <c r="H696" t="s">
        <v>2528</v>
      </c>
      <c r="I696" t="s">
        <v>2533</v>
      </c>
      <c r="J696" s="7">
        <v>3002512</v>
      </c>
      <c r="K696" t="s">
        <v>43</v>
      </c>
      <c r="L696" t="s">
        <v>2527</v>
      </c>
      <c r="M696" t="s">
        <v>35</v>
      </c>
      <c r="N696" s="6">
        <v>10</v>
      </c>
      <c r="O696" t="s">
        <v>36</v>
      </c>
      <c r="P696">
        <f t="shared" si="10"/>
        <v>68</v>
      </c>
    </row>
    <row r="697" spans="1:16" x14ac:dyDescent="0.2">
      <c r="A697" t="s">
        <v>1055</v>
      </c>
      <c r="B697" t="s">
        <v>80</v>
      </c>
      <c r="C697" t="s">
        <v>28</v>
      </c>
      <c r="D697" s="4">
        <v>28157</v>
      </c>
      <c r="E697" s="4">
        <v>45315</v>
      </c>
      <c r="F697" s="9">
        <v>45318</v>
      </c>
      <c r="G697" t="s">
        <v>46</v>
      </c>
      <c r="H697" t="s">
        <v>30</v>
      </c>
      <c r="I697" t="s">
        <v>2533</v>
      </c>
      <c r="J697" s="7">
        <v>3364624</v>
      </c>
      <c r="K697" t="s">
        <v>48</v>
      </c>
      <c r="L697" t="s">
        <v>2527</v>
      </c>
      <c r="M697" t="s">
        <v>78</v>
      </c>
      <c r="N697" s="6">
        <v>3</v>
      </c>
      <c r="O697" t="s">
        <v>36</v>
      </c>
      <c r="P697">
        <f t="shared" si="10"/>
        <v>47</v>
      </c>
    </row>
    <row r="698" spans="1:16" x14ac:dyDescent="0.2">
      <c r="A698" t="s">
        <v>2171</v>
      </c>
      <c r="B698" t="s">
        <v>105</v>
      </c>
      <c r="C698" t="s">
        <v>39</v>
      </c>
      <c r="D698" s="4">
        <v>21751</v>
      </c>
      <c r="E698" s="4">
        <v>45313</v>
      </c>
      <c r="F698" s="9">
        <v>45315</v>
      </c>
      <c r="G698" t="s">
        <v>88</v>
      </c>
      <c r="H698" t="s">
        <v>66</v>
      </c>
      <c r="I698" t="s">
        <v>2533</v>
      </c>
      <c r="J698" s="7">
        <v>1369236</v>
      </c>
      <c r="K698" t="s">
        <v>71</v>
      </c>
      <c r="L698" t="s">
        <v>34</v>
      </c>
      <c r="M698" t="s">
        <v>78</v>
      </c>
      <c r="N698" s="6">
        <v>2</v>
      </c>
      <c r="O698" t="s">
        <v>36</v>
      </c>
      <c r="P698">
        <f t="shared" si="10"/>
        <v>65</v>
      </c>
    </row>
    <row r="699" spans="1:16" x14ac:dyDescent="0.2">
      <c r="A699" t="s">
        <v>2172</v>
      </c>
      <c r="B699" t="s">
        <v>80</v>
      </c>
      <c r="C699" t="s">
        <v>92</v>
      </c>
      <c r="D699" s="4">
        <v>32189</v>
      </c>
      <c r="E699" s="4">
        <v>45454</v>
      </c>
      <c r="F699" s="9">
        <v>45467</v>
      </c>
      <c r="G699" t="s">
        <v>40</v>
      </c>
      <c r="H699" t="s">
        <v>75</v>
      </c>
      <c r="I699" t="s">
        <v>41</v>
      </c>
      <c r="J699" s="7">
        <v>3741500</v>
      </c>
      <c r="K699" t="s">
        <v>43</v>
      </c>
      <c r="L699" t="s">
        <v>2527</v>
      </c>
      <c r="M699" t="s">
        <v>35</v>
      </c>
      <c r="N699" s="6">
        <v>13</v>
      </c>
      <c r="O699" t="s">
        <v>2531</v>
      </c>
      <c r="P699">
        <f t="shared" si="10"/>
        <v>36</v>
      </c>
    </row>
    <row r="700" spans="1:16" x14ac:dyDescent="0.2">
      <c r="A700" t="s">
        <v>2173</v>
      </c>
      <c r="B700" t="s">
        <v>150</v>
      </c>
      <c r="C700" t="s">
        <v>28</v>
      </c>
      <c r="D700" s="4">
        <v>18491</v>
      </c>
      <c r="E700" s="4">
        <v>45473</v>
      </c>
      <c r="F700" s="9">
        <v>45487</v>
      </c>
      <c r="G700" t="s">
        <v>29</v>
      </c>
      <c r="H700" t="s">
        <v>19</v>
      </c>
      <c r="I700" t="s">
        <v>2533</v>
      </c>
      <c r="J700" s="7">
        <v>2549872</v>
      </c>
      <c r="K700" t="s">
        <v>48</v>
      </c>
      <c r="L700" t="s">
        <v>2527</v>
      </c>
      <c r="M700" t="s">
        <v>78</v>
      </c>
      <c r="N700" s="6">
        <v>14</v>
      </c>
      <c r="O700" t="s">
        <v>2531</v>
      </c>
      <c r="P700">
        <f t="shared" si="10"/>
        <v>74</v>
      </c>
    </row>
    <row r="701" spans="1:16" x14ac:dyDescent="0.2">
      <c r="A701" t="s">
        <v>2174</v>
      </c>
      <c r="B701" t="s">
        <v>102</v>
      </c>
      <c r="C701" t="s">
        <v>92</v>
      </c>
      <c r="D701" s="4">
        <v>32213</v>
      </c>
      <c r="E701" s="4">
        <v>45464</v>
      </c>
      <c r="F701" s="9">
        <v>45465</v>
      </c>
      <c r="G701" t="s">
        <v>46</v>
      </c>
      <c r="H701" t="s">
        <v>30</v>
      </c>
      <c r="I701" t="s">
        <v>2533</v>
      </c>
      <c r="J701" s="7">
        <v>3598488</v>
      </c>
      <c r="K701" t="s">
        <v>71</v>
      </c>
      <c r="L701" t="s">
        <v>2527</v>
      </c>
      <c r="M701" t="s">
        <v>78</v>
      </c>
      <c r="N701" s="6">
        <v>1</v>
      </c>
      <c r="O701" t="s">
        <v>25</v>
      </c>
      <c r="P701">
        <f t="shared" si="10"/>
        <v>36</v>
      </c>
    </row>
    <row r="702" spans="1:16" x14ac:dyDescent="0.2">
      <c r="A702" t="s">
        <v>2175</v>
      </c>
      <c r="B702" t="s">
        <v>80</v>
      </c>
      <c r="C702" t="s">
        <v>92</v>
      </c>
      <c r="D702" s="4">
        <v>31247</v>
      </c>
      <c r="E702" s="4">
        <v>45336</v>
      </c>
      <c r="F702" s="9">
        <v>45339</v>
      </c>
      <c r="G702" t="s">
        <v>72</v>
      </c>
      <c r="H702" t="s">
        <v>2529</v>
      </c>
      <c r="I702" t="s">
        <v>2533</v>
      </c>
      <c r="J702" s="7">
        <v>2317000</v>
      </c>
      <c r="K702" t="s">
        <v>71</v>
      </c>
      <c r="L702" t="s">
        <v>23</v>
      </c>
      <c r="M702" t="s">
        <v>24</v>
      </c>
      <c r="N702" s="6">
        <v>3</v>
      </c>
      <c r="O702" t="s">
        <v>36</v>
      </c>
      <c r="P702">
        <f t="shared" si="10"/>
        <v>39</v>
      </c>
    </row>
    <row r="703" spans="1:16" x14ac:dyDescent="0.2">
      <c r="A703" t="s">
        <v>1060</v>
      </c>
      <c r="B703" t="s">
        <v>150</v>
      </c>
      <c r="C703" t="s">
        <v>92</v>
      </c>
      <c r="D703" s="4">
        <v>30479</v>
      </c>
      <c r="E703" s="4">
        <v>45329</v>
      </c>
      <c r="F703" s="9">
        <v>45341</v>
      </c>
      <c r="G703" t="s">
        <v>83</v>
      </c>
      <c r="H703" t="s">
        <v>66</v>
      </c>
      <c r="I703" t="s">
        <v>2534</v>
      </c>
      <c r="J703" s="7">
        <v>2708296</v>
      </c>
      <c r="K703" t="s">
        <v>71</v>
      </c>
      <c r="L703" t="s">
        <v>34</v>
      </c>
      <c r="M703" t="s">
        <v>35</v>
      </c>
      <c r="N703" s="6">
        <v>12</v>
      </c>
      <c r="O703" t="s">
        <v>2531</v>
      </c>
      <c r="P703">
        <f t="shared" si="10"/>
        <v>41</v>
      </c>
    </row>
    <row r="704" spans="1:16" x14ac:dyDescent="0.2">
      <c r="A704" t="s">
        <v>2176</v>
      </c>
      <c r="B704" t="s">
        <v>150</v>
      </c>
      <c r="C704" t="s">
        <v>39</v>
      </c>
      <c r="D704" s="4">
        <v>32466</v>
      </c>
      <c r="E704" s="4">
        <v>45341</v>
      </c>
      <c r="F704" s="9">
        <v>45351</v>
      </c>
      <c r="G704" t="s">
        <v>88</v>
      </c>
      <c r="H704" t="s">
        <v>66</v>
      </c>
      <c r="I704" t="s">
        <v>2535</v>
      </c>
      <c r="J704" s="7">
        <v>4028496</v>
      </c>
      <c r="K704" t="s">
        <v>71</v>
      </c>
      <c r="L704" t="s">
        <v>2527</v>
      </c>
      <c r="M704" t="s">
        <v>24</v>
      </c>
      <c r="N704" s="6">
        <v>10</v>
      </c>
      <c r="O704" t="s">
        <v>36</v>
      </c>
      <c r="P704">
        <f t="shared" si="10"/>
        <v>36</v>
      </c>
    </row>
    <row r="705" spans="1:16" x14ac:dyDescent="0.2">
      <c r="A705" t="s">
        <v>2177</v>
      </c>
      <c r="B705" t="s">
        <v>80</v>
      </c>
      <c r="C705" t="s">
        <v>92</v>
      </c>
      <c r="D705" s="4">
        <v>31327</v>
      </c>
      <c r="E705" s="4">
        <v>45465</v>
      </c>
      <c r="F705" s="9">
        <v>45472</v>
      </c>
      <c r="G705" t="s">
        <v>88</v>
      </c>
      <c r="H705" t="s">
        <v>66</v>
      </c>
      <c r="I705" t="s">
        <v>2533</v>
      </c>
      <c r="J705" s="7">
        <v>5450540</v>
      </c>
      <c r="K705" t="s">
        <v>48</v>
      </c>
      <c r="L705" t="s">
        <v>2527</v>
      </c>
      <c r="M705" t="s">
        <v>78</v>
      </c>
      <c r="N705" s="6">
        <v>7</v>
      </c>
      <c r="O705" t="s">
        <v>36</v>
      </c>
      <c r="P705">
        <f t="shared" si="10"/>
        <v>39</v>
      </c>
    </row>
    <row r="706" spans="1:16" x14ac:dyDescent="0.2">
      <c r="A706" t="s">
        <v>1065</v>
      </c>
      <c r="B706" t="s">
        <v>91</v>
      </c>
      <c r="C706" t="s">
        <v>28</v>
      </c>
      <c r="D706" s="4">
        <v>18856</v>
      </c>
      <c r="E706" s="4">
        <v>45348</v>
      </c>
      <c r="F706" s="9">
        <v>45360</v>
      </c>
      <c r="G706" t="s">
        <v>18</v>
      </c>
      <c r="H706" t="s">
        <v>2529</v>
      </c>
      <c r="I706" t="s">
        <v>2534</v>
      </c>
      <c r="J706" s="7">
        <v>4616500</v>
      </c>
      <c r="K706" t="s">
        <v>43</v>
      </c>
      <c r="L706" t="s">
        <v>2527</v>
      </c>
      <c r="M706" t="s">
        <v>78</v>
      </c>
      <c r="N706" s="6">
        <v>12</v>
      </c>
      <c r="O706" t="s">
        <v>36</v>
      </c>
      <c r="P706">
        <f t="shared" si="10"/>
        <v>73</v>
      </c>
    </row>
    <row r="707" spans="1:16" x14ac:dyDescent="0.2">
      <c r="A707" t="s">
        <v>2178</v>
      </c>
      <c r="B707" t="s">
        <v>59</v>
      </c>
      <c r="C707" t="s">
        <v>92</v>
      </c>
      <c r="D707" s="4">
        <v>32825</v>
      </c>
      <c r="E707" s="4">
        <v>45410</v>
      </c>
      <c r="F707" s="9">
        <v>45422</v>
      </c>
      <c r="G707" t="s">
        <v>72</v>
      </c>
      <c r="H707" t="s">
        <v>2529</v>
      </c>
      <c r="I707" t="s">
        <v>2533</v>
      </c>
      <c r="J707" s="7">
        <v>3489100</v>
      </c>
      <c r="K707" t="s">
        <v>43</v>
      </c>
      <c r="L707" t="s">
        <v>34</v>
      </c>
      <c r="M707" t="s">
        <v>24</v>
      </c>
      <c r="N707" s="6">
        <v>12</v>
      </c>
      <c r="O707" t="s">
        <v>25</v>
      </c>
      <c r="P707">
        <f t="shared" ref="P707:P770" si="11">YEAR(E707)-YEAR(D707)</f>
        <v>35</v>
      </c>
    </row>
    <row r="708" spans="1:16" x14ac:dyDescent="0.2">
      <c r="A708" t="s">
        <v>1068</v>
      </c>
      <c r="B708" t="s">
        <v>105</v>
      </c>
      <c r="C708" t="s">
        <v>92</v>
      </c>
      <c r="D708" s="4">
        <v>28226</v>
      </c>
      <c r="E708" s="4">
        <v>45372</v>
      </c>
      <c r="F708" s="9">
        <v>45373</v>
      </c>
      <c r="G708" t="s">
        <v>18</v>
      </c>
      <c r="H708" t="s">
        <v>2529</v>
      </c>
      <c r="I708" t="s">
        <v>67</v>
      </c>
      <c r="J708" s="7">
        <v>4823000</v>
      </c>
      <c r="K708" t="s">
        <v>43</v>
      </c>
      <c r="L708" t="s">
        <v>2527</v>
      </c>
      <c r="M708" t="s">
        <v>78</v>
      </c>
      <c r="N708" s="6">
        <v>1</v>
      </c>
      <c r="O708" t="s">
        <v>36</v>
      </c>
      <c r="P708">
        <f t="shared" si="11"/>
        <v>47</v>
      </c>
    </row>
    <row r="709" spans="1:16" x14ac:dyDescent="0.2">
      <c r="A709" t="s">
        <v>2179</v>
      </c>
      <c r="B709" t="s">
        <v>56</v>
      </c>
      <c r="C709" t="s">
        <v>28</v>
      </c>
      <c r="D709" s="4">
        <v>30561</v>
      </c>
      <c r="E709" s="4">
        <v>45388</v>
      </c>
      <c r="F709" s="9" t="s">
        <v>2536</v>
      </c>
      <c r="G709" t="s">
        <v>50</v>
      </c>
      <c r="H709" t="s">
        <v>2528</v>
      </c>
      <c r="I709" t="s">
        <v>67</v>
      </c>
      <c r="J709" s="7">
        <v>4438000</v>
      </c>
      <c r="K709" t="s">
        <v>48</v>
      </c>
      <c r="L709" t="s">
        <v>23</v>
      </c>
      <c r="M709" t="s">
        <v>24</v>
      </c>
      <c r="N709" s="6" t="s">
        <v>2525</v>
      </c>
      <c r="O709" t="s">
        <v>36</v>
      </c>
      <c r="P709">
        <f t="shared" si="11"/>
        <v>41</v>
      </c>
    </row>
    <row r="710" spans="1:16" x14ac:dyDescent="0.2">
      <c r="A710" t="s">
        <v>2180</v>
      </c>
      <c r="B710" t="s">
        <v>51</v>
      </c>
      <c r="C710" t="s">
        <v>28</v>
      </c>
      <c r="D710" s="4">
        <v>37900</v>
      </c>
      <c r="E710" s="4">
        <v>45373</v>
      </c>
      <c r="F710" s="9">
        <v>45384</v>
      </c>
      <c r="G710" t="s">
        <v>40</v>
      </c>
      <c r="H710" t="s">
        <v>75</v>
      </c>
      <c r="I710" t="s">
        <v>2535</v>
      </c>
      <c r="J710" s="7">
        <v>3406116</v>
      </c>
      <c r="K710" t="s">
        <v>71</v>
      </c>
      <c r="L710" t="s">
        <v>2527</v>
      </c>
      <c r="M710" t="s">
        <v>78</v>
      </c>
      <c r="N710" s="6">
        <v>11</v>
      </c>
      <c r="O710" t="s">
        <v>36</v>
      </c>
      <c r="P710">
        <f t="shared" si="11"/>
        <v>21</v>
      </c>
    </row>
    <row r="711" spans="1:16" x14ac:dyDescent="0.2">
      <c r="A711" t="s">
        <v>1073</v>
      </c>
      <c r="B711" t="s">
        <v>140</v>
      </c>
      <c r="C711" t="s">
        <v>28</v>
      </c>
      <c r="D711" s="4">
        <v>27714</v>
      </c>
      <c r="E711" s="4">
        <v>45428</v>
      </c>
      <c r="F711" s="9">
        <v>45439</v>
      </c>
      <c r="G711" t="s">
        <v>72</v>
      </c>
      <c r="H711" t="s">
        <v>2529</v>
      </c>
      <c r="I711" t="s">
        <v>2533</v>
      </c>
      <c r="J711" s="7">
        <v>4858336</v>
      </c>
      <c r="K711" t="s">
        <v>71</v>
      </c>
      <c r="L711" t="s">
        <v>2527</v>
      </c>
      <c r="M711" t="s">
        <v>35</v>
      </c>
      <c r="N711" s="6">
        <v>11</v>
      </c>
      <c r="O711" t="s">
        <v>25</v>
      </c>
      <c r="P711">
        <f t="shared" si="11"/>
        <v>49</v>
      </c>
    </row>
    <row r="712" spans="1:16" x14ac:dyDescent="0.2">
      <c r="A712" t="s">
        <v>1074</v>
      </c>
      <c r="B712" t="s">
        <v>85</v>
      </c>
      <c r="C712" t="s">
        <v>92</v>
      </c>
      <c r="D712" s="4">
        <v>34758</v>
      </c>
      <c r="E712" s="4">
        <v>45445</v>
      </c>
      <c r="F712" s="9">
        <v>45451</v>
      </c>
      <c r="G712" t="s">
        <v>46</v>
      </c>
      <c r="H712" t="s">
        <v>30</v>
      </c>
      <c r="I712" t="s">
        <v>2534</v>
      </c>
      <c r="J712" s="7">
        <v>4020952</v>
      </c>
      <c r="K712" t="s">
        <v>48</v>
      </c>
      <c r="L712" t="s">
        <v>34</v>
      </c>
      <c r="M712" t="s">
        <v>24</v>
      </c>
      <c r="N712" s="6">
        <v>6</v>
      </c>
      <c r="O712" t="s">
        <v>2531</v>
      </c>
      <c r="P712">
        <f t="shared" si="11"/>
        <v>29</v>
      </c>
    </row>
    <row r="713" spans="1:16" x14ac:dyDescent="0.2">
      <c r="A713" t="s">
        <v>2181</v>
      </c>
      <c r="B713" t="s">
        <v>27</v>
      </c>
      <c r="C713" t="s">
        <v>92</v>
      </c>
      <c r="D713" s="4">
        <v>24589</v>
      </c>
      <c r="E713" s="4">
        <v>45409</v>
      </c>
      <c r="F713" s="9">
        <v>45413</v>
      </c>
      <c r="G713" t="s">
        <v>100</v>
      </c>
      <c r="H713" t="s">
        <v>61</v>
      </c>
      <c r="I713" t="s">
        <v>67</v>
      </c>
      <c r="J713" s="7">
        <v>2866720</v>
      </c>
      <c r="K713" t="s">
        <v>48</v>
      </c>
      <c r="L713" t="s">
        <v>34</v>
      </c>
      <c r="M713" t="s">
        <v>35</v>
      </c>
      <c r="N713" s="6">
        <v>4</v>
      </c>
      <c r="O713" t="s">
        <v>36</v>
      </c>
      <c r="P713">
        <f t="shared" si="11"/>
        <v>57</v>
      </c>
    </row>
    <row r="714" spans="1:16" x14ac:dyDescent="0.2">
      <c r="A714" t="s">
        <v>2182</v>
      </c>
      <c r="B714" t="s">
        <v>91</v>
      </c>
      <c r="C714" t="s">
        <v>28</v>
      </c>
      <c r="D714" s="4">
        <v>38031</v>
      </c>
      <c r="E714" s="4">
        <v>45353</v>
      </c>
      <c r="F714" s="9">
        <v>45362</v>
      </c>
      <c r="G714" t="s">
        <v>18</v>
      </c>
      <c r="H714" t="s">
        <v>2529</v>
      </c>
      <c r="I714" t="s">
        <v>2533</v>
      </c>
      <c r="J714" s="7">
        <v>1606872</v>
      </c>
      <c r="K714" t="s">
        <v>71</v>
      </c>
      <c r="L714" t="s">
        <v>34</v>
      </c>
      <c r="M714" t="s">
        <v>35</v>
      </c>
      <c r="N714" s="6">
        <v>9</v>
      </c>
      <c r="O714" t="s">
        <v>2531</v>
      </c>
      <c r="P714">
        <f t="shared" si="11"/>
        <v>20</v>
      </c>
    </row>
    <row r="715" spans="1:16" x14ac:dyDescent="0.2">
      <c r="A715" t="s">
        <v>2183</v>
      </c>
      <c r="B715" t="s">
        <v>105</v>
      </c>
      <c r="C715" t="s">
        <v>28</v>
      </c>
      <c r="D715" s="4">
        <v>30890</v>
      </c>
      <c r="E715" s="4">
        <v>45398</v>
      </c>
      <c r="F715" s="9">
        <v>45407</v>
      </c>
      <c r="G715" t="s">
        <v>18</v>
      </c>
      <c r="H715" t="s">
        <v>2529</v>
      </c>
      <c r="I715" t="s">
        <v>2535</v>
      </c>
      <c r="J715" s="7">
        <v>558256</v>
      </c>
      <c r="K715" t="s">
        <v>71</v>
      </c>
      <c r="L715" t="s">
        <v>34</v>
      </c>
      <c r="M715" t="s">
        <v>78</v>
      </c>
      <c r="N715" s="6">
        <v>9</v>
      </c>
      <c r="O715" t="s">
        <v>2531</v>
      </c>
      <c r="P715">
        <f t="shared" si="11"/>
        <v>40</v>
      </c>
    </row>
    <row r="716" spans="1:16" x14ac:dyDescent="0.2">
      <c r="A716" t="s">
        <v>1077</v>
      </c>
      <c r="B716" t="s">
        <v>102</v>
      </c>
      <c r="C716" t="s">
        <v>28</v>
      </c>
      <c r="D716" s="4">
        <v>35026</v>
      </c>
      <c r="E716" s="4">
        <v>45401</v>
      </c>
      <c r="F716" s="9" t="s">
        <v>2536</v>
      </c>
      <c r="G716" t="s">
        <v>60</v>
      </c>
      <c r="H716" t="s">
        <v>66</v>
      </c>
      <c r="I716" t="s">
        <v>41</v>
      </c>
      <c r="J716" s="7">
        <v>4854564</v>
      </c>
      <c r="K716" t="s">
        <v>48</v>
      </c>
      <c r="L716" t="s">
        <v>2527</v>
      </c>
      <c r="M716" t="s">
        <v>78</v>
      </c>
      <c r="N716" s="6" t="s">
        <v>2525</v>
      </c>
      <c r="O716" t="s">
        <v>25</v>
      </c>
      <c r="P716">
        <f t="shared" si="11"/>
        <v>29</v>
      </c>
    </row>
    <row r="717" spans="1:16" x14ac:dyDescent="0.2">
      <c r="A717" t="s">
        <v>2184</v>
      </c>
      <c r="B717" t="s">
        <v>51</v>
      </c>
      <c r="C717" t="s">
        <v>92</v>
      </c>
      <c r="D717" s="4">
        <v>21446</v>
      </c>
      <c r="E717" s="4">
        <v>45456</v>
      </c>
      <c r="F717" s="9">
        <v>45468</v>
      </c>
      <c r="G717" t="s">
        <v>50</v>
      </c>
      <c r="H717" t="s">
        <v>2528</v>
      </c>
      <c r="I717" t="s">
        <v>2533</v>
      </c>
      <c r="J717" s="7">
        <v>2803500</v>
      </c>
      <c r="K717" t="s">
        <v>71</v>
      </c>
      <c r="L717" t="s">
        <v>2527</v>
      </c>
      <c r="M717" t="s">
        <v>78</v>
      </c>
      <c r="N717" s="6">
        <v>12</v>
      </c>
      <c r="O717" t="s">
        <v>36</v>
      </c>
      <c r="P717">
        <f t="shared" si="11"/>
        <v>66</v>
      </c>
    </row>
    <row r="718" spans="1:16" x14ac:dyDescent="0.2">
      <c r="A718" t="s">
        <v>2185</v>
      </c>
      <c r="B718" t="s">
        <v>80</v>
      </c>
      <c r="C718" t="s">
        <v>39</v>
      </c>
      <c r="D718" s="4">
        <v>22852</v>
      </c>
      <c r="E718" s="4">
        <v>45425</v>
      </c>
      <c r="F718" s="9" t="s">
        <v>2536</v>
      </c>
      <c r="G718" t="s">
        <v>83</v>
      </c>
      <c r="H718" t="s">
        <v>66</v>
      </c>
      <c r="I718" t="s">
        <v>2533</v>
      </c>
      <c r="J718" s="7">
        <v>2436000</v>
      </c>
      <c r="K718" t="s">
        <v>48</v>
      </c>
      <c r="L718" t="s">
        <v>2527</v>
      </c>
      <c r="M718" t="s">
        <v>78</v>
      </c>
      <c r="N718" s="6" t="s">
        <v>2525</v>
      </c>
      <c r="O718" t="s">
        <v>36</v>
      </c>
      <c r="P718">
        <f t="shared" si="11"/>
        <v>62</v>
      </c>
    </row>
    <row r="719" spans="1:16" x14ac:dyDescent="0.2">
      <c r="A719" t="s">
        <v>1081</v>
      </c>
      <c r="B719" t="s">
        <v>87</v>
      </c>
      <c r="C719" t="s">
        <v>28</v>
      </c>
      <c r="D719" s="4">
        <v>38168</v>
      </c>
      <c r="E719" s="4">
        <v>45390</v>
      </c>
      <c r="F719" s="9">
        <v>45391</v>
      </c>
      <c r="G719" t="s">
        <v>18</v>
      </c>
      <c r="H719" t="s">
        <v>2529</v>
      </c>
      <c r="I719" t="s">
        <v>67</v>
      </c>
      <c r="J719" s="7">
        <v>4888512</v>
      </c>
      <c r="K719" t="s">
        <v>48</v>
      </c>
      <c r="L719" t="s">
        <v>2527</v>
      </c>
      <c r="M719" t="s">
        <v>24</v>
      </c>
      <c r="N719" s="6">
        <v>1</v>
      </c>
      <c r="O719" t="s">
        <v>2531</v>
      </c>
      <c r="P719">
        <f t="shared" si="11"/>
        <v>20</v>
      </c>
    </row>
    <row r="720" spans="1:16" x14ac:dyDescent="0.2">
      <c r="A720" t="s">
        <v>2186</v>
      </c>
      <c r="B720" t="s">
        <v>56</v>
      </c>
      <c r="C720" t="s">
        <v>92</v>
      </c>
      <c r="D720" s="4">
        <v>23847</v>
      </c>
      <c r="E720" s="4">
        <v>45456</v>
      </c>
      <c r="F720" s="9">
        <v>45465</v>
      </c>
      <c r="G720" t="s">
        <v>40</v>
      </c>
      <c r="H720" t="s">
        <v>75</v>
      </c>
      <c r="I720" t="s">
        <v>2533</v>
      </c>
      <c r="J720" s="7">
        <v>4122796</v>
      </c>
      <c r="K720" t="s">
        <v>43</v>
      </c>
      <c r="L720" t="s">
        <v>2527</v>
      </c>
      <c r="M720" t="s">
        <v>35</v>
      </c>
      <c r="N720" s="6">
        <v>9</v>
      </c>
      <c r="O720" t="s">
        <v>25</v>
      </c>
      <c r="P720">
        <f t="shared" si="11"/>
        <v>59</v>
      </c>
    </row>
    <row r="721" spans="1:16" x14ac:dyDescent="0.2">
      <c r="A721" t="s">
        <v>2187</v>
      </c>
      <c r="B721" t="s">
        <v>150</v>
      </c>
      <c r="C721" t="s">
        <v>92</v>
      </c>
      <c r="D721" s="4">
        <v>25631</v>
      </c>
      <c r="E721" s="4">
        <v>45344</v>
      </c>
      <c r="F721" s="9">
        <v>45354</v>
      </c>
      <c r="G721" t="s">
        <v>72</v>
      </c>
      <c r="H721" t="s">
        <v>2529</v>
      </c>
      <c r="I721" t="s">
        <v>2533</v>
      </c>
      <c r="J721" s="7">
        <v>4228412</v>
      </c>
      <c r="K721" t="s">
        <v>43</v>
      </c>
      <c r="L721" t="s">
        <v>34</v>
      </c>
      <c r="M721" t="s">
        <v>24</v>
      </c>
      <c r="N721" s="6">
        <v>10</v>
      </c>
      <c r="O721" t="s">
        <v>2531</v>
      </c>
      <c r="P721">
        <f t="shared" si="11"/>
        <v>54</v>
      </c>
    </row>
    <row r="722" spans="1:16" x14ac:dyDescent="0.2">
      <c r="A722" t="s">
        <v>1085</v>
      </c>
      <c r="B722" t="s">
        <v>51</v>
      </c>
      <c r="C722" t="s">
        <v>92</v>
      </c>
      <c r="D722" s="4">
        <v>40029</v>
      </c>
      <c r="E722" s="4">
        <v>45394</v>
      </c>
      <c r="F722" s="9">
        <v>45403</v>
      </c>
      <c r="G722" t="s">
        <v>60</v>
      </c>
      <c r="H722" t="s">
        <v>66</v>
      </c>
      <c r="I722" t="s">
        <v>2535</v>
      </c>
      <c r="J722" s="7">
        <v>4530172</v>
      </c>
      <c r="K722" t="s">
        <v>48</v>
      </c>
      <c r="L722" t="s">
        <v>2527</v>
      </c>
      <c r="M722" t="s">
        <v>24</v>
      </c>
      <c r="N722" s="6">
        <v>9</v>
      </c>
      <c r="O722" t="s">
        <v>36</v>
      </c>
      <c r="P722">
        <f t="shared" si="11"/>
        <v>15</v>
      </c>
    </row>
    <row r="723" spans="1:16" x14ac:dyDescent="0.2">
      <c r="A723" t="s">
        <v>2188</v>
      </c>
      <c r="B723" t="s">
        <v>140</v>
      </c>
      <c r="C723" t="s">
        <v>28</v>
      </c>
      <c r="D723" s="4">
        <v>39589</v>
      </c>
      <c r="E723" s="4">
        <v>45350</v>
      </c>
      <c r="F723" s="9">
        <v>45360</v>
      </c>
      <c r="G723" t="s">
        <v>40</v>
      </c>
      <c r="H723" t="s">
        <v>75</v>
      </c>
      <c r="I723" t="s">
        <v>67</v>
      </c>
      <c r="J723" s="7">
        <v>1844508</v>
      </c>
      <c r="K723" t="s">
        <v>48</v>
      </c>
      <c r="L723" t="s">
        <v>2527</v>
      </c>
      <c r="M723" t="s">
        <v>35</v>
      </c>
      <c r="N723" s="6">
        <v>10</v>
      </c>
      <c r="O723" t="s">
        <v>25</v>
      </c>
      <c r="P723">
        <f t="shared" si="11"/>
        <v>16</v>
      </c>
    </row>
    <row r="724" spans="1:16" x14ac:dyDescent="0.2">
      <c r="A724" t="s">
        <v>2189</v>
      </c>
      <c r="B724" t="s">
        <v>119</v>
      </c>
      <c r="C724" t="s">
        <v>28</v>
      </c>
      <c r="D724" s="4">
        <v>33477</v>
      </c>
      <c r="E724" s="4">
        <v>45429</v>
      </c>
      <c r="F724" s="9">
        <v>45440</v>
      </c>
      <c r="G724" t="s">
        <v>50</v>
      </c>
      <c r="H724" t="s">
        <v>2528</v>
      </c>
      <c r="I724" t="s">
        <v>67</v>
      </c>
      <c r="J724" s="7">
        <v>3790860</v>
      </c>
      <c r="K724" t="s">
        <v>71</v>
      </c>
      <c r="L724" t="s">
        <v>23</v>
      </c>
      <c r="M724" t="s">
        <v>35</v>
      </c>
      <c r="N724" s="6">
        <v>11</v>
      </c>
      <c r="O724" t="s">
        <v>2531</v>
      </c>
      <c r="P724">
        <f t="shared" si="11"/>
        <v>33</v>
      </c>
    </row>
    <row r="725" spans="1:16" x14ac:dyDescent="0.2">
      <c r="A725" t="s">
        <v>2190</v>
      </c>
      <c r="B725" t="s">
        <v>45</v>
      </c>
      <c r="C725" t="s">
        <v>92</v>
      </c>
      <c r="D725" s="4">
        <v>18578</v>
      </c>
      <c r="E725" s="4">
        <v>45320</v>
      </c>
      <c r="F725" s="9">
        <v>45324</v>
      </c>
      <c r="G725" t="s">
        <v>88</v>
      </c>
      <c r="H725" t="s">
        <v>66</v>
      </c>
      <c r="I725" t="s">
        <v>41</v>
      </c>
      <c r="J725" s="7">
        <v>3265500</v>
      </c>
      <c r="K725" t="s">
        <v>71</v>
      </c>
      <c r="L725" t="s">
        <v>23</v>
      </c>
      <c r="M725" t="s">
        <v>78</v>
      </c>
      <c r="N725" s="6">
        <v>4</v>
      </c>
      <c r="O725" t="s">
        <v>36</v>
      </c>
      <c r="P725">
        <f t="shared" si="11"/>
        <v>74</v>
      </c>
    </row>
    <row r="726" spans="1:16" x14ac:dyDescent="0.2">
      <c r="A726" t="s">
        <v>2191</v>
      </c>
      <c r="B726" t="s">
        <v>45</v>
      </c>
      <c r="C726" t="s">
        <v>92</v>
      </c>
      <c r="D726" s="4">
        <v>35702</v>
      </c>
      <c r="E726" s="4">
        <v>45379</v>
      </c>
      <c r="F726" s="9">
        <v>45388</v>
      </c>
      <c r="G726" t="s">
        <v>72</v>
      </c>
      <c r="H726" t="s">
        <v>2529</v>
      </c>
      <c r="I726" t="s">
        <v>67</v>
      </c>
      <c r="J726" s="7">
        <v>1784156</v>
      </c>
      <c r="K726" t="s">
        <v>48</v>
      </c>
      <c r="L726" t="s">
        <v>2527</v>
      </c>
      <c r="M726" t="s">
        <v>24</v>
      </c>
      <c r="N726" s="6">
        <v>9</v>
      </c>
      <c r="O726" t="s">
        <v>25</v>
      </c>
      <c r="P726">
        <f t="shared" si="11"/>
        <v>27</v>
      </c>
    </row>
    <row r="727" spans="1:16" x14ac:dyDescent="0.2">
      <c r="A727" t="s">
        <v>1092</v>
      </c>
      <c r="B727" t="s">
        <v>82</v>
      </c>
      <c r="C727" t="s">
        <v>28</v>
      </c>
      <c r="D727" s="4">
        <v>28246</v>
      </c>
      <c r="E727" s="4">
        <v>45405</v>
      </c>
      <c r="F727" s="9">
        <v>45414</v>
      </c>
      <c r="G727" t="s">
        <v>50</v>
      </c>
      <c r="H727" t="s">
        <v>2528</v>
      </c>
      <c r="I727" t="s">
        <v>67</v>
      </c>
      <c r="J727" s="7">
        <v>2165128</v>
      </c>
      <c r="K727" t="s">
        <v>48</v>
      </c>
      <c r="L727" t="s">
        <v>2527</v>
      </c>
      <c r="M727" t="s">
        <v>78</v>
      </c>
      <c r="N727" s="6">
        <v>9</v>
      </c>
      <c r="O727" t="s">
        <v>25</v>
      </c>
      <c r="P727">
        <f t="shared" si="11"/>
        <v>47</v>
      </c>
    </row>
    <row r="728" spans="1:16" x14ac:dyDescent="0.2">
      <c r="A728" t="s">
        <v>2192</v>
      </c>
      <c r="B728" t="s">
        <v>45</v>
      </c>
      <c r="C728" t="s">
        <v>92</v>
      </c>
      <c r="D728" s="4">
        <v>25154</v>
      </c>
      <c r="E728" s="4">
        <v>45374</v>
      </c>
      <c r="F728" s="9">
        <v>45381</v>
      </c>
      <c r="G728" t="s">
        <v>46</v>
      </c>
      <c r="H728" t="s">
        <v>30</v>
      </c>
      <c r="I728" t="s">
        <v>2534</v>
      </c>
      <c r="J728" s="7">
        <v>1473500</v>
      </c>
      <c r="K728" t="s">
        <v>43</v>
      </c>
      <c r="L728" t="s">
        <v>2527</v>
      </c>
      <c r="M728" t="s">
        <v>24</v>
      </c>
      <c r="N728" s="6">
        <v>7</v>
      </c>
      <c r="O728" t="s">
        <v>2531</v>
      </c>
      <c r="P728">
        <f t="shared" si="11"/>
        <v>56</v>
      </c>
    </row>
    <row r="729" spans="1:16" x14ac:dyDescent="0.2">
      <c r="A729" t="s">
        <v>2193</v>
      </c>
      <c r="B729" t="s">
        <v>91</v>
      </c>
      <c r="C729" t="s">
        <v>92</v>
      </c>
      <c r="D729" s="4">
        <v>33729</v>
      </c>
      <c r="E729" s="4">
        <v>45386</v>
      </c>
      <c r="F729" s="9">
        <v>45398</v>
      </c>
      <c r="G729" t="s">
        <v>83</v>
      </c>
      <c r="H729" t="s">
        <v>66</v>
      </c>
      <c r="I729" t="s">
        <v>2533</v>
      </c>
      <c r="J729" s="7">
        <v>3662612</v>
      </c>
      <c r="K729" t="s">
        <v>71</v>
      </c>
      <c r="L729" t="s">
        <v>34</v>
      </c>
      <c r="M729" t="s">
        <v>78</v>
      </c>
      <c r="N729" s="6">
        <v>12</v>
      </c>
      <c r="O729" t="s">
        <v>36</v>
      </c>
      <c r="P729">
        <f t="shared" si="11"/>
        <v>32</v>
      </c>
    </row>
    <row r="730" spans="1:16" x14ac:dyDescent="0.2">
      <c r="A730" t="s">
        <v>2194</v>
      </c>
      <c r="B730" t="s">
        <v>87</v>
      </c>
      <c r="C730" t="s">
        <v>28</v>
      </c>
      <c r="D730" s="4">
        <v>27249</v>
      </c>
      <c r="E730" s="4">
        <v>45472</v>
      </c>
      <c r="F730" s="9">
        <v>45484</v>
      </c>
      <c r="G730" t="s">
        <v>60</v>
      </c>
      <c r="H730" t="s">
        <v>66</v>
      </c>
      <c r="I730" t="s">
        <v>2533</v>
      </c>
      <c r="J730" s="7">
        <v>518000</v>
      </c>
      <c r="K730" t="s">
        <v>71</v>
      </c>
      <c r="L730" t="s">
        <v>2527</v>
      </c>
      <c r="M730" t="s">
        <v>78</v>
      </c>
      <c r="N730" s="6">
        <v>12</v>
      </c>
      <c r="O730" t="s">
        <v>25</v>
      </c>
      <c r="P730">
        <f t="shared" si="11"/>
        <v>50</v>
      </c>
    </row>
    <row r="731" spans="1:16" x14ac:dyDescent="0.2">
      <c r="A731" t="s">
        <v>1097</v>
      </c>
      <c r="B731" t="s">
        <v>85</v>
      </c>
      <c r="C731" t="s">
        <v>92</v>
      </c>
      <c r="D731" s="4">
        <v>32685</v>
      </c>
      <c r="E731" s="4">
        <v>45319</v>
      </c>
      <c r="F731" s="9">
        <v>45325</v>
      </c>
      <c r="G731" t="s">
        <v>18</v>
      </c>
      <c r="H731" t="s">
        <v>2529</v>
      </c>
      <c r="I731" t="s">
        <v>67</v>
      </c>
      <c r="J731" s="7">
        <v>5469400</v>
      </c>
      <c r="K731" t="s">
        <v>71</v>
      </c>
      <c r="L731" t="s">
        <v>23</v>
      </c>
      <c r="M731" t="s">
        <v>78</v>
      </c>
      <c r="N731" s="6">
        <v>6</v>
      </c>
      <c r="O731" t="s">
        <v>36</v>
      </c>
      <c r="P731">
        <f t="shared" si="11"/>
        <v>35</v>
      </c>
    </row>
    <row r="732" spans="1:16" x14ac:dyDescent="0.2">
      <c r="A732" t="s">
        <v>1098</v>
      </c>
      <c r="B732" t="s">
        <v>16</v>
      </c>
      <c r="C732" t="s">
        <v>92</v>
      </c>
      <c r="D732" s="4">
        <v>39223</v>
      </c>
      <c r="E732" s="4">
        <v>45362</v>
      </c>
      <c r="F732" s="9">
        <v>45367</v>
      </c>
      <c r="G732" t="s">
        <v>100</v>
      </c>
      <c r="H732" t="s">
        <v>61</v>
      </c>
      <c r="I732" t="s">
        <v>2534</v>
      </c>
      <c r="J732" s="7">
        <v>878500</v>
      </c>
      <c r="K732" t="s">
        <v>71</v>
      </c>
      <c r="L732" t="s">
        <v>23</v>
      </c>
      <c r="M732" t="s">
        <v>35</v>
      </c>
      <c r="N732" s="6">
        <v>5</v>
      </c>
      <c r="O732" t="s">
        <v>25</v>
      </c>
      <c r="P732">
        <f t="shared" si="11"/>
        <v>17</v>
      </c>
    </row>
    <row r="733" spans="1:16" x14ac:dyDescent="0.2">
      <c r="A733" t="s">
        <v>2195</v>
      </c>
      <c r="B733" t="s">
        <v>150</v>
      </c>
      <c r="C733" t="s">
        <v>28</v>
      </c>
      <c r="D733" s="4">
        <v>26299</v>
      </c>
      <c r="E733" s="4">
        <v>45438</v>
      </c>
      <c r="F733" s="9">
        <v>45452</v>
      </c>
      <c r="G733" t="s">
        <v>88</v>
      </c>
      <c r="H733" t="s">
        <v>66</v>
      </c>
      <c r="I733" t="s">
        <v>41</v>
      </c>
      <c r="J733" s="7">
        <v>836500</v>
      </c>
      <c r="K733" t="s">
        <v>48</v>
      </c>
      <c r="L733" t="s">
        <v>2527</v>
      </c>
      <c r="M733" t="s">
        <v>24</v>
      </c>
      <c r="N733" s="6">
        <v>14</v>
      </c>
      <c r="O733" t="s">
        <v>36</v>
      </c>
      <c r="P733">
        <f t="shared" si="11"/>
        <v>52</v>
      </c>
    </row>
    <row r="734" spans="1:16" x14ac:dyDescent="0.2">
      <c r="A734" t="s">
        <v>2196</v>
      </c>
      <c r="B734" t="s">
        <v>91</v>
      </c>
      <c r="C734" t="s">
        <v>28</v>
      </c>
      <c r="D734" s="4">
        <v>30132</v>
      </c>
      <c r="E734" s="4">
        <v>45342</v>
      </c>
      <c r="F734" s="9">
        <v>45354</v>
      </c>
      <c r="G734" t="s">
        <v>46</v>
      </c>
      <c r="H734" t="s">
        <v>30</v>
      </c>
      <c r="I734" t="s">
        <v>2534</v>
      </c>
      <c r="J734" s="7">
        <v>3549452</v>
      </c>
      <c r="K734" t="s">
        <v>71</v>
      </c>
      <c r="L734" t="s">
        <v>2527</v>
      </c>
      <c r="M734" t="s">
        <v>35</v>
      </c>
      <c r="N734" s="6">
        <v>12</v>
      </c>
      <c r="O734" t="s">
        <v>2531</v>
      </c>
      <c r="P734">
        <f t="shared" si="11"/>
        <v>42</v>
      </c>
    </row>
    <row r="735" spans="1:16" x14ac:dyDescent="0.2">
      <c r="A735" t="s">
        <v>2197</v>
      </c>
      <c r="B735" t="s">
        <v>64</v>
      </c>
      <c r="C735" t="s">
        <v>92</v>
      </c>
      <c r="D735" s="4">
        <v>32590</v>
      </c>
      <c r="E735" s="4">
        <v>45421</v>
      </c>
      <c r="F735" s="9">
        <v>45429</v>
      </c>
      <c r="G735" t="s">
        <v>18</v>
      </c>
      <c r="H735" t="s">
        <v>2529</v>
      </c>
      <c r="I735" t="s">
        <v>2534</v>
      </c>
      <c r="J735" s="7">
        <v>893964</v>
      </c>
      <c r="K735" t="s">
        <v>43</v>
      </c>
      <c r="L735" t="s">
        <v>34</v>
      </c>
      <c r="M735" t="s">
        <v>24</v>
      </c>
      <c r="N735" s="6">
        <v>8</v>
      </c>
      <c r="O735" t="s">
        <v>25</v>
      </c>
      <c r="P735">
        <f t="shared" si="11"/>
        <v>35</v>
      </c>
    </row>
    <row r="736" spans="1:16" x14ac:dyDescent="0.2">
      <c r="A736" t="s">
        <v>2198</v>
      </c>
      <c r="B736" t="s">
        <v>150</v>
      </c>
      <c r="C736" t="s">
        <v>92</v>
      </c>
      <c r="D736" s="4">
        <v>33614</v>
      </c>
      <c r="E736" s="4">
        <v>45310</v>
      </c>
      <c r="F736" s="9">
        <v>45318</v>
      </c>
      <c r="G736" t="s">
        <v>46</v>
      </c>
      <c r="H736" t="s">
        <v>30</v>
      </c>
      <c r="I736" t="s">
        <v>2533</v>
      </c>
      <c r="J736" s="7">
        <v>939228</v>
      </c>
      <c r="K736" t="s">
        <v>43</v>
      </c>
      <c r="L736" t="s">
        <v>2527</v>
      </c>
      <c r="M736" t="s">
        <v>78</v>
      </c>
      <c r="N736" s="6">
        <v>8</v>
      </c>
      <c r="O736" t="s">
        <v>2531</v>
      </c>
      <c r="P736">
        <f t="shared" si="11"/>
        <v>32</v>
      </c>
    </row>
    <row r="737" spans="1:16" x14ac:dyDescent="0.2">
      <c r="A737" t="s">
        <v>2199</v>
      </c>
      <c r="B737" t="s">
        <v>64</v>
      </c>
      <c r="C737" t="s">
        <v>28</v>
      </c>
      <c r="D737" s="4">
        <v>37097</v>
      </c>
      <c r="E737" s="4">
        <v>45293</v>
      </c>
      <c r="F737" s="9" t="s">
        <v>2536</v>
      </c>
      <c r="G737" t="s">
        <v>50</v>
      </c>
      <c r="H737" t="s">
        <v>2528</v>
      </c>
      <c r="I737" t="s">
        <v>2533</v>
      </c>
      <c r="J737" s="7">
        <v>1428000</v>
      </c>
      <c r="K737" t="s">
        <v>48</v>
      </c>
      <c r="L737" t="s">
        <v>2527</v>
      </c>
      <c r="M737" t="s">
        <v>24</v>
      </c>
      <c r="N737" s="6" t="s">
        <v>2525</v>
      </c>
      <c r="O737" t="s">
        <v>25</v>
      </c>
      <c r="P737">
        <f t="shared" si="11"/>
        <v>23</v>
      </c>
    </row>
    <row r="738" spans="1:16" x14ac:dyDescent="0.2">
      <c r="A738" t="s">
        <v>2200</v>
      </c>
      <c r="B738" t="s">
        <v>102</v>
      </c>
      <c r="C738" t="s">
        <v>28</v>
      </c>
      <c r="D738" s="4">
        <v>37166</v>
      </c>
      <c r="E738" s="4">
        <v>45340</v>
      </c>
      <c r="F738" s="9">
        <v>45343</v>
      </c>
      <c r="G738" t="s">
        <v>88</v>
      </c>
      <c r="H738" t="s">
        <v>66</v>
      </c>
      <c r="I738" t="s">
        <v>2535</v>
      </c>
      <c r="J738" s="7">
        <v>678960</v>
      </c>
      <c r="K738" t="s">
        <v>43</v>
      </c>
      <c r="L738" t="s">
        <v>2527</v>
      </c>
      <c r="M738" t="s">
        <v>35</v>
      </c>
      <c r="N738" s="6">
        <v>3</v>
      </c>
      <c r="O738" t="s">
        <v>25</v>
      </c>
      <c r="P738">
        <f t="shared" si="11"/>
        <v>23</v>
      </c>
    </row>
    <row r="739" spans="1:16" x14ac:dyDescent="0.2">
      <c r="A739" t="s">
        <v>2201</v>
      </c>
      <c r="B739" t="s">
        <v>51</v>
      </c>
      <c r="C739" t="s">
        <v>28</v>
      </c>
      <c r="D739" s="4">
        <v>28190</v>
      </c>
      <c r="E739" s="4">
        <v>45400</v>
      </c>
      <c r="F739" s="9">
        <v>45415</v>
      </c>
      <c r="G739" t="s">
        <v>83</v>
      </c>
      <c r="H739" t="s">
        <v>66</v>
      </c>
      <c r="I739" t="s">
        <v>67</v>
      </c>
      <c r="J739" s="7">
        <v>3772000</v>
      </c>
      <c r="K739" t="s">
        <v>71</v>
      </c>
      <c r="L739" t="s">
        <v>34</v>
      </c>
      <c r="M739" t="s">
        <v>78</v>
      </c>
      <c r="N739" s="6">
        <v>15</v>
      </c>
      <c r="O739" t="s">
        <v>2531</v>
      </c>
      <c r="P739">
        <f t="shared" si="11"/>
        <v>47</v>
      </c>
    </row>
    <row r="740" spans="1:16" x14ac:dyDescent="0.2">
      <c r="A740" t="s">
        <v>1110</v>
      </c>
      <c r="B740" t="s">
        <v>118</v>
      </c>
      <c r="C740" t="s">
        <v>92</v>
      </c>
      <c r="D740" s="4">
        <v>32905</v>
      </c>
      <c r="E740" s="4">
        <v>45394</v>
      </c>
      <c r="F740" s="9">
        <v>45401</v>
      </c>
      <c r="G740" t="s">
        <v>74</v>
      </c>
      <c r="H740" t="s">
        <v>2528</v>
      </c>
      <c r="I740" t="s">
        <v>2535</v>
      </c>
      <c r="J740" s="7">
        <v>4843248</v>
      </c>
      <c r="K740" t="s">
        <v>48</v>
      </c>
      <c r="L740" t="s">
        <v>23</v>
      </c>
      <c r="M740" t="s">
        <v>35</v>
      </c>
      <c r="N740" s="6">
        <v>7</v>
      </c>
      <c r="O740" t="s">
        <v>2531</v>
      </c>
      <c r="P740">
        <f t="shared" si="11"/>
        <v>34</v>
      </c>
    </row>
    <row r="741" spans="1:16" x14ac:dyDescent="0.2">
      <c r="A741" t="s">
        <v>2202</v>
      </c>
      <c r="B741" t="s">
        <v>59</v>
      </c>
      <c r="C741" t="s">
        <v>28</v>
      </c>
      <c r="D741" s="4">
        <v>24522</v>
      </c>
      <c r="E741" s="4">
        <v>45315</v>
      </c>
      <c r="F741" s="9">
        <v>45324</v>
      </c>
      <c r="G741" t="s">
        <v>100</v>
      </c>
      <c r="H741" t="s">
        <v>61</v>
      </c>
      <c r="I741" t="s">
        <v>67</v>
      </c>
      <c r="J741" s="7">
        <v>3311816</v>
      </c>
      <c r="K741" t="s">
        <v>71</v>
      </c>
      <c r="L741" t="s">
        <v>34</v>
      </c>
      <c r="M741" t="s">
        <v>78</v>
      </c>
      <c r="N741" s="6">
        <v>9</v>
      </c>
      <c r="O741" t="s">
        <v>25</v>
      </c>
      <c r="P741">
        <f t="shared" si="11"/>
        <v>57</v>
      </c>
    </row>
    <row r="742" spans="1:16" x14ac:dyDescent="0.2">
      <c r="A742" t="s">
        <v>2203</v>
      </c>
      <c r="B742" t="s">
        <v>45</v>
      </c>
      <c r="C742" t="s">
        <v>28</v>
      </c>
      <c r="D742" s="4">
        <v>21031</v>
      </c>
      <c r="E742" s="4">
        <v>45412</v>
      </c>
      <c r="F742" s="9">
        <v>45417</v>
      </c>
      <c r="G742" t="s">
        <v>88</v>
      </c>
      <c r="H742" t="s">
        <v>66</v>
      </c>
      <c r="I742" t="s">
        <v>41</v>
      </c>
      <c r="J742" s="7">
        <v>2297148</v>
      </c>
      <c r="K742" t="s">
        <v>43</v>
      </c>
      <c r="L742" t="s">
        <v>34</v>
      </c>
      <c r="M742" t="s">
        <v>35</v>
      </c>
      <c r="N742" s="6">
        <v>5</v>
      </c>
      <c r="O742" t="s">
        <v>2531</v>
      </c>
      <c r="P742">
        <f t="shared" si="11"/>
        <v>67</v>
      </c>
    </row>
    <row r="743" spans="1:16" x14ac:dyDescent="0.2">
      <c r="A743" t="s">
        <v>2204</v>
      </c>
      <c r="B743" t="s">
        <v>80</v>
      </c>
      <c r="C743" t="s">
        <v>92</v>
      </c>
      <c r="D743" s="4">
        <v>37800</v>
      </c>
      <c r="E743" s="4">
        <v>45461</v>
      </c>
      <c r="F743" s="9">
        <v>45468</v>
      </c>
      <c r="G743" t="s">
        <v>29</v>
      </c>
      <c r="H743" t="s">
        <v>19</v>
      </c>
      <c r="I743" t="s">
        <v>67</v>
      </c>
      <c r="J743" s="7">
        <v>4383064</v>
      </c>
      <c r="K743" t="s">
        <v>48</v>
      </c>
      <c r="L743" t="s">
        <v>2527</v>
      </c>
      <c r="M743" t="s">
        <v>35</v>
      </c>
      <c r="N743" s="6">
        <v>7</v>
      </c>
      <c r="O743" t="s">
        <v>36</v>
      </c>
      <c r="P743">
        <f t="shared" si="11"/>
        <v>21</v>
      </c>
    </row>
    <row r="744" spans="1:16" x14ac:dyDescent="0.2">
      <c r="A744" t="s">
        <v>1114</v>
      </c>
      <c r="B744" t="s">
        <v>45</v>
      </c>
      <c r="C744" t="s">
        <v>28</v>
      </c>
      <c r="D744" s="4">
        <v>38754</v>
      </c>
      <c r="E744" s="4">
        <v>45359</v>
      </c>
      <c r="F744" s="9" t="s">
        <v>2536</v>
      </c>
      <c r="G744" t="s">
        <v>88</v>
      </c>
      <c r="H744" t="s">
        <v>66</v>
      </c>
      <c r="I744" t="s">
        <v>67</v>
      </c>
      <c r="J744" s="7">
        <v>4009636</v>
      </c>
      <c r="K744" t="s">
        <v>48</v>
      </c>
      <c r="L744" t="s">
        <v>2527</v>
      </c>
      <c r="M744" t="s">
        <v>35</v>
      </c>
      <c r="N744" s="6" t="s">
        <v>2525</v>
      </c>
      <c r="O744" t="s">
        <v>2531</v>
      </c>
      <c r="P744">
        <f t="shared" si="11"/>
        <v>18</v>
      </c>
    </row>
    <row r="745" spans="1:16" x14ac:dyDescent="0.2">
      <c r="A745" t="s">
        <v>2205</v>
      </c>
      <c r="B745" t="s">
        <v>105</v>
      </c>
      <c r="C745" t="s">
        <v>28</v>
      </c>
      <c r="D745" s="4">
        <v>23446</v>
      </c>
      <c r="E745" s="4">
        <v>45295</v>
      </c>
      <c r="F745" s="9">
        <v>45297</v>
      </c>
      <c r="G745" t="s">
        <v>74</v>
      </c>
      <c r="H745" t="s">
        <v>2528</v>
      </c>
      <c r="I745" t="s">
        <v>2533</v>
      </c>
      <c r="J745" s="7">
        <v>3964372</v>
      </c>
      <c r="K745" t="s">
        <v>43</v>
      </c>
      <c r="L745" t="s">
        <v>2527</v>
      </c>
      <c r="M745" t="s">
        <v>35</v>
      </c>
      <c r="N745" s="6">
        <v>2</v>
      </c>
      <c r="O745" t="s">
        <v>2531</v>
      </c>
      <c r="P745">
        <f t="shared" si="11"/>
        <v>60</v>
      </c>
    </row>
    <row r="746" spans="1:16" x14ac:dyDescent="0.2">
      <c r="A746" t="s">
        <v>1117</v>
      </c>
      <c r="B746" t="s">
        <v>45</v>
      </c>
      <c r="C746" t="s">
        <v>28</v>
      </c>
      <c r="D746" s="4">
        <v>33648</v>
      </c>
      <c r="E746" s="4">
        <v>45324</v>
      </c>
      <c r="F746" s="9">
        <v>45330</v>
      </c>
      <c r="G746" t="s">
        <v>100</v>
      </c>
      <c r="H746" t="s">
        <v>61</v>
      </c>
      <c r="I746" t="s">
        <v>2534</v>
      </c>
      <c r="J746" s="7">
        <v>4786668</v>
      </c>
      <c r="K746" t="s">
        <v>48</v>
      </c>
      <c r="L746" t="s">
        <v>23</v>
      </c>
      <c r="M746" t="s">
        <v>24</v>
      </c>
      <c r="N746" s="6">
        <v>6</v>
      </c>
      <c r="O746" t="s">
        <v>25</v>
      </c>
      <c r="P746">
        <f t="shared" si="11"/>
        <v>32</v>
      </c>
    </row>
    <row r="747" spans="1:16" x14ac:dyDescent="0.2">
      <c r="A747" t="s">
        <v>1119</v>
      </c>
      <c r="B747" t="s">
        <v>150</v>
      </c>
      <c r="C747" t="s">
        <v>28</v>
      </c>
      <c r="D747" s="4">
        <v>21370</v>
      </c>
      <c r="E747" s="4">
        <v>45364</v>
      </c>
      <c r="F747" s="9">
        <v>45369</v>
      </c>
      <c r="G747" t="s">
        <v>72</v>
      </c>
      <c r="H747" t="s">
        <v>2529</v>
      </c>
      <c r="I747" t="s">
        <v>2533</v>
      </c>
      <c r="J747" s="7">
        <v>3661000</v>
      </c>
      <c r="K747" t="s">
        <v>48</v>
      </c>
      <c r="L747" t="s">
        <v>2527</v>
      </c>
      <c r="M747" t="s">
        <v>78</v>
      </c>
      <c r="N747" s="6">
        <v>5</v>
      </c>
      <c r="O747" t="s">
        <v>2531</v>
      </c>
      <c r="P747">
        <f t="shared" si="11"/>
        <v>66</v>
      </c>
    </row>
    <row r="748" spans="1:16" x14ac:dyDescent="0.2">
      <c r="A748" t="s">
        <v>2206</v>
      </c>
      <c r="B748" t="s">
        <v>80</v>
      </c>
      <c r="C748" t="s">
        <v>28</v>
      </c>
      <c r="D748" s="4">
        <v>30880</v>
      </c>
      <c r="E748" s="4">
        <v>45342</v>
      </c>
      <c r="F748" s="9" t="s">
        <v>2536</v>
      </c>
      <c r="G748" t="s">
        <v>72</v>
      </c>
      <c r="H748" t="s">
        <v>2529</v>
      </c>
      <c r="I748" t="s">
        <v>41</v>
      </c>
      <c r="J748" s="7">
        <v>2214164</v>
      </c>
      <c r="K748" t="s">
        <v>71</v>
      </c>
      <c r="L748" t="s">
        <v>2527</v>
      </c>
      <c r="M748" t="s">
        <v>35</v>
      </c>
      <c r="N748" s="6" t="s">
        <v>2525</v>
      </c>
      <c r="O748" t="s">
        <v>36</v>
      </c>
      <c r="P748">
        <f t="shared" si="11"/>
        <v>40</v>
      </c>
    </row>
    <row r="749" spans="1:16" x14ac:dyDescent="0.2">
      <c r="A749" t="s">
        <v>1123</v>
      </c>
      <c r="B749" t="s">
        <v>119</v>
      </c>
      <c r="C749" t="s">
        <v>28</v>
      </c>
      <c r="D749" s="4">
        <v>33078</v>
      </c>
      <c r="E749" s="4">
        <v>45408</v>
      </c>
      <c r="F749" s="9">
        <v>45410</v>
      </c>
      <c r="G749" t="s">
        <v>72</v>
      </c>
      <c r="H749" t="s">
        <v>2529</v>
      </c>
      <c r="I749" t="s">
        <v>2535</v>
      </c>
      <c r="J749" s="7">
        <v>2765000</v>
      </c>
      <c r="K749" t="s">
        <v>48</v>
      </c>
      <c r="L749" t="s">
        <v>2527</v>
      </c>
      <c r="M749" t="s">
        <v>78</v>
      </c>
      <c r="N749" s="6">
        <v>2</v>
      </c>
      <c r="O749" t="s">
        <v>2531</v>
      </c>
      <c r="P749">
        <f t="shared" si="11"/>
        <v>34</v>
      </c>
    </row>
    <row r="750" spans="1:16" x14ac:dyDescent="0.2">
      <c r="A750" t="s">
        <v>2207</v>
      </c>
      <c r="B750" t="s">
        <v>16</v>
      </c>
      <c r="C750" t="s">
        <v>28</v>
      </c>
      <c r="D750" s="4">
        <v>29482</v>
      </c>
      <c r="E750" s="4">
        <v>45308</v>
      </c>
      <c r="F750" s="9">
        <v>45309</v>
      </c>
      <c r="G750" t="s">
        <v>74</v>
      </c>
      <c r="H750" t="s">
        <v>2528</v>
      </c>
      <c r="I750" t="s">
        <v>2533</v>
      </c>
      <c r="J750" s="7">
        <v>1233444</v>
      </c>
      <c r="K750" t="s">
        <v>43</v>
      </c>
      <c r="L750" t="s">
        <v>2527</v>
      </c>
      <c r="M750" t="s">
        <v>35</v>
      </c>
      <c r="N750" s="6">
        <v>1</v>
      </c>
      <c r="O750" t="s">
        <v>36</v>
      </c>
      <c r="P750">
        <f t="shared" si="11"/>
        <v>44</v>
      </c>
    </row>
    <row r="751" spans="1:16" x14ac:dyDescent="0.2">
      <c r="A751" t="s">
        <v>2208</v>
      </c>
      <c r="B751" t="s">
        <v>27</v>
      </c>
      <c r="C751" t="s">
        <v>92</v>
      </c>
      <c r="D751" s="4">
        <v>34802</v>
      </c>
      <c r="E751" s="4">
        <v>45393</v>
      </c>
      <c r="F751" s="9" t="s">
        <v>2536</v>
      </c>
      <c r="G751" t="s">
        <v>72</v>
      </c>
      <c r="H751" t="s">
        <v>2529</v>
      </c>
      <c r="I751" t="s">
        <v>41</v>
      </c>
      <c r="J751" s="7">
        <v>505448</v>
      </c>
      <c r="K751" t="s">
        <v>48</v>
      </c>
      <c r="L751" t="s">
        <v>23</v>
      </c>
      <c r="M751" t="s">
        <v>24</v>
      </c>
      <c r="N751" s="6" t="s">
        <v>2525</v>
      </c>
      <c r="O751" t="s">
        <v>25</v>
      </c>
      <c r="P751">
        <f t="shared" si="11"/>
        <v>29</v>
      </c>
    </row>
    <row r="752" spans="1:16" x14ac:dyDescent="0.2">
      <c r="A752" t="s">
        <v>2209</v>
      </c>
      <c r="B752" t="s">
        <v>102</v>
      </c>
      <c r="C752" t="s">
        <v>92</v>
      </c>
      <c r="D752" s="4">
        <v>25814</v>
      </c>
      <c r="E752" s="4">
        <v>45387</v>
      </c>
      <c r="F752" s="9" t="s">
        <v>2536</v>
      </c>
      <c r="G752" t="s">
        <v>46</v>
      </c>
      <c r="H752" t="s">
        <v>30</v>
      </c>
      <c r="I752" t="s">
        <v>2534</v>
      </c>
      <c r="J752" s="7">
        <v>5152552</v>
      </c>
      <c r="K752" t="s">
        <v>48</v>
      </c>
      <c r="L752" t="s">
        <v>2527</v>
      </c>
      <c r="M752" t="s">
        <v>35</v>
      </c>
      <c r="N752" s="6" t="s">
        <v>2525</v>
      </c>
      <c r="O752" t="s">
        <v>36</v>
      </c>
      <c r="P752">
        <f t="shared" si="11"/>
        <v>54</v>
      </c>
    </row>
    <row r="753" spans="1:16" x14ac:dyDescent="0.2">
      <c r="A753" t="s">
        <v>2210</v>
      </c>
      <c r="B753" t="s">
        <v>118</v>
      </c>
      <c r="C753" t="s">
        <v>92</v>
      </c>
      <c r="D753" s="4">
        <v>32067</v>
      </c>
      <c r="E753" s="4">
        <v>45411</v>
      </c>
      <c r="F753" s="9" t="s">
        <v>2536</v>
      </c>
      <c r="G753" t="s">
        <v>60</v>
      </c>
      <c r="H753" t="s">
        <v>66</v>
      </c>
      <c r="I753" t="s">
        <v>67</v>
      </c>
      <c r="J753" s="7">
        <v>2149000</v>
      </c>
      <c r="K753" t="s">
        <v>48</v>
      </c>
      <c r="L753" t="s">
        <v>34</v>
      </c>
      <c r="M753" t="s">
        <v>35</v>
      </c>
      <c r="N753" s="6" t="s">
        <v>2525</v>
      </c>
      <c r="O753" t="s">
        <v>25</v>
      </c>
      <c r="P753">
        <f t="shared" si="11"/>
        <v>37</v>
      </c>
    </row>
    <row r="754" spans="1:16" x14ac:dyDescent="0.2">
      <c r="A754" t="s">
        <v>2211</v>
      </c>
      <c r="B754" t="s">
        <v>140</v>
      </c>
      <c r="C754" t="s">
        <v>39</v>
      </c>
      <c r="D754" s="4">
        <v>26209</v>
      </c>
      <c r="E754" s="4">
        <v>45332</v>
      </c>
      <c r="F754" s="9">
        <v>45336</v>
      </c>
      <c r="G754" t="s">
        <v>83</v>
      </c>
      <c r="H754" t="s">
        <v>66</v>
      </c>
      <c r="I754" t="s">
        <v>67</v>
      </c>
      <c r="J754" s="7">
        <v>2508380</v>
      </c>
      <c r="K754" t="s">
        <v>71</v>
      </c>
      <c r="L754" t="s">
        <v>34</v>
      </c>
      <c r="M754" t="s">
        <v>24</v>
      </c>
      <c r="N754" s="6">
        <v>4</v>
      </c>
      <c r="O754" t="s">
        <v>25</v>
      </c>
      <c r="P754">
        <f t="shared" si="11"/>
        <v>53</v>
      </c>
    </row>
    <row r="755" spans="1:16" x14ac:dyDescent="0.2">
      <c r="A755" t="s">
        <v>1131</v>
      </c>
      <c r="B755" t="s">
        <v>114</v>
      </c>
      <c r="C755" t="s">
        <v>28</v>
      </c>
      <c r="D755" s="4">
        <v>27290</v>
      </c>
      <c r="E755" s="4">
        <v>45294</v>
      </c>
      <c r="F755" s="9">
        <v>45303</v>
      </c>
      <c r="G755" t="s">
        <v>72</v>
      </c>
      <c r="H755" t="s">
        <v>2529</v>
      </c>
      <c r="I755" t="s">
        <v>2533</v>
      </c>
      <c r="J755" s="7">
        <v>2168900</v>
      </c>
      <c r="K755" t="s">
        <v>48</v>
      </c>
      <c r="L755" t="s">
        <v>34</v>
      </c>
      <c r="M755" t="s">
        <v>24</v>
      </c>
      <c r="N755" s="6">
        <v>9</v>
      </c>
      <c r="O755" t="s">
        <v>25</v>
      </c>
      <c r="P755">
        <f t="shared" si="11"/>
        <v>50</v>
      </c>
    </row>
    <row r="756" spans="1:16" x14ac:dyDescent="0.2">
      <c r="A756" t="s">
        <v>1132</v>
      </c>
      <c r="B756" t="s">
        <v>59</v>
      </c>
      <c r="C756" t="s">
        <v>92</v>
      </c>
      <c r="D756" s="4">
        <v>19606</v>
      </c>
      <c r="E756" s="4">
        <v>45357</v>
      </c>
      <c r="F756" s="9">
        <v>45364</v>
      </c>
      <c r="G756" t="s">
        <v>100</v>
      </c>
      <c r="H756" t="s">
        <v>61</v>
      </c>
      <c r="I756" t="s">
        <v>2533</v>
      </c>
      <c r="J756" s="7">
        <v>2112320</v>
      </c>
      <c r="K756" t="s">
        <v>48</v>
      </c>
      <c r="L756" t="s">
        <v>2527</v>
      </c>
      <c r="M756" t="s">
        <v>35</v>
      </c>
      <c r="N756" s="6">
        <v>7</v>
      </c>
      <c r="O756" t="s">
        <v>36</v>
      </c>
      <c r="P756">
        <f t="shared" si="11"/>
        <v>71</v>
      </c>
    </row>
    <row r="757" spans="1:16" x14ac:dyDescent="0.2">
      <c r="A757" t="s">
        <v>2212</v>
      </c>
      <c r="B757" t="s">
        <v>82</v>
      </c>
      <c r="C757" t="s">
        <v>28</v>
      </c>
      <c r="D757" s="4">
        <v>20120</v>
      </c>
      <c r="E757" s="4">
        <v>45363</v>
      </c>
      <c r="F757" s="9">
        <v>45374</v>
      </c>
      <c r="G757" t="s">
        <v>29</v>
      </c>
      <c r="H757" t="s">
        <v>19</v>
      </c>
      <c r="I757" t="s">
        <v>41</v>
      </c>
      <c r="J757" s="7">
        <v>2149000</v>
      </c>
      <c r="K757" t="s">
        <v>48</v>
      </c>
      <c r="L757" t="s">
        <v>34</v>
      </c>
      <c r="M757" t="s">
        <v>35</v>
      </c>
      <c r="N757" s="6">
        <v>11</v>
      </c>
      <c r="O757" t="s">
        <v>25</v>
      </c>
      <c r="P757">
        <f t="shared" si="11"/>
        <v>69</v>
      </c>
    </row>
    <row r="758" spans="1:16" x14ac:dyDescent="0.2">
      <c r="A758" t="s">
        <v>2213</v>
      </c>
      <c r="B758" t="s">
        <v>56</v>
      </c>
      <c r="C758" t="s">
        <v>28</v>
      </c>
      <c r="D758" s="4">
        <v>37632</v>
      </c>
      <c r="E758" s="4">
        <v>45462</v>
      </c>
      <c r="F758" s="9" t="s">
        <v>2536</v>
      </c>
      <c r="G758" t="s">
        <v>100</v>
      </c>
      <c r="H758" t="s">
        <v>61</v>
      </c>
      <c r="I758" t="s">
        <v>2535</v>
      </c>
      <c r="J758" s="7">
        <v>4745176</v>
      </c>
      <c r="K758" t="s">
        <v>43</v>
      </c>
      <c r="L758" t="s">
        <v>2527</v>
      </c>
      <c r="M758" t="s">
        <v>35</v>
      </c>
      <c r="N758" s="6" t="s">
        <v>2525</v>
      </c>
      <c r="O758" t="s">
        <v>2531</v>
      </c>
      <c r="P758">
        <f t="shared" si="11"/>
        <v>21</v>
      </c>
    </row>
    <row r="759" spans="1:16" x14ac:dyDescent="0.2">
      <c r="A759" t="s">
        <v>1136</v>
      </c>
      <c r="B759" t="s">
        <v>119</v>
      </c>
      <c r="C759" t="s">
        <v>92</v>
      </c>
      <c r="D759" s="4">
        <v>22113</v>
      </c>
      <c r="E759" s="4">
        <v>45384</v>
      </c>
      <c r="F759" s="9">
        <v>45396</v>
      </c>
      <c r="G759" t="s">
        <v>83</v>
      </c>
      <c r="H759" t="s">
        <v>66</v>
      </c>
      <c r="I759" t="s">
        <v>41</v>
      </c>
      <c r="J759" s="7">
        <v>3775772</v>
      </c>
      <c r="K759" t="s">
        <v>43</v>
      </c>
      <c r="L759" t="s">
        <v>34</v>
      </c>
      <c r="M759" t="s">
        <v>78</v>
      </c>
      <c r="N759" s="6">
        <v>12</v>
      </c>
      <c r="O759" t="s">
        <v>2531</v>
      </c>
      <c r="P759">
        <f t="shared" si="11"/>
        <v>64</v>
      </c>
    </row>
    <row r="760" spans="1:16" x14ac:dyDescent="0.2">
      <c r="A760" t="s">
        <v>2214</v>
      </c>
      <c r="B760" t="s">
        <v>64</v>
      </c>
      <c r="C760" t="s">
        <v>28</v>
      </c>
      <c r="D760" s="4">
        <v>36841</v>
      </c>
      <c r="E760" s="4">
        <v>45298</v>
      </c>
      <c r="F760" s="9" t="s">
        <v>2536</v>
      </c>
      <c r="G760" t="s">
        <v>29</v>
      </c>
      <c r="H760" t="s">
        <v>19</v>
      </c>
      <c r="I760" t="s">
        <v>67</v>
      </c>
      <c r="J760" s="7">
        <v>3622500</v>
      </c>
      <c r="K760" t="s">
        <v>48</v>
      </c>
      <c r="L760" t="s">
        <v>2527</v>
      </c>
      <c r="M760" t="s">
        <v>78</v>
      </c>
      <c r="N760" s="6" t="s">
        <v>2525</v>
      </c>
      <c r="O760" t="s">
        <v>36</v>
      </c>
      <c r="P760">
        <f t="shared" si="11"/>
        <v>24</v>
      </c>
    </row>
    <row r="761" spans="1:16" x14ac:dyDescent="0.2">
      <c r="A761" t="s">
        <v>2215</v>
      </c>
      <c r="B761" t="s">
        <v>80</v>
      </c>
      <c r="C761" t="s">
        <v>92</v>
      </c>
      <c r="D761" s="4">
        <v>33278</v>
      </c>
      <c r="E761" s="4">
        <v>45333</v>
      </c>
      <c r="F761" s="9">
        <v>45347</v>
      </c>
      <c r="G761" t="s">
        <v>29</v>
      </c>
      <c r="H761" t="s">
        <v>19</v>
      </c>
      <c r="I761" t="s">
        <v>2533</v>
      </c>
      <c r="J761" s="7">
        <v>1704944</v>
      </c>
      <c r="K761" t="s">
        <v>48</v>
      </c>
      <c r="L761" t="s">
        <v>2527</v>
      </c>
      <c r="M761" t="s">
        <v>78</v>
      </c>
      <c r="N761" s="6">
        <v>14</v>
      </c>
      <c r="O761" t="s">
        <v>25</v>
      </c>
      <c r="P761">
        <f t="shared" si="11"/>
        <v>33</v>
      </c>
    </row>
    <row r="762" spans="1:16" x14ac:dyDescent="0.2">
      <c r="A762" t="s">
        <v>2216</v>
      </c>
      <c r="B762" t="s">
        <v>45</v>
      </c>
      <c r="C762" t="s">
        <v>92</v>
      </c>
      <c r="D762" s="4">
        <v>21227</v>
      </c>
      <c r="E762" s="4">
        <v>45372</v>
      </c>
      <c r="F762" s="9">
        <v>45385</v>
      </c>
      <c r="G762" t="s">
        <v>50</v>
      </c>
      <c r="H762" t="s">
        <v>2528</v>
      </c>
      <c r="I762" t="s">
        <v>41</v>
      </c>
      <c r="J762" s="7">
        <v>3829000</v>
      </c>
      <c r="K762" t="s">
        <v>48</v>
      </c>
      <c r="L762" t="s">
        <v>2527</v>
      </c>
      <c r="M762" t="s">
        <v>78</v>
      </c>
      <c r="N762" s="6">
        <v>13</v>
      </c>
      <c r="O762" t="s">
        <v>36</v>
      </c>
      <c r="P762">
        <f t="shared" si="11"/>
        <v>66</v>
      </c>
    </row>
    <row r="763" spans="1:16" x14ac:dyDescent="0.2">
      <c r="A763" t="s">
        <v>1138</v>
      </c>
      <c r="B763" t="s">
        <v>16</v>
      </c>
      <c r="C763" t="s">
        <v>28</v>
      </c>
      <c r="D763" s="4">
        <v>37329</v>
      </c>
      <c r="E763" s="4">
        <v>45421</v>
      </c>
      <c r="F763" s="9">
        <v>45430</v>
      </c>
      <c r="G763" t="s">
        <v>29</v>
      </c>
      <c r="H763" t="s">
        <v>19</v>
      </c>
      <c r="I763" t="s">
        <v>2534</v>
      </c>
      <c r="J763" s="7">
        <v>961860</v>
      </c>
      <c r="K763" t="s">
        <v>48</v>
      </c>
      <c r="L763" t="s">
        <v>34</v>
      </c>
      <c r="M763" t="s">
        <v>24</v>
      </c>
      <c r="N763" s="6">
        <v>9</v>
      </c>
      <c r="O763" t="s">
        <v>2531</v>
      </c>
      <c r="P763">
        <f t="shared" si="11"/>
        <v>22</v>
      </c>
    </row>
    <row r="764" spans="1:16" x14ac:dyDescent="0.2">
      <c r="A764" t="s">
        <v>2217</v>
      </c>
      <c r="B764" t="s">
        <v>38</v>
      </c>
      <c r="C764" t="s">
        <v>28</v>
      </c>
      <c r="D764" s="4">
        <v>29410</v>
      </c>
      <c r="E764" s="4">
        <v>45393</v>
      </c>
      <c r="F764" s="9">
        <v>45395</v>
      </c>
      <c r="G764" t="s">
        <v>18</v>
      </c>
      <c r="H764" t="s">
        <v>2529</v>
      </c>
      <c r="I764" t="s">
        <v>67</v>
      </c>
      <c r="J764" s="7">
        <v>2878036</v>
      </c>
      <c r="K764" t="s">
        <v>71</v>
      </c>
      <c r="L764" t="s">
        <v>34</v>
      </c>
      <c r="M764" t="s">
        <v>35</v>
      </c>
      <c r="N764" s="6">
        <v>2</v>
      </c>
      <c r="O764" t="s">
        <v>36</v>
      </c>
      <c r="P764">
        <f t="shared" si="11"/>
        <v>44</v>
      </c>
    </row>
    <row r="765" spans="1:16" x14ac:dyDescent="0.2">
      <c r="A765" t="s">
        <v>1140</v>
      </c>
      <c r="B765" t="s">
        <v>56</v>
      </c>
      <c r="C765" t="s">
        <v>28</v>
      </c>
      <c r="D765" s="4">
        <v>25439</v>
      </c>
      <c r="E765" s="4">
        <v>45349</v>
      </c>
      <c r="F765" s="9">
        <v>45353</v>
      </c>
      <c r="G765" t="s">
        <v>88</v>
      </c>
      <c r="H765" t="s">
        <v>66</v>
      </c>
      <c r="I765" t="s">
        <v>67</v>
      </c>
      <c r="J765" s="7">
        <v>535624</v>
      </c>
      <c r="K765" t="s">
        <v>71</v>
      </c>
      <c r="L765" t="s">
        <v>2527</v>
      </c>
      <c r="M765" t="s">
        <v>24</v>
      </c>
      <c r="N765" s="6">
        <v>4</v>
      </c>
      <c r="O765" t="s">
        <v>25</v>
      </c>
      <c r="P765">
        <f t="shared" si="11"/>
        <v>55</v>
      </c>
    </row>
    <row r="766" spans="1:16" x14ac:dyDescent="0.2">
      <c r="A766" t="s">
        <v>2218</v>
      </c>
      <c r="B766" t="s">
        <v>140</v>
      </c>
      <c r="C766" t="s">
        <v>39</v>
      </c>
      <c r="D766" s="4">
        <v>35256</v>
      </c>
      <c r="E766" s="4">
        <v>45452</v>
      </c>
      <c r="F766" s="9">
        <v>45464</v>
      </c>
      <c r="G766" t="s">
        <v>60</v>
      </c>
      <c r="H766" t="s">
        <v>66</v>
      </c>
      <c r="I766" t="s">
        <v>2533</v>
      </c>
      <c r="J766" s="7">
        <v>3191112</v>
      </c>
      <c r="K766" t="s">
        <v>48</v>
      </c>
      <c r="L766" t="s">
        <v>2527</v>
      </c>
      <c r="M766" t="s">
        <v>35</v>
      </c>
      <c r="N766" s="6">
        <v>12</v>
      </c>
      <c r="O766" t="s">
        <v>36</v>
      </c>
      <c r="P766">
        <f t="shared" si="11"/>
        <v>28</v>
      </c>
    </row>
    <row r="767" spans="1:16" x14ac:dyDescent="0.2">
      <c r="A767" t="s">
        <v>2219</v>
      </c>
      <c r="B767" t="s">
        <v>91</v>
      </c>
      <c r="C767" t="s">
        <v>39</v>
      </c>
      <c r="D767" s="4">
        <v>35902</v>
      </c>
      <c r="E767" s="4">
        <v>45316</v>
      </c>
      <c r="F767" s="9">
        <v>45318</v>
      </c>
      <c r="G767" t="s">
        <v>83</v>
      </c>
      <c r="H767" t="s">
        <v>66</v>
      </c>
      <c r="I767" t="s">
        <v>2534</v>
      </c>
      <c r="J767" s="7">
        <v>5356240</v>
      </c>
      <c r="K767" t="s">
        <v>71</v>
      </c>
      <c r="L767" t="s">
        <v>2527</v>
      </c>
      <c r="M767" t="s">
        <v>24</v>
      </c>
      <c r="N767" s="6">
        <v>2</v>
      </c>
      <c r="O767" t="s">
        <v>2531</v>
      </c>
      <c r="P767">
        <f t="shared" si="11"/>
        <v>26</v>
      </c>
    </row>
    <row r="768" spans="1:16" x14ac:dyDescent="0.2">
      <c r="A768" t="s">
        <v>2220</v>
      </c>
      <c r="B768" t="s">
        <v>56</v>
      </c>
      <c r="C768" t="s">
        <v>92</v>
      </c>
      <c r="D768" s="4">
        <v>32556</v>
      </c>
      <c r="E768" s="4">
        <v>45335</v>
      </c>
      <c r="F768" s="9">
        <v>45344</v>
      </c>
      <c r="G768" t="s">
        <v>83</v>
      </c>
      <c r="H768" t="s">
        <v>66</v>
      </c>
      <c r="I768" t="s">
        <v>41</v>
      </c>
      <c r="J768" s="7">
        <v>1516344</v>
      </c>
      <c r="K768" t="s">
        <v>48</v>
      </c>
      <c r="L768" t="s">
        <v>34</v>
      </c>
      <c r="M768" t="s">
        <v>24</v>
      </c>
      <c r="N768" s="6">
        <v>9</v>
      </c>
      <c r="O768" t="s">
        <v>36</v>
      </c>
      <c r="P768">
        <f t="shared" si="11"/>
        <v>35</v>
      </c>
    </row>
    <row r="769" spans="1:16" x14ac:dyDescent="0.2">
      <c r="A769" t="s">
        <v>2221</v>
      </c>
      <c r="B769" t="s">
        <v>64</v>
      </c>
      <c r="C769" t="s">
        <v>28</v>
      </c>
      <c r="D769" s="4">
        <v>37850</v>
      </c>
      <c r="E769" s="4">
        <v>45402</v>
      </c>
      <c r="F769" s="9">
        <v>45406</v>
      </c>
      <c r="G769" t="s">
        <v>60</v>
      </c>
      <c r="H769" t="s">
        <v>66</v>
      </c>
      <c r="I769" t="s">
        <v>2534</v>
      </c>
      <c r="J769" s="7">
        <v>5183500</v>
      </c>
      <c r="K769" t="s">
        <v>48</v>
      </c>
      <c r="L769" t="s">
        <v>23</v>
      </c>
      <c r="M769" t="s">
        <v>24</v>
      </c>
      <c r="N769" s="6">
        <v>4</v>
      </c>
      <c r="O769" t="s">
        <v>36</v>
      </c>
      <c r="P769">
        <f t="shared" si="11"/>
        <v>21</v>
      </c>
    </row>
    <row r="770" spans="1:16" x14ac:dyDescent="0.2">
      <c r="A770" t="s">
        <v>1147</v>
      </c>
      <c r="B770" t="s">
        <v>27</v>
      </c>
      <c r="C770" t="s">
        <v>28</v>
      </c>
      <c r="D770" s="4">
        <v>37494</v>
      </c>
      <c r="E770" s="4">
        <v>45293</v>
      </c>
      <c r="F770" s="9">
        <v>45299</v>
      </c>
      <c r="G770" t="s">
        <v>74</v>
      </c>
      <c r="H770" t="s">
        <v>2528</v>
      </c>
      <c r="I770" t="s">
        <v>67</v>
      </c>
      <c r="J770" s="7">
        <v>4466048</v>
      </c>
      <c r="K770" t="s">
        <v>48</v>
      </c>
      <c r="L770" t="s">
        <v>23</v>
      </c>
      <c r="M770" t="s">
        <v>35</v>
      </c>
      <c r="N770" s="6">
        <v>6</v>
      </c>
      <c r="O770" t="s">
        <v>25</v>
      </c>
      <c r="P770">
        <f t="shared" si="11"/>
        <v>22</v>
      </c>
    </row>
    <row r="771" spans="1:16" x14ac:dyDescent="0.2">
      <c r="A771" t="s">
        <v>1148</v>
      </c>
      <c r="B771" t="s">
        <v>64</v>
      </c>
      <c r="C771" t="s">
        <v>28</v>
      </c>
      <c r="D771" s="4">
        <v>34483</v>
      </c>
      <c r="E771" s="4">
        <v>45376</v>
      </c>
      <c r="F771" s="9" t="s">
        <v>2536</v>
      </c>
      <c r="G771" t="s">
        <v>29</v>
      </c>
      <c r="H771" t="s">
        <v>19</v>
      </c>
      <c r="I771" t="s">
        <v>2534</v>
      </c>
      <c r="J771" s="7">
        <v>3368396</v>
      </c>
      <c r="K771" t="s">
        <v>71</v>
      </c>
      <c r="L771" t="s">
        <v>2527</v>
      </c>
      <c r="M771" t="s">
        <v>35</v>
      </c>
      <c r="N771" s="6" t="s">
        <v>2525</v>
      </c>
      <c r="O771" t="s">
        <v>25</v>
      </c>
      <c r="P771">
        <f t="shared" ref="P771:P834" si="12">YEAR(E771)-YEAR(D771)</f>
        <v>30</v>
      </c>
    </row>
    <row r="772" spans="1:16" x14ac:dyDescent="0.2">
      <c r="A772" t="s">
        <v>2222</v>
      </c>
      <c r="B772" t="s">
        <v>102</v>
      </c>
      <c r="C772" t="s">
        <v>28</v>
      </c>
      <c r="D772" s="4">
        <v>32366</v>
      </c>
      <c r="E772" s="4">
        <v>45419</v>
      </c>
      <c r="F772" s="9">
        <v>45426</v>
      </c>
      <c r="G772" t="s">
        <v>50</v>
      </c>
      <c r="H772" t="s">
        <v>2528</v>
      </c>
      <c r="I772" t="s">
        <v>2534</v>
      </c>
      <c r="J772" s="7">
        <v>5265712</v>
      </c>
      <c r="K772" t="s">
        <v>48</v>
      </c>
      <c r="L772" t="s">
        <v>2527</v>
      </c>
      <c r="M772" t="s">
        <v>35</v>
      </c>
      <c r="N772" s="6">
        <v>7</v>
      </c>
      <c r="O772" t="s">
        <v>2531</v>
      </c>
      <c r="P772">
        <f t="shared" si="12"/>
        <v>36</v>
      </c>
    </row>
    <row r="773" spans="1:16" x14ac:dyDescent="0.2">
      <c r="A773" t="s">
        <v>1150</v>
      </c>
      <c r="B773" t="s">
        <v>27</v>
      </c>
      <c r="C773" t="s">
        <v>92</v>
      </c>
      <c r="D773" s="4">
        <v>30491</v>
      </c>
      <c r="E773" s="4">
        <v>45335</v>
      </c>
      <c r="F773" s="9">
        <v>45344</v>
      </c>
      <c r="G773" t="s">
        <v>88</v>
      </c>
      <c r="H773" t="s">
        <v>66</v>
      </c>
      <c r="I773" t="s">
        <v>2533</v>
      </c>
      <c r="J773" s="7">
        <v>2742244</v>
      </c>
      <c r="K773" t="s">
        <v>43</v>
      </c>
      <c r="L773" t="s">
        <v>2527</v>
      </c>
      <c r="M773" t="s">
        <v>35</v>
      </c>
      <c r="N773" s="6">
        <v>9</v>
      </c>
      <c r="O773" t="s">
        <v>2531</v>
      </c>
      <c r="P773">
        <f t="shared" si="12"/>
        <v>41</v>
      </c>
    </row>
    <row r="774" spans="1:16" x14ac:dyDescent="0.2">
      <c r="A774" t="s">
        <v>2223</v>
      </c>
      <c r="B774" t="s">
        <v>56</v>
      </c>
      <c r="C774" t="s">
        <v>28</v>
      </c>
      <c r="D774" s="4">
        <v>35801</v>
      </c>
      <c r="E774" s="4">
        <v>45380</v>
      </c>
      <c r="F774" s="9">
        <v>45395</v>
      </c>
      <c r="G774" t="s">
        <v>18</v>
      </c>
      <c r="H774" t="s">
        <v>2529</v>
      </c>
      <c r="I774" t="s">
        <v>2535</v>
      </c>
      <c r="J774" s="7">
        <v>1742664</v>
      </c>
      <c r="K774" t="s">
        <v>48</v>
      </c>
      <c r="L774" t="s">
        <v>23</v>
      </c>
      <c r="M774" t="s">
        <v>78</v>
      </c>
      <c r="N774" s="6">
        <v>15</v>
      </c>
      <c r="O774" t="s">
        <v>25</v>
      </c>
      <c r="P774">
        <f t="shared" si="12"/>
        <v>26</v>
      </c>
    </row>
    <row r="775" spans="1:16" x14ac:dyDescent="0.2">
      <c r="A775" t="s">
        <v>2224</v>
      </c>
      <c r="B775" t="s">
        <v>16</v>
      </c>
      <c r="C775" t="s">
        <v>39</v>
      </c>
      <c r="D775" s="4">
        <v>28476</v>
      </c>
      <c r="E775" s="4">
        <v>45319</v>
      </c>
      <c r="F775" s="9">
        <v>45329</v>
      </c>
      <c r="G775" t="s">
        <v>74</v>
      </c>
      <c r="H775" t="s">
        <v>2528</v>
      </c>
      <c r="I775" t="s">
        <v>67</v>
      </c>
      <c r="J775" s="7">
        <v>5035620</v>
      </c>
      <c r="K775" t="s">
        <v>43</v>
      </c>
      <c r="L775" t="s">
        <v>2527</v>
      </c>
      <c r="M775" t="s">
        <v>78</v>
      </c>
      <c r="N775" s="6">
        <v>10</v>
      </c>
      <c r="O775" t="s">
        <v>36</v>
      </c>
      <c r="P775">
        <f t="shared" si="12"/>
        <v>47</v>
      </c>
    </row>
    <row r="776" spans="1:16" x14ac:dyDescent="0.2">
      <c r="A776" t="s">
        <v>2225</v>
      </c>
      <c r="B776" t="s">
        <v>16</v>
      </c>
      <c r="C776" t="s">
        <v>28</v>
      </c>
      <c r="D776" s="4">
        <v>36432</v>
      </c>
      <c r="E776" s="4">
        <v>45378</v>
      </c>
      <c r="F776" s="9">
        <v>45382</v>
      </c>
      <c r="G776" t="s">
        <v>50</v>
      </c>
      <c r="H776" t="s">
        <v>2528</v>
      </c>
      <c r="I776" t="s">
        <v>2533</v>
      </c>
      <c r="J776" s="7">
        <v>647500</v>
      </c>
      <c r="K776" t="s">
        <v>48</v>
      </c>
      <c r="L776" t="s">
        <v>2527</v>
      </c>
      <c r="M776" t="s">
        <v>24</v>
      </c>
      <c r="N776" s="6">
        <v>4</v>
      </c>
      <c r="O776" t="s">
        <v>2531</v>
      </c>
      <c r="P776">
        <f t="shared" si="12"/>
        <v>25</v>
      </c>
    </row>
    <row r="777" spans="1:16" x14ac:dyDescent="0.2">
      <c r="A777" t="s">
        <v>1156</v>
      </c>
      <c r="B777" t="s">
        <v>105</v>
      </c>
      <c r="C777" t="s">
        <v>92</v>
      </c>
      <c r="D777" s="4">
        <v>40005</v>
      </c>
      <c r="E777" s="4">
        <v>45426</v>
      </c>
      <c r="F777" s="9">
        <v>45437</v>
      </c>
      <c r="G777" t="s">
        <v>60</v>
      </c>
      <c r="H777" t="s">
        <v>66</v>
      </c>
      <c r="I777" t="s">
        <v>67</v>
      </c>
      <c r="J777" s="7">
        <v>3836124</v>
      </c>
      <c r="K777" t="s">
        <v>48</v>
      </c>
      <c r="L777" t="s">
        <v>2527</v>
      </c>
      <c r="M777" t="s">
        <v>78</v>
      </c>
      <c r="N777" s="6">
        <v>11</v>
      </c>
      <c r="O777" t="s">
        <v>36</v>
      </c>
      <c r="P777">
        <f t="shared" si="12"/>
        <v>15</v>
      </c>
    </row>
    <row r="778" spans="1:16" x14ac:dyDescent="0.2">
      <c r="A778" t="s">
        <v>1158</v>
      </c>
      <c r="B778" t="s">
        <v>56</v>
      </c>
      <c r="C778" t="s">
        <v>92</v>
      </c>
      <c r="D778" s="4">
        <v>28799</v>
      </c>
      <c r="E778" s="4">
        <v>45448</v>
      </c>
      <c r="F778" s="9">
        <v>45461</v>
      </c>
      <c r="G778" t="s">
        <v>72</v>
      </c>
      <c r="H778" t="s">
        <v>2529</v>
      </c>
      <c r="I778" t="s">
        <v>67</v>
      </c>
      <c r="J778" s="7">
        <v>4450960</v>
      </c>
      <c r="K778" t="s">
        <v>48</v>
      </c>
      <c r="L778" t="s">
        <v>34</v>
      </c>
      <c r="M778" t="s">
        <v>78</v>
      </c>
      <c r="N778" s="6">
        <v>13</v>
      </c>
      <c r="O778" t="s">
        <v>2531</v>
      </c>
      <c r="P778">
        <f t="shared" si="12"/>
        <v>46</v>
      </c>
    </row>
    <row r="779" spans="1:16" x14ac:dyDescent="0.2">
      <c r="A779" t="s">
        <v>2226</v>
      </c>
      <c r="B779" t="s">
        <v>140</v>
      </c>
      <c r="C779" t="s">
        <v>28</v>
      </c>
      <c r="D779" s="4">
        <v>28541</v>
      </c>
      <c r="E779" s="4">
        <v>45428</v>
      </c>
      <c r="F779" s="9" t="s">
        <v>2536</v>
      </c>
      <c r="G779" t="s">
        <v>60</v>
      </c>
      <c r="H779" t="s">
        <v>66</v>
      </c>
      <c r="I779" t="s">
        <v>67</v>
      </c>
      <c r="J779" s="7">
        <v>3093040</v>
      </c>
      <c r="K779" t="s">
        <v>71</v>
      </c>
      <c r="L779" t="s">
        <v>23</v>
      </c>
      <c r="M779" t="s">
        <v>24</v>
      </c>
      <c r="N779" s="6" t="s">
        <v>2525</v>
      </c>
      <c r="O779" t="s">
        <v>25</v>
      </c>
      <c r="P779">
        <f t="shared" si="12"/>
        <v>46</v>
      </c>
    </row>
    <row r="780" spans="1:16" x14ac:dyDescent="0.2">
      <c r="A780" t="s">
        <v>1161</v>
      </c>
      <c r="B780" t="s">
        <v>16</v>
      </c>
      <c r="C780" t="s">
        <v>28</v>
      </c>
      <c r="D780" s="4">
        <v>24349</v>
      </c>
      <c r="E780" s="4">
        <v>45373</v>
      </c>
      <c r="F780" s="9">
        <v>45381</v>
      </c>
      <c r="G780" t="s">
        <v>18</v>
      </c>
      <c r="H780" t="s">
        <v>2529</v>
      </c>
      <c r="I780" t="s">
        <v>2535</v>
      </c>
      <c r="J780" s="7">
        <v>494132</v>
      </c>
      <c r="K780" t="s">
        <v>71</v>
      </c>
      <c r="L780" t="s">
        <v>23</v>
      </c>
      <c r="M780" t="s">
        <v>24</v>
      </c>
      <c r="N780" s="6">
        <v>8</v>
      </c>
      <c r="O780" t="s">
        <v>36</v>
      </c>
      <c r="P780">
        <f t="shared" si="12"/>
        <v>58</v>
      </c>
    </row>
    <row r="781" spans="1:16" x14ac:dyDescent="0.2">
      <c r="A781" t="s">
        <v>1163</v>
      </c>
      <c r="B781" t="s">
        <v>91</v>
      </c>
      <c r="C781" t="s">
        <v>28</v>
      </c>
      <c r="D781" s="4">
        <v>29102</v>
      </c>
      <c r="E781" s="4">
        <v>45391</v>
      </c>
      <c r="F781" s="9">
        <v>45405</v>
      </c>
      <c r="G781" t="s">
        <v>88</v>
      </c>
      <c r="H781" t="s">
        <v>66</v>
      </c>
      <c r="I781" t="s">
        <v>67</v>
      </c>
      <c r="J781" s="7">
        <v>5001672</v>
      </c>
      <c r="K781" t="s">
        <v>43</v>
      </c>
      <c r="L781" t="s">
        <v>2527</v>
      </c>
      <c r="M781" t="s">
        <v>78</v>
      </c>
      <c r="N781" s="6">
        <v>14</v>
      </c>
      <c r="O781" t="s">
        <v>2531</v>
      </c>
      <c r="P781">
        <f t="shared" si="12"/>
        <v>45</v>
      </c>
    </row>
    <row r="782" spans="1:16" x14ac:dyDescent="0.2">
      <c r="A782" t="s">
        <v>2227</v>
      </c>
      <c r="B782" t="s">
        <v>51</v>
      </c>
      <c r="C782" t="s">
        <v>28</v>
      </c>
      <c r="D782" s="4">
        <v>27197</v>
      </c>
      <c r="E782" s="4">
        <v>45468</v>
      </c>
      <c r="F782" s="9">
        <v>45475</v>
      </c>
      <c r="G782" t="s">
        <v>60</v>
      </c>
      <c r="H782" t="s">
        <v>66</v>
      </c>
      <c r="I782" t="s">
        <v>67</v>
      </c>
      <c r="J782" s="7">
        <v>3846500</v>
      </c>
      <c r="K782" t="s">
        <v>43</v>
      </c>
      <c r="L782" t="s">
        <v>34</v>
      </c>
      <c r="M782" t="s">
        <v>24</v>
      </c>
      <c r="N782" s="6">
        <v>7</v>
      </c>
      <c r="O782" t="s">
        <v>2531</v>
      </c>
      <c r="P782">
        <f t="shared" si="12"/>
        <v>50</v>
      </c>
    </row>
    <row r="783" spans="1:16" x14ac:dyDescent="0.2">
      <c r="A783" t="s">
        <v>2228</v>
      </c>
      <c r="B783" t="s">
        <v>87</v>
      </c>
      <c r="C783" t="s">
        <v>28</v>
      </c>
      <c r="D783" s="4">
        <v>25570</v>
      </c>
      <c r="E783" s="4">
        <v>45455</v>
      </c>
      <c r="F783" s="9" t="s">
        <v>2536</v>
      </c>
      <c r="G783" t="s">
        <v>100</v>
      </c>
      <c r="H783" t="s">
        <v>61</v>
      </c>
      <c r="I783" t="s">
        <v>67</v>
      </c>
      <c r="J783" s="7">
        <v>4196500</v>
      </c>
      <c r="K783" t="s">
        <v>48</v>
      </c>
      <c r="L783" t="s">
        <v>2527</v>
      </c>
      <c r="M783" t="s">
        <v>24</v>
      </c>
      <c r="N783" s="6" t="s">
        <v>2525</v>
      </c>
      <c r="O783" t="s">
        <v>36</v>
      </c>
      <c r="P783">
        <f t="shared" si="12"/>
        <v>54</v>
      </c>
    </row>
    <row r="784" spans="1:16" x14ac:dyDescent="0.2">
      <c r="A784" t="s">
        <v>2229</v>
      </c>
      <c r="B784" t="s">
        <v>27</v>
      </c>
      <c r="C784" t="s">
        <v>92</v>
      </c>
      <c r="D784" s="4">
        <v>27593</v>
      </c>
      <c r="E784" s="4">
        <v>45319</v>
      </c>
      <c r="F784" s="9">
        <v>45334</v>
      </c>
      <c r="G784" t="s">
        <v>74</v>
      </c>
      <c r="H784" t="s">
        <v>2528</v>
      </c>
      <c r="I784" t="s">
        <v>41</v>
      </c>
      <c r="J784" s="7">
        <v>4220868</v>
      </c>
      <c r="K784" t="s">
        <v>48</v>
      </c>
      <c r="L784" t="s">
        <v>34</v>
      </c>
      <c r="M784" t="s">
        <v>78</v>
      </c>
      <c r="N784" s="6">
        <v>15</v>
      </c>
      <c r="O784" t="s">
        <v>25</v>
      </c>
      <c r="P784">
        <f t="shared" si="12"/>
        <v>49</v>
      </c>
    </row>
    <row r="785" spans="1:16" x14ac:dyDescent="0.2">
      <c r="A785" t="s">
        <v>1168</v>
      </c>
      <c r="B785" t="s">
        <v>118</v>
      </c>
      <c r="C785" t="s">
        <v>28</v>
      </c>
      <c r="D785" s="4">
        <v>21003</v>
      </c>
      <c r="E785" s="4">
        <v>45353</v>
      </c>
      <c r="F785" s="9">
        <v>45361</v>
      </c>
      <c r="G785" t="s">
        <v>100</v>
      </c>
      <c r="H785" t="s">
        <v>61</v>
      </c>
      <c r="I785" t="s">
        <v>41</v>
      </c>
      <c r="J785" s="7">
        <v>694048</v>
      </c>
      <c r="K785" t="s">
        <v>48</v>
      </c>
      <c r="L785" t="s">
        <v>2527</v>
      </c>
      <c r="M785" t="s">
        <v>35</v>
      </c>
      <c r="N785" s="6">
        <v>8</v>
      </c>
      <c r="O785" t="s">
        <v>36</v>
      </c>
      <c r="P785">
        <f t="shared" si="12"/>
        <v>67</v>
      </c>
    </row>
    <row r="786" spans="1:16" x14ac:dyDescent="0.2">
      <c r="A786" t="s">
        <v>2230</v>
      </c>
      <c r="B786" t="s">
        <v>140</v>
      </c>
      <c r="C786" t="s">
        <v>92</v>
      </c>
      <c r="D786" s="4">
        <v>33403</v>
      </c>
      <c r="E786" s="4">
        <v>45456</v>
      </c>
      <c r="F786" s="9">
        <v>45459</v>
      </c>
      <c r="G786" t="s">
        <v>40</v>
      </c>
      <c r="H786" t="s">
        <v>75</v>
      </c>
      <c r="I786" t="s">
        <v>67</v>
      </c>
      <c r="J786" s="7">
        <v>1795472</v>
      </c>
      <c r="K786" t="s">
        <v>48</v>
      </c>
      <c r="L786" t="s">
        <v>2527</v>
      </c>
      <c r="M786" t="s">
        <v>35</v>
      </c>
      <c r="N786" s="6">
        <v>3</v>
      </c>
      <c r="O786" t="s">
        <v>25</v>
      </c>
      <c r="P786">
        <f t="shared" si="12"/>
        <v>33</v>
      </c>
    </row>
    <row r="787" spans="1:16" x14ac:dyDescent="0.2">
      <c r="A787" t="s">
        <v>2231</v>
      </c>
      <c r="B787" t="s">
        <v>105</v>
      </c>
      <c r="C787" t="s">
        <v>92</v>
      </c>
      <c r="D787" s="4">
        <v>36510</v>
      </c>
      <c r="E787" s="4">
        <v>45328</v>
      </c>
      <c r="F787" s="9" t="s">
        <v>2536</v>
      </c>
      <c r="G787" t="s">
        <v>72</v>
      </c>
      <c r="H787" t="s">
        <v>2529</v>
      </c>
      <c r="I787" t="s">
        <v>2533</v>
      </c>
      <c r="J787" s="7">
        <v>4375520</v>
      </c>
      <c r="K787" t="s">
        <v>43</v>
      </c>
      <c r="L787" t="s">
        <v>23</v>
      </c>
      <c r="M787" t="s">
        <v>24</v>
      </c>
      <c r="N787" s="6" t="s">
        <v>2525</v>
      </c>
      <c r="O787" t="s">
        <v>25</v>
      </c>
      <c r="P787">
        <f t="shared" si="12"/>
        <v>25</v>
      </c>
    </row>
    <row r="788" spans="1:16" x14ac:dyDescent="0.2">
      <c r="A788" t="s">
        <v>1173</v>
      </c>
      <c r="B788" t="s">
        <v>16</v>
      </c>
      <c r="C788" t="s">
        <v>28</v>
      </c>
      <c r="D788" s="4">
        <v>25920</v>
      </c>
      <c r="E788" s="4">
        <v>45389</v>
      </c>
      <c r="F788" s="9">
        <v>45403</v>
      </c>
      <c r="G788" t="s">
        <v>18</v>
      </c>
      <c r="H788" t="s">
        <v>2529</v>
      </c>
      <c r="I788" t="s">
        <v>41</v>
      </c>
      <c r="J788" s="7">
        <v>2108548</v>
      </c>
      <c r="K788" t="s">
        <v>43</v>
      </c>
      <c r="L788" t="s">
        <v>34</v>
      </c>
      <c r="M788" t="s">
        <v>35</v>
      </c>
      <c r="N788" s="6">
        <v>14</v>
      </c>
      <c r="O788" t="s">
        <v>36</v>
      </c>
      <c r="P788">
        <f t="shared" si="12"/>
        <v>54</v>
      </c>
    </row>
    <row r="789" spans="1:16" x14ac:dyDescent="0.2">
      <c r="A789" t="s">
        <v>2232</v>
      </c>
      <c r="B789" t="s">
        <v>118</v>
      </c>
      <c r="C789" t="s">
        <v>92</v>
      </c>
      <c r="D789" s="4">
        <v>38450</v>
      </c>
      <c r="E789" s="4">
        <v>45407</v>
      </c>
      <c r="F789" s="9">
        <v>45417</v>
      </c>
      <c r="G789" t="s">
        <v>83</v>
      </c>
      <c r="H789" t="s">
        <v>66</v>
      </c>
      <c r="I789" t="s">
        <v>2533</v>
      </c>
      <c r="J789" s="7">
        <v>4077532</v>
      </c>
      <c r="K789" t="s">
        <v>71</v>
      </c>
      <c r="L789" t="s">
        <v>2527</v>
      </c>
      <c r="M789" t="s">
        <v>35</v>
      </c>
      <c r="N789" s="6">
        <v>10</v>
      </c>
      <c r="O789" t="s">
        <v>2531</v>
      </c>
      <c r="P789">
        <f t="shared" si="12"/>
        <v>19</v>
      </c>
    </row>
    <row r="790" spans="1:16" x14ac:dyDescent="0.2">
      <c r="A790" t="s">
        <v>2233</v>
      </c>
      <c r="B790" t="s">
        <v>140</v>
      </c>
      <c r="C790" t="s">
        <v>28</v>
      </c>
      <c r="D790" s="4">
        <v>26692</v>
      </c>
      <c r="E790" s="4">
        <v>45386</v>
      </c>
      <c r="F790" s="9">
        <v>45391</v>
      </c>
      <c r="G790" t="s">
        <v>88</v>
      </c>
      <c r="H790" t="s">
        <v>66</v>
      </c>
      <c r="I790" t="s">
        <v>2533</v>
      </c>
      <c r="J790" s="7">
        <v>4556576</v>
      </c>
      <c r="K790" t="s">
        <v>71</v>
      </c>
      <c r="L790" t="s">
        <v>23</v>
      </c>
      <c r="M790" t="s">
        <v>24</v>
      </c>
      <c r="N790" s="6">
        <v>5</v>
      </c>
      <c r="O790" t="s">
        <v>36</v>
      </c>
      <c r="P790">
        <f t="shared" si="12"/>
        <v>51</v>
      </c>
    </row>
    <row r="791" spans="1:16" x14ac:dyDescent="0.2">
      <c r="A791" t="s">
        <v>2234</v>
      </c>
      <c r="B791" t="s">
        <v>114</v>
      </c>
      <c r="C791" t="s">
        <v>28</v>
      </c>
      <c r="D791" s="4">
        <v>33085</v>
      </c>
      <c r="E791" s="4">
        <v>45391</v>
      </c>
      <c r="F791" s="9">
        <v>45397</v>
      </c>
      <c r="G791" t="s">
        <v>46</v>
      </c>
      <c r="H791" t="s">
        <v>30</v>
      </c>
      <c r="I791" t="s">
        <v>2535</v>
      </c>
      <c r="J791" s="7">
        <v>1965212</v>
      </c>
      <c r="K791" t="s">
        <v>48</v>
      </c>
      <c r="L791" t="s">
        <v>23</v>
      </c>
      <c r="M791" t="s">
        <v>24</v>
      </c>
      <c r="N791" s="6">
        <v>6</v>
      </c>
      <c r="O791" t="s">
        <v>2531</v>
      </c>
      <c r="P791">
        <f t="shared" si="12"/>
        <v>34</v>
      </c>
    </row>
    <row r="792" spans="1:16" x14ac:dyDescent="0.2">
      <c r="A792" t="s">
        <v>2235</v>
      </c>
      <c r="B792" t="s">
        <v>85</v>
      </c>
      <c r="C792" t="s">
        <v>92</v>
      </c>
      <c r="D792" s="4">
        <v>33447</v>
      </c>
      <c r="E792" s="4">
        <v>45387</v>
      </c>
      <c r="F792" s="9">
        <v>45390</v>
      </c>
      <c r="G792" t="s">
        <v>74</v>
      </c>
      <c r="H792" t="s">
        <v>2528</v>
      </c>
      <c r="I792" t="s">
        <v>2534</v>
      </c>
      <c r="J792" s="7">
        <v>3591000</v>
      </c>
      <c r="K792" t="s">
        <v>43</v>
      </c>
      <c r="L792" t="s">
        <v>2527</v>
      </c>
      <c r="M792" t="s">
        <v>35</v>
      </c>
      <c r="N792" s="6">
        <v>3</v>
      </c>
      <c r="O792" t="s">
        <v>36</v>
      </c>
      <c r="P792">
        <f t="shared" si="12"/>
        <v>33</v>
      </c>
    </row>
    <row r="793" spans="1:16" x14ac:dyDescent="0.2">
      <c r="A793" t="s">
        <v>2236</v>
      </c>
      <c r="B793" t="s">
        <v>140</v>
      </c>
      <c r="C793" t="s">
        <v>28</v>
      </c>
      <c r="D793" s="4">
        <v>30856</v>
      </c>
      <c r="E793" s="4">
        <v>45338</v>
      </c>
      <c r="F793" s="9" t="s">
        <v>2536</v>
      </c>
      <c r="G793" t="s">
        <v>50</v>
      </c>
      <c r="H793" t="s">
        <v>2528</v>
      </c>
      <c r="I793" t="s">
        <v>2535</v>
      </c>
      <c r="J793" s="7">
        <v>5529752</v>
      </c>
      <c r="K793" t="s">
        <v>48</v>
      </c>
      <c r="L793" t="s">
        <v>23</v>
      </c>
      <c r="M793" t="s">
        <v>24</v>
      </c>
      <c r="N793" s="6" t="s">
        <v>2525</v>
      </c>
      <c r="O793" t="s">
        <v>25</v>
      </c>
      <c r="P793">
        <f t="shared" si="12"/>
        <v>40</v>
      </c>
    </row>
    <row r="794" spans="1:16" x14ac:dyDescent="0.2">
      <c r="A794" t="s">
        <v>1183</v>
      </c>
      <c r="B794" t="s">
        <v>82</v>
      </c>
      <c r="C794" t="s">
        <v>92</v>
      </c>
      <c r="D794" s="4">
        <v>33618</v>
      </c>
      <c r="E794" s="4">
        <v>45325</v>
      </c>
      <c r="F794" s="9">
        <v>45340</v>
      </c>
      <c r="G794" t="s">
        <v>72</v>
      </c>
      <c r="H794" t="s">
        <v>2529</v>
      </c>
      <c r="I794" t="s">
        <v>41</v>
      </c>
      <c r="J794" s="7">
        <v>878876</v>
      </c>
      <c r="K794" t="s">
        <v>48</v>
      </c>
      <c r="L794" t="s">
        <v>34</v>
      </c>
      <c r="M794" t="s">
        <v>35</v>
      </c>
      <c r="N794" s="6">
        <v>15</v>
      </c>
      <c r="O794" t="s">
        <v>36</v>
      </c>
      <c r="P794">
        <f t="shared" si="12"/>
        <v>32</v>
      </c>
    </row>
    <row r="795" spans="1:16" x14ac:dyDescent="0.2">
      <c r="A795" t="s">
        <v>2237</v>
      </c>
      <c r="B795" t="s">
        <v>51</v>
      </c>
      <c r="C795" t="s">
        <v>28</v>
      </c>
      <c r="D795" s="4">
        <v>23198</v>
      </c>
      <c r="E795" s="4">
        <v>45370</v>
      </c>
      <c r="F795" s="9">
        <v>45385</v>
      </c>
      <c r="G795" t="s">
        <v>18</v>
      </c>
      <c r="H795" t="s">
        <v>2529</v>
      </c>
      <c r="I795" t="s">
        <v>2533</v>
      </c>
      <c r="J795" s="7">
        <v>3752000</v>
      </c>
      <c r="K795" t="s">
        <v>48</v>
      </c>
      <c r="L795" t="s">
        <v>2527</v>
      </c>
      <c r="M795" t="s">
        <v>78</v>
      </c>
      <c r="N795" s="6">
        <v>15</v>
      </c>
      <c r="O795" t="s">
        <v>2531</v>
      </c>
      <c r="P795">
        <f t="shared" si="12"/>
        <v>61</v>
      </c>
    </row>
    <row r="796" spans="1:16" x14ac:dyDescent="0.2">
      <c r="A796" t="s">
        <v>1186</v>
      </c>
      <c r="B796" t="s">
        <v>87</v>
      </c>
      <c r="C796" t="s">
        <v>28</v>
      </c>
      <c r="D796" s="4">
        <v>31868</v>
      </c>
      <c r="E796" s="4">
        <v>45428</v>
      </c>
      <c r="F796" s="9">
        <v>45437</v>
      </c>
      <c r="G796" t="s">
        <v>60</v>
      </c>
      <c r="H796" t="s">
        <v>66</v>
      </c>
      <c r="I796" t="s">
        <v>41</v>
      </c>
      <c r="J796" s="7">
        <v>2300920</v>
      </c>
      <c r="K796" t="s">
        <v>48</v>
      </c>
      <c r="L796" t="s">
        <v>2527</v>
      </c>
      <c r="M796" t="s">
        <v>35</v>
      </c>
      <c r="N796" s="6">
        <v>9</v>
      </c>
      <c r="O796" t="s">
        <v>36</v>
      </c>
      <c r="P796">
        <f t="shared" si="12"/>
        <v>37</v>
      </c>
    </row>
    <row r="797" spans="1:16" x14ac:dyDescent="0.2">
      <c r="A797" t="s">
        <v>2238</v>
      </c>
      <c r="B797" t="s">
        <v>118</v>
      </c>
      <c r="C797" t="s">
        <v>28</v>
      </c>
      <c r="D797" s="4">
        <v>23849</v>
      </c>
      <c r="E797" s="4">
        <v>45442</v>
      </c>
      <c r="F797" s="9">
        <v>45452</v>
      </c>
      <c r="G797" t="s">
        <v>100</v>
      </c>
      <c r="H797" t="s">
        <v>61</v>
      </c>
      <c r="I797" t="s">
        <v>2533</v>
      </c>
      <c r="J797" s="7">
        <v>5162500</v>
      </c>
      <c r="K797" t="s">
        <v>48</v>
      </c>
      <c r="L797" t="s">
        <v>34</v>
      </c>
      <c r="M797" t="s">
        <v>78</v>
      </c>
      <c r="N797" s="6">
        <v>10</v>
      </c>
      <c r="O797" t="s">
        <v>25</v>
      </c>
      <c r="P797">
        <f t="shared" si="12"/>
        <v>59</v>
      </c>
    </row>
    <row r="798" spans="1:16" x14ac:dyDescent="0.2">
      <c r="A798" t="s">
        <v>2239</v>
      </c>
      <c r="B798" t="s">
        <v>45</v>
      </c>
      <c r="C798" t="s">
        <v>28</v>
      </c>
      <c r="D798" s="4">
        <v>31162</v>
      </c>
      <c r="E798" s="4">
        <v>45320</v>
      </c>
      <c r="F798" s="9">
        <v>45326</v>
      </c>
      <c r="G798" t="s">
        <v>74</v>
      </c>
      <c r="H798" t="s">
        <v>2528</v>
      </c>
      <c r="I798" t="s">
        <v>2535</v>
      </c>
      <c r="J798" s="7">
        <v>4198236</v>
      </c>
      <c r="K798" t="s">
        <v>43</v>
      </c>
      <c r="L798" t="s">
        <v>2527</v>
      </c>
      <c r="M798" t="s">
        <v>35</v>
      </c>
      <c r="N798" s="6">
        <v>6</v>
      </c>
      <c r="O798" t="s">
        <v>25</v>
      </c>
      <c r="P798">
        <f t="shared" si="12"/>
        <v>39</v>
      </c>
    </row>
    <row r="799" spans="1:16" x14ac:dyDescent="0.2">
      <c r="A799" t="s">
        <v>2240</v>
      </c>
      <c r="B799" t="s">
        <v>38</v>
      </c>
      <c r="C799" t="s">
        <v>92</v>
      </c>
      <c r="D799" s="4">
        <v>19032</v>
      </c>
      <c r="E799" s="4">
        <v>45373</v>
      </c>
      <c r="F799" s="9" t="s">
        <v>2536</v>
      </c>
      <c r="G799" t="s">
        <v>50</v>
      </c>
      <c r="H799" t="s">
        <v>2528</v>
      </c>
      <c r="I799" t="s">
        <v>2533</v>
      </c>
      <c r="J799" s="7">
        <v>2406536</v>
      </c>
      <c r="K799" t="s">
        <v>71</v>
      </c>
      <c r="L799" t="s">
        <v>2527</v>
      </c>
      <c r="M799" t="s">
        <v>35</v>
      </c>
      <c r="N799" s="6" t="s">
        <v>2525</v>
      </c>
      <c r="O799" t="s">
        <v>2531</v>
      </c>
      <c r="P799">
        <f t="shared" si="12"/>
        <v>72</v>
      </c>
    </row>
    <row r="800" spans="1:16" x14ac:dyDescent="0.2">
      <c r="A800" t="s">
        <v>2241</v>
      </c>
      <c r="B800" t="s">
        <v>150</v>
      </c>
      <c r="C800" t="s">
        <v>92</v>
      </c>
      <c r="D800" s="4">
        <v>36328</v>
      </c>
      <c r="E800" s="4">
        <v>45325</v>
      </c>
      <c r="F800" s="9">
        <v>45326</v>
      </c>
      <c r="G800" t="s">
        <v>29</v>
      </c>
      <c r="H800" t="s">
        <v>19</v>
      </c>
      <c r="I800" t="s">
        <v>2533</v>
      </c>
      <c r="J800" s="7">
        <v>3311816</v>
      </c>
      <c r="K800" t="s">
        <v>48</v>
      </c>
      <c r="L800" t="s">
        <v>2527</v>
      </c>
      <c r="M800" t="s">
        <v>24</v>
      </c>
      <c r="N800" s="6">
        <v>1</v>
      </c>
      <c r="O800" t="s">
        <v>2531</v>
      </c>
      <c r="P800">
        <f t="shared" si="12"/>
        <v>25</v>
      </c>
    </row>
    <row r="801" spans="1:16" x14ac:dyDescent="0.2">
      <c r="A801" t="s">
        <v>2242</v>
      </c>
      <c r="B801" t="s">
        <v>82</v>
      </c>
      <c r="C801" t="s">
        <v>28</v>
      </c>
      <c r="D801" s="4">
        <v>29474</v>
      </c>
      <c r="E801" s="4">
        <v>45380</v>
      </c>
      <c r="F801" s="9">
        <v>45388</v>
      </c>
      <c r="G801" t="s">
        <v>60</v>
      </c>
      <c r="H801" t="s">
        <v>66</v>
      </c>
      <c r="I801" t="s">
        <v>2533</v>
      </c>
      <c r="J801" s="7">
        <v>5563700</v>
      </c>
      <c r="K801" t="s">
        <v>48</v>
      </c>
      <c r="L801" t="s">
        <v>34</v>
      </c>
      <c r="M801" t="s">
        <v>35</v>
      </c>
      <c r="N801" s="6">
        <v>8</v>
      </c>
      <c r="O801" t="s">
        <v>25</v>
      </c>
      <c r="P801">
        <f t="shared" si="12"/>
        <v>44</v>
      </c>
    </row>
    <row r="802" spans="1:16" x14ac:dyDescent="0.2">
      <c r="A802" t="s">
        <v>1193</v>
      </c>
      <c r="B802" t="s">
        <v>150</v>
      </c>
      <c r="C802" t="s">
        <v>28</v>
      </c>
      <c r="D802" s="4">
        <v>30499</v>
      </c>
      <c r="E802" s="4">
        <v>45331</v>
      </c>
      <c r="F802" s="9">
        <v>45345</v>
      </c>
      <c r="G802" t="s">
        <v>88</v>
      </c>
      <c r="H802" t="s">
        <v>66</v>
      </c>
      <c r="I802" t="s">
        <v>67</v>
      </c>
      <c r="J802" s="7">
        <v>3010056</v>
      </c>
      <c r="K802" t="s">
        <v>48</v>
      </c>
      <c r="L802" t="s">
        <v>2527</v>
      </c>
      <c r="M802" t="s">
        <v>24</v>
      </c>
      <c r="N802" s="6">
        <v>14</v>
      </c>
      <c r="O802" t="s">
        <v>2531</v>
      </c>
      <c r="P802">
        <f t="shared" si="12"/>
        <v>41</v>
      </c>
    </row>
    <row r="803" spans="1:16" x14ac:dyDescent="0.2">
      <c r="A803" t="s">
        <v>1194</v>
      </c>
      <c r="B803" t="s">
        <v>85</v>
      </c>
      <c r="C803" t="s">
        <v>92</v>
      </c>
      <c r="D803" s="4">
        <v>20104</v>
      </c>
      <c r="E803" s="4">
        <v>45343</v>
      </c>
      <c r="F803" s="9">
        <v>45355</v>
      </c>
      <c r="G803" t="s">
        <v>88</v>
      </c>
      <c r="H803" t="s">
        <v>66</v>
      </c>
      <c r="I803" t="s">
        <v>41</v>
      </c>
      <c r="J803" s="7">
        <v>2176444</v>
      </c>
      <c r="K803" t="s">
        <v>48</v>
      </c>
      <c r="L803" t="s">
        <v>34</v>
      </c>
      <c r="M803" t="s">
        <v>78</v>
      </c>
      <c r="N803" s="6">
        <v>12</v>
      </c>
      <c r="O803" t="s">
        <v>25</v>
      </c>
      <c r="P803">
        <f t="shared" si="12"/>
        <v>69</v>
      </c>
    </row>
    <row r="804" spans="1:16" x14ac:dyDescent="0.2">
      <c r="A804" t="s">
        <v>2243</v>
      </c>
      <c r="B804" t="s">
        <v>51</v>
      </c>
      <c r="C804" t="s">
        <v>28</v>
      </c>
      <c r="D804" s="4">
        <v>34494</v>
      </c>
      <c r="E804" s="4">
        <v>45412</v>
      </c>
      <c r="F804" s="9">
        <v>45422</v>
      </c>
      <c r="G804" t="s">
        <v>100</v>
      </c>
      <c r="H804" t="s">
        <v>61</v>
      </c>
      <c r="I804" t="s">
        <v>2535</v>
      </c>
      <c r="J804" s="7">
        <v>422464</v>
      </c>
      <c r="K804" t="s">
        <v>48</v>
      </c>
      <c r="L804" t="s">
        <v>23</v>
      </c>
      <c r="M804" t="s">
        <v>78</v>
      </c>
      <c r="N804" s="6">
        <v>10</v>
      </c>
      <c r="O804" t="s">
        <v>2531</v>
      </c>
      <c r="P804">
        <f t="shared" si="12"/>
        <v>30</v>
      </c>
    </row>
    <row r="805" spans="1:16" x14ac:dyDescent="0.2">
      <c r="A805" t="s">
        <v>2244</v>
      </c>
      <c r="B805" t="s">
        <v>51</v>
      </c>
      <c r="C805" t="s">
        <v>28</v>
      </c>
      <c r="D805" s="4">
        <v>22327</v>
      </c>
      <c r="E805" s="4">
        <v>45340</v>
      </c>
      <c r="F805" s="9">
        <v>45353</v>
      </c>
      <c r="G805" t="s">
        <v>46</v>
      </c>
      <c r="H805" t="s">
        <v>30</v>
      </c>
      <c r="I805" t="s">
        <v>2534</v>
      </c>
      <c r="J805" s="7">
        <v>4595500</v>
      </c>
      <c r="K805" t="s">
        <v>43</v>
      </c>
      <c r="L805" t="s">
        <v>2527</v>
      </c>
      <c r="M805" t="s">
        <v>24</v>
      </c>
      <c r="N805" s="6">
        <v>13</v>
      </c>
      <c r="O805" t="s">
        <v>36</v>
      </c>
      <c r="P805">
        <f t="shared" si="12"/>
        <v>63</v>
      </c>
    </row>
    <row r="806" spans="1:16" x14ac:dyDescent="0.2">
      <c r="A806" t="s">
        <v>2245</v>
      </c>
      <c r="B806" t="s">
        <v>102</v>
      </c>
      <c r="C806" t="s">
        <v>28</v>
      </c>
      <c r="D806" s="4">
        <v>26153</v>
      </c>
      <c r="E806" s="4">
        <v>45459</v>
      </c>
      <c r="F806" s="9">
        <v>45462</v>
      </c>
      <c r="G806" t="s">
        <v>88</v>
      </c>
      <c r="H806" t="s">
        <v>66</v>
      </c>
      <c r="I806" t="s">
        <v>2533</v>
      </c>
      <c r="J806" s="7">
        <v>3032688</v>
      </c>
      <c r="K806" t="s">
        <v>43</v>
      </c>
      <c r="L806" t="s">
        <v>2527</v>
      </c>
      <c r="M806" t="s">
        <v>35</v>
      </c>
      <c r="N806" s="6">
        <v>3</v>
      </c>
      <c r="O806" t="s">
        <v>2531</v>
      </c>
      <c r="P806">
        <f t="shared" si="12"/>
        <v>53</v>
      </c>
    </row>
    <row r="807" spans="1:16" x14ac:dyDescent="0.2">
      <c r="A807" t="s">
        <v>2246</v>
      </c>
      <c r="B807" t="s">
        <v>64</v>
      </c>
      <c r="C807" t="s">
        <v>28</v>
      </c>
      <c r="D807" s="4">
        <v>21155</v>
      </c>
      <c r="E807" s="4">
        <v>45442</v>
      </c>
      <c r="F807" s="9">
        <v>45452</v>
      </c>
      <c r="G807" t="s">
        <v>18</v>
      </c>
      <c r="H807" t="s">
        <v>2529</v>
      </c>
      <c r="I807" t="s">
        <v>2534</v>
      </c>
      <c r="J807" s="7">
        <v>2840316</v>
      </c>
      <c r="K807" t="s">
        <v>48</v>
      </c>
      <c r="L807" t="s">
        <v>2527</v>
      </c>
      <c r="M807" t="s">
        <v>78</v>
      </c>
      <c r="N807" s="6">
        <v>10</v>
      </c>
      <c r="O807" t="s">
        <v>36</v>
      </c>
      <c r="P807">
        <f t="shared" si="12"/>
        <v>67</v>
      </c>
    </row>
    <row r="808" spans="1:16" x14ac:dyDescent="0.2">
      <c r="A808" t="s">
        <v>2247</v>
      </c>
      <c r="B808" t="s">
        <v>27</v>
      </c>
      <c r="C808" t="s">
        <v>28</v>
      </c>
      <c r="D808" s="4">
        <v>24499</v>
      </c>
      <c r="E808" s="4">
        <v>45442</v>
      </c>
      <c r="F808" s="9" t="s">
        <v>2536</v>
      </c>
      <c r="G808" t="s">
        <v>83</v>
      </c>
      <c r="H808" t="s">
        <v>66</v>
      </c>
      <c r="I808" t="s">
        <v>2533</v>
      </c>
      <c r="J808" s="7">
        <v>3657500</v>
      </c>
      <c r="K808" t="s">
        <v>71</v>
      </c>
      <c r="L808" t="s">
        <v>2527</v>
      </c>
      <c r="M808" t="s">
        <v>78</v>
      </c>
      <c r="N808" s="6" t="s">
        <v>2525</v>
      </c>
      <c r="O808" t="s">
        <v>2531</v>
      </c>
      <c r="P808">
        <f t="shared" si="12"/>
        <v>57</v>
      </c>
    </row>
    <row r="809" spans="1:16" x14ac:dyDescent="0.2">
      <c r="A809" t="s">
        <v>2248</v>
      </c>
      <c r="B809" t="s">
        <v>82</v>
      </c>
      <c r="C809" t="s">
        <v>92</v>
      </c>
      <c r="D809" s="4">
        <v>22832</v>
      </c>
      <c r="E809" s="4">
        <v>45389</v>
      </c>
      <c r="F809" s="9">
        <v>45390</v>
      </c>
      <c r="G809" t="s">
        <v>72</v>
      </c>
      <c r="H809" t="s">
        <v>2529</v>
      </c>
      <c r="I809" t="s">
        <v>67</v>
      </c>
      <c r="J809" s="7">
        <v>4956408</v>
      </c>
      <c r="K809" t="s">
        <v>48</v>
      </c>
      <c r="L809" t="s">
        <v>34</v>
      </c>
      <c r="M809" t="s">
        <v>35</v>
      </c>
      <c r="N809" s="6">
        <v>1</v>
      </c>
      <c r="O809" t="s">
        <v>36</v>
      </c>
      <c r="P809">
        <f t="shared" si="12"/>
        <v>62</v>
      </c>
    </row>
    <row r="810" spans="1:16" x14ac:dyDescent="0.2">
      <c r="A810" t="s">
        <v>2249</v>
      </c>
      <c r="B810" t="s">
        <v>51</v>
      </c>
      <c r="C810" t="s">
        <v>92</v>
      </c>
      <c r="D810" s="4">
        <v>34560</v>
      </c>
      <c r="E810" s="4">
        <v>45332</v>
      </c>
      <c r="F810" s="9">
        <v>45346</v>
      </c>
      <c r="G810" t="s">
        <v>50</v>
      </c>
      <c r="H810" t="s">
        <v>2528</v>
      </c>
      <c r="I810" t="s">
        <v>2533</v>
      </c>
      <c r="J810" s="7">
        <v>5062024</v>
      </c>
      <c r="K810" t="s">
        <v>71</v>
      </c>
      <c r="L810" t="s">
        <v>2527</v>
      </c>
      <c r="M810" t="s">
        <v>35</v>
      </c>
      <c r="N810" s="6">
        <v>14</v>
      </c>
      <c r="O810" t="s">
        <v>25</v>
      </c>
      <c r="P810">
        <f t="shared" si="12"/>
        <v>30</v>
      </c>
    </row>
    <row r="811" spans="1:16" x14ac:dyDescent="0.2">
      <c r="A811" t="s">
        <v>2250</v>
      </c>
      <c r="B811" t="s">
        <v>16</v>
      </c>
      <c r="C811" t="s">
        <v>92</v>
      </c>
      <c r="D811" s="4">
        <v>28857</v>
      </c>
      <c r="E811" s="4">
        <v>45447</v>
      </c>
      <c r="F811" s="9" t="s">
        <v>2536</v>
      </c>
      <c r="G811" t="s">
        <v>40</v>
      </c>
      <c r="H811" t="s">
        <v>75</v>
      </c>
      <c r="I811" t="s">
        <v>41</v>
      </c>
      <c r="J811" s="7">
        <v>2048196</v>
      </c>
      <c r="K811" t="s">
        <v>71</v>
      </c>
      <c r="L811" t="s">
        <v>34</v>
      </c>
      <c r="M811" t="s">
        <v>78</v>
      </c>
      <c r="N811" s="6" t="s">
        <v>2525</v>
      </c>
      <c r="O811" t="s">
        <v>2531</v>
      </c>
      <c r="P811">
        <f t="shared" si="12"/>
        <v>45</v>
      </c>
    </row>
    <row r="812" spans="1:16" x14ac:dyDescent="0.2">
      <c r="A812" t="s">
        <v>2251</v>
      </c>
      <c r="B812" t="s">
        <v>85</v>
      </c>
      <c r="C812" t="s">
        <v>28</v>
      </c>
      <c r="D812" s="4">
        <v>38305</v>
      </c>
      <c r="E812" s="4">
        <v>45445</v>
      </c>
      <c r="F812" s="9">
        <v>45451</v>
      </c>
      <c r="G812" t="s">
        <v>46</v>
      </c>
      <c r="H812" t="s">
        <v>30</v>
      </c>
      <c r="I812" t="s">
        <v>2535</v>
      </c>
      <c r="J812" s="7">
        <v>4032268</v>
      </c>
      <c r="K812" t="s">
        <v>48</v>
      </c>
      <c r="L812" t="s">
        <v>2527</v>
      </c>
      <c r="M812" t="s">
        <v>78</v>
      </c>
      <c r="N812" s="6">
        <v>6</v>
      </c>
      <c r="O812" t="s">
        <v>36</v>
      </c>
      <c r="P812">
        <f t="shared" si="12"/>
        <v>20</v>
      </c>
    </row>
    <row r="813" spans="1:16" x14ac:dyDescent="0.2">
      <c r="A813" t="s">
        <v>2252</v>
      </c>
      <c r="B813" t="s">
        <v>91</v>
      </c>
      <c r="C813" t="s">
        <v>39</v>
      </c>
      <c r="D813" s="4">
        <v>28505</v>
      </c>
      <c r="E813" s="4">
        <v>45363</v>
      </c>
      <c r="F813" s="9">
        <v>45369</v>
      </c>
      <c r="G813" t="s">
        <v>46</v>
      </c>
      <c r="H813" t="s">
        <v>30</v>
      </c>
      <c r="I813" t="s">
        <v>41</v>
      </c>
      <c r="J813" s="7">
        <v>5261940</v>
      </c>
      <c r="K813" t="s">
        <v>43</v>
      </c>
      <c r="L813" t="s">
        <v>23</v>
      </c>
      <c r="M813" t="s">
        <v>35</v>
      </c>
      <c r="N813" s="6">
        <v>6</v>
      </c>
      <c r="O813" t="s">
        <v>25</v>
      </c>
      <c r="P813">
        <f t="shared" si="12"/>
        <v>46</v>
      </c>
    </row>
    <row r="814" spans="1:16" x14ac:dyDescent="0.2">
      <c r="A814" t="s">
        <v>2253</v>
      </c>
      <c r="B814" t="s">
        <v>105</v>
      </c>
      <c r="C814" t="s">
        <v>92</v>
      </c>
      <c r="D814" s="4">
        <v>30851</v>
      </c>
      <c r="E814" s="4">
        <v>45451</v>
      </c>
      <c r="F814" s="9" t="s">
        <v>2536</v>
      </c>
      <c r="G814" t="s">
        <v>100</v>
      </c>
      <c r="H814" t="s">
        <v>61</v>
      </c>
      <c r="I814" t="s">
        <v>2535</v>
      </c>
      <c r="J814" s="7">
        <v>2429168</v>
      </c>
      <c r="K814" t="s">
        <v>71</v>
      </c>
      <c r="L814" t="s">
        <v>2527</v>
      </c>
      <c r="M814" t="s">
        <v>35</v>
      </c>
      <c r="N814" s="6" t="s">
        <v>2525</v>
      </c>
      <c r="O814" t="s">
        <v>2531</v>
      </c>
      <c r="P814">
        <f t="shared" si="12"/>
        <v>40</v>
      </c>
    </row>
    <row r="815" spans="1:16" x14ac:dyDescent="0.2">
      <c r="A815" t="s">
        <v>1206</v>
      </c>
      <c r="B815" t="s">
        <v>102</v>
      </c>
      <c r="C815" t="s">
        <v>39</v>
      </c>
      <c r="D815" s="4">
        <v>20198</v>
      </c>
      <c r="E815" s="4">
        <v>45355</v>
      </c>
      <c r="F815" s="9">
        <v>45361</v>
      </c>
      <c r="G815" t="s">
        <v>18</v>
      </c>
      <c r="H815" t="s">
        <v>2529</v>
      </c>
      <c r="I815" t="s">
        <v>2535</v>
      </c>
      <c r="J815" s="7">
        <v>1396500</v>
      </c>
      <c r="K815" t="s">
        <v>48</v>
      </c>
      <c r="L815" t="s">
        <v>2527</v>
      </c>
      <c r="M815" t="s">
        <v>78</v>
      </c>
      <c r="N815" s="6">
        <v>6</v>
      </c>
      <c r="O815" t="s">
        <v>25</v>
      </c>
      <c r="P815">
        <f t="shared" si="12"/>
        <v>69</v>
      </c>
    </row>
    <row r="816" spans="1:16" x14ac:dyDescent="0.2">
      <c r="A816" t="s">
        <v>2254</v>
      </c>
      <c r="B816" t="s">
        <v>51</v>
      </c>
      <c r="C816" t="s">
        <v>92</v>
      </c>
      <c r="D816" s="4">
        <v>38091</v>
      </c>
      <c r="E816" s="4">
        <v>45367</v>
      </c>
      <c r="F816" s="9">
        <v>45371</v>
      </c>
      <c r="G816" t="s">
        <v>50</v>
      </c>
      <c r="H816" t="s">
        <v>2528</v>
      </c>
      <c r="I816" t="s">
        <v>2533</v>
      </c>
      <c r="J816" s="7">
        <v>3643752</v>
      </c>
      <c r="K816" t="s">
        <v>48</v>
      </c>
      <c r="L816" t="s">
        <v>2527</v>
      </c>
      <c r="M816" t="s">
        <v>35</v>
      </c>
      <c r="N816" s="6">
        <v>4</v>
      </c>
      <c r="O816" t="s">
        <v>25</v>
      </c>
      <c r="P816">
        <f t="shared" si="12"/>
        <v>20</v>
      </c>
    </row>
    <row r="817" spans="1:16" x14ac:dyDescent="0.2">
      <c r="A817" t="s">
        <v>1210</v>
      </c>
      <c r="B817" t="s">
        <v>82</v>
      </c>
      <c r="C817" t="s">
        <v>92</v>
      </c>
      <c r="D817" s="4">
        <v>30343</v>
      </c>
      <c r="E817" s="4">
        <v>45329</v>
      </c>
      <c r="F817" s="9">
        <v>45338</v>
      </c>
      <c r="G817" t="s">
        <v>18</v>
      </c>
      <c r="H817" t="s">
        <v>2529</v>
      </c>
      <c r="I817" t="s">
        <v>41</v>
      </c>
      <c r="J817" s="7">
        <v>2802596</v>
      </c>
      <c r="K817" t="s">
        <v>48</v>
      </c>
      <c r="L817" t="s">
        <v>2527</v>
      </c>
      <c r="M817" t="s">
        <v>78</v>
      </c>
      <c r="N817" s="6">
        <v>9</v>
      </c>
      <c r="O817" t="s">
        <v>2531</v>
      </c>
      <c r="P817">
        <f t="shared" si="12"/>
        <v>41</v>
      </c>
    </row>
    <row r="818" spans="1:16" x14ac:dyDescent="0.2">
      <c r="A818" t="s">
        <v>2255</v>
      </c>
      <c r="B818" t="s">
        <v>45</v>
      </c>
      <c r="C818" t="s">
        <v>28</v>
      </c>
      <c r="D818" s="4">
        <v>37481</v>
      </c>
      <c r="E818" s="4">
        <v>45374</v>
      </c>
      <c r="F818" s="9" t="s">
        <v>2536</v>
      </c>
      <c r="G818" t="s">
        <v>83</v>
      </c>
      <c r="H818" t="s">
        <v>66</v>
      </c>
      <c r="I818" t="s">
        <v>2533</v>
      </c>
      <c r="J818" s="7">
        <v>3225060</v>
      </c>
      <c r="K818" t="s">
        <v>48</v>
      </c>
      <c r="L818" t="s">
        <v>2527</v>
      </c>
      <c r="M818" t="s">
        <v>24</v>
      </c>
      <c r="N818" s="6" t="s">
        <v>2525</v>
      </c>
      <c r="O818" t="s">
        <v>36</v>
      </c>
      <c r="P818">
        <f t="shared" si="12"/>
        <v>22</v>
      </c>
    </row>
    <row r="819" spans="1:16" x14ac:dyDescent="0.2">
      <c r="A819" t="s">
        <v>2256</v>
      </c>
      <c r="B819" t="s">
        <v>59</v>
      </c>
      <c r="C819" t="s">
        <v>28</v>
      </c>
      <c r="D819" s="4">
        <v>24096</v>
      </c>
      <c r="E819" s="4">
        <v>45448</v>
      </c>
      <c r="F819" s="9">
        <v>45454</v>
      </c>
      <c r="G819" t="s">
        <v>40</v>
      </c>
      <c r="H819" t="s">
        <v>75</v>
      </c>
      <c r="I819" t="s">
        <v>2534</v>
      </c>
      <c r="J819" s="7">
        <v>1395640</v>
      </c>
      <c r="K819" t="s">
        <v>48</v>
      </c>
      <c r="L819" t="s">
        <v>34</v>
      </c>
      <c r="M819" t="s">
        <v>35</v>
      </c>
      <c r="N819" s="6">
        <v>6</v>
      </c>
      <c r="O819" t="s">
        <v>2531</v>
      </c>
      <c r="P819">
        <f t="shared" si="12"/>
        <v>59</v>
      </c>
    </row>
    <row r="820" spans="1:16" x14ac:dyDescent="0.2">
      <c r="A820" t="s">
        <v>1214</v>
      </c>
      <c r="B820" t="s">
        <v>91</v>
      </c>
      <c r="C820" t="s">
        <v>92</v>
      </c>
      <c r="D820" s="4">
        <v>30070</v>
      </c>
      <c r="E820" s="4">
        <v>45378</v>
      </c>
      <c r="F820" s="9">
        <v>45391</v>
      </c>
      <c r="G820" t="s">
        <v>100</v>
      </c>
      <c r="H820" t="s">
        <v>61</v>
      </c>
      <c r="I820" t="s">
        <v>2535</v>
      </c>
      <c r="J820" s="7">
        <v>856244</v>
      </c>
      <c r="K820" t="s">
        <v>71</v>
      </c>
      <c r="L820" t="s">
        <v>23</v>
      </c>
      <c r="M820" t="s">
        <v>24</v>
      </c>
      <c r="N820" s="6">
        <v>13</v>
      </c>
      <c r="O820" t="s">
        <v>25</v>
      </c>
      <c r="P820">
        <f t="shared" si="12"/>
        <v>42</v>
      </c>
    </row>
    <row r="821" spans="1:16" x14ac:dyDescent="0.2">
      <c r="A821" t="s">
        <v>2257</v>
      </c>
      <c r="B821" t="s">
        <v>140</v>
      </c>
      <c r="C821" t="s">
        <v>92</v>
      </c>
      <c r="D821" s="4">
        <v>26808</v>
      </c>
      <c r="E821" s="4">
        <v>45353</v>
      </c>
      <c r="F821" s="9">
        <v>45362</v>
      </c>
      <c r="G821" t="s">
        <v>88</v>
      </c>
      <c r="H821" t="s">
        <v>66</v>
      </c>
      <c r="I821" t="s">
        <v>41</v>
      </c>
      <c r="J821" s="7">
        <v>2116092</v>
      </c>
      <c r="K821" t="s">
        <v>48</v>
      </c>
      <c r="L821" t="s">
        <v>34</v>
      </c>
      <c r="M821" t="s">
        <v>35</v>
      </c>
      <c r="N821" s="6">
        <v>9</v>
      </c>
      <c r="O821" t="s">
        <v>25</v>
      </c>
      <c r="P821">
        <f t="shared" si="12"/>
        <v>51</v>
      </c>
    </row>
    <row r="822" spans="1:16" x14ac:dyDescent="0.2">
      <c r="A822" t="s">
        <v>2258</v>
      </c>
      <c r="B822" t="s">
        <v>59</v>
      </c>
      <c r="C822" t="s">
        <v>92</v>
      </c>
      <c r="D822" s="4">
        <v>30962</v>
      </c>
      <c r="E822" s="4">
        <v>45296</v>
      </c>
      <c r="F822" s="9">
        <v>45307</v>
      </c>
      <c r="G822" t="s">
        <v>40</v>
      </c>
      <c r="H822" t="s">
        <v>75</v>
      </c>
      <c r="I822" t="s">
        <v>67</v>
      </c>
      <c r="J822" s="7">
        <v>1919948</v>
      </c>
      <c r="K822" t="s">
        <v>48</v>
      </c>
      <c r="L822" t="s">
        <v>23</v>
      </c>
      <c r="M822" t="s">
        <v>24</v>
      </c>
      <c r="N822" s="6">
        <v>11</v>
      </c>
      <c r="O822" t="s">
        <v>2531</v>
      </c>
      <c r="P822">
        <f t="shared" si="12"/>
        <v>40</v>
      </c>
    </row>
    <row r="823" spans="1:16" x14ac:dyDescent="0.2">
      <c r="A823" t="s">
        <v>1217</v>
      </c>
      <c r="B823" t="s">
        <v>119</v>
      </c>
      <c r="C823" t="s">
        <v>92</v>
      </c>
      <c r="D823" s="4">
        <v>34947</v>
      </c>
      <c r="E823" s="4">
        <v>45393</v>
      </c>
      <c r="F823" s="9">
        <v>45394</v>
      </c>
      <c r="G823" t="s">
        <v>60</v>
      </c>
      <c r="H823" t="s">
        <v>66</v>
      </c>
      <c r="I823" t="s">
        <v>2533</v>
      </c>
      <c r="J823" s="7">
        <v>4322712</v>
      </c>
      <c r="K823" t="s">
        <v>48</v>
      </c>
      <c r="L823" t="s">
        <v>23</v>
      </c>
      <c r="M823" t="s">
        <v>24</v>
      </c>
      <c r="N823" s="6">
        <v>1</v>
      </c>
      <c r="O823" t="s">
        <v>25</v>
      </c>
      <c r="P823">
        <f t="shared" si="12"/>
        <v>29</v>
      </c>
    </row>
    <row r="824" spans="1:16" x14ac:dyDescent="0.2">
      <c r="A824" t="s">
        <v>2259</v>
      </c>
      <c r="B824" t="s">
        <v>38</v>
      </c>
      <c r="C824" t="s">
        <v>28</v>
      </c>
      <c r="D824" s="4">
        <v>22168</v>
      </c>
      <c r="E824" s="4">
        <v>45407</v>
      </c>
      <c r="F824" s="9">
        <v>45418</v>
      </c>
      <c r="G824" t="s">
        <v>50</v>
      </c>
      <c r="H824" t="s">
        <v>2528</v>
      </c>
      <c r="I824" t="s">
        <v>67</v>
      </c>
      <c r="J824" s="7">
        <v>697820</v>
      </c>
      <c r="K824" t="s">
        <v>48</v>
      </c>
      <c r="L824" t="s">
        <v>23</v>
      </c>
      <c r="M824" t="s">
        <v>35</v>
      </c>
      <c r="N824" s="6">
        <v>11</v>
      </c>
      <c r="O824" t="s">
        <v>2531</v>
      </c>
      <c r="P824">
        <f t="shared" si="12"/>
        <v>64</v>
      </c>
    </row>
    <row r="825" spans="1:16" x14ac:dyDescent="0.2">
      <c r="A825" t="s">
        <v>2260</v>
      </c>
      <c r="B825" t="s">
        <v>51</v>
      </c>
      <c r="C825" t="s">
        <v>92</v>
      </c>
      <c r="D825" s="4">
        <v>28204</v>
      </c>
      <c r="E825" s="4">
        <v>45410</v>
      </c>
      <c r="F825" s="9">
        <v>45414</v>
      </c>
      <c r="G825" t="s">
        <v>50</v>
      </c>
      <c r="H825" t="s">
        <v>2528</v>
      </c>
      <c r="I825" t="s">
        <v>67</v>
      </c>
      <c r="J825" s="7">
        <v>2768648</v>
      </c>
      <c r="K825" t="s">
        <v>48</v>
      </c>
      <c r="L825" t="s">
        <v>23</v>
      </c>
      <c r="M825" t="s">
        <v>78</v>
      </c>
      <c r="N825" s="6">
        <v>4</v>
      </c>
      <c r="O825" t="s">
        <v>2531</v>
      </c>
      <c r="P825">
        <f t="shared" si="12"/>
        <v>47</v>
      </c>
    </row>
    <row r="826" spans="1:16" x14ac:dyDescent="0.2">
      <c r="A826" t="s">
        <v>2261</v>
      </c>
      <c r="B826" t="s">
        <v>59</v>
      </c>
      <c r="C826" t="s">
        <v>28</v>
      </c>
      <c r="D826" s="4">
        <v>31068</v>
      </c>
      <c r="E826" s="4">
        <v>45417</v>
      </c>
      <c r="F826" s="9">
        <v>45422</v>
      </c>
      <c r="G826" t="s">
        <v>74</v>
      </c>
      <c r="H826" t="s">
        <v>2528</v>
      </c>
      <c r="I826" t="s">
        <v>67</v>
      </c>
      <c r="J826" s="7">
        <v>377200</v>
      </c>
      <c r="K826" t="s">
        <v>43</v>
      </c>
      <c r="L826" t="s">
        <v>34</v>
      </c>
      <c r="M826" t="s">
        <v>35</v>
      </c>
      <c r="N826" s="6">
        <v>5</v>
      </c>
      <c r="O826" t="s">
        <v>25</v>
      </c>
      <c r="P826">
        <f t="shared" si="12"/>
        <v>39</v>
      </c>
    </row>
    <row r="827" spans="1:16" x14ac:dyDescent="0.2">
      <c r="A827" t="s">
        <v>2262</v>
      </c>
      <c r="B827" t="s">
        <v>114</v>
      </c>
      <c r="C827" t="s">
        <v>28</v>
      </c>
      <c r="D827" s="4">
        <v>36879</v>
      </c>
      <c r="E827" s="4">
        <v>45316</v>
      </c>
      <c r="F827" s="9">
        <v>45327</v>
      </c>
      <c r="G827" t="s">
        <v>29</v>
      </c>
      <c r="H827" t="s">
        <v>19</v>
      </c>
      <c r="I827" t="s">
        <v>2533</v>
      </c>
      <c r="J827" s="7">
        <v>892500</v>
      </c>
      <c r="K827" t="s">
        <v>71</v>
      </c>
      <c r="L827" t="s">
        <v>34</v>
      </c>
      <c r="M827" t="s">
        <v>78</v>
      </c>
      <c r="N827" s="6">
        <v>11</v>
      </c>
      <c r="O827" t="s">
        <v>25</v>
      </c>
      <c r="P827">
        <f t="shared" si="12"/>
        <v>24</v>
      </c>
    </row>
    <row r="828" spans="1:16" x14ac:dyDescent="0.2">
      <c r="A828" t="s">
        <v>2263</v>
      </c>
      <c r="B828" t="s">
        <v>87</v>
      </c>
      <c r="C828" t="s">
        <v>92</v>
      </c>
      <c r="D828" s="4">
        <v>33236</v>
      </c>
      <c r="E828" s="4">
        <v>45322</v>
      </c>
      <c r="F828" s="9">
        <v>45337</v>
      </c>
      <c r="G828" t="s">
        <v>46</v>
      </c>
      <c r="H828" t="s">
        <v>30</v>
      </c>
      <c r="I828" t="s">
        <v>67</v>
      </c>
      <c r="J828" s="7">
        <v>1041072</v>
      </c>
      <c r="K828" t="s">
        <v>71</v>
      </c>
      <c r="L828" t="s">
        <v>2527</v>
      </c>
      <c r="M828" t="s">
        <v>78</v>
      </c>
      <c r="N828" s="6">
        <v>15</v>
      </c>
      <c r="O828" t="s">
        <v>2531</v>
      </c>
      <c r="P828">
        <f t="shared" si="12"/>
        <v>34</v>
      </c>
    </row>
    <row r="829" spans="1:16" x14ac:dyDescent="0.2">
      <c r="A829" t="s">
        <v>2264</v>
      </c>
      <c r="B829" t="s">
        <v>150</v>
      </c>
      <c r="C829" t="s">
        <v>28</v>
      </c>
      <c r="D829" s="4">
        <v>23287</v>
      </c>
      <c r="E829" s="4">
        <v>45308</v>
      </c>
      <c r="F829" s="9">
        <v>45309</v>
      </c>
      <c r="G829" t="s">
        <v>100</v>
      </c>
      <c r="H829" t="s">
        <v>61</v>
      </c>
      <c r="I829" t="s">
        <v>41</v>
      </c>
      <c r="J829" s="7">
        <v>3971916</v>
      </c>
      <c r="K829" t="s">
        <v>48</v>
      </c>
      <c r="L829" t="s">
        <v>34</v>
      </c>
      <c r="M829" t="s">
        <v>24</v>
      </c>
      <c r="N829" s="6">
        <v>1</v>
      </c>
      <c r="O829" t="s">
        <v>25</v>
      </c>
      <c r="P829">
        <f t="shared" si="12"/>
        <v>61</v>
      </c>
    </row>
    <row r="830" spans="1:16" x14ac:dyDescent="0.2">
      <c r="A830" t="s">
        <v>2265</v>
      </c>
      <c r="B830" t="s">
        <v>45</v>
      </c>
      <c r="C830" t="s">
        <v>28</v>
      </c>
      <c r="D830" s="4">
        <v>33965</v>
      </c>
      <c r="E830" s="4">
        <v>45360</v>
      </c>
      <c r="F830" s="9">
        <v>45374</v>
      </c>
      <c r="G830" t="s">
        <v>50</v>
      </c>
      <c r="H830" t="s">
        <v>2528</v>
      </c>
      <c r="I830" t="s">
        <v>2533</v>
      </c>
      <c r="J830" s="7">
        <v>388516</v>
      </c>
      <c r="K830" t="s">
        <v>43</v>
      </c>
      <c r="L830" t="s">
        <v>2527</v>
      </c>
      <c r="M830" t="s">
        <v>24</v>
      </c>
      <c r="N830" s="6">
        <v>14</v>
      </c>
      <c r="O830" t="s">
        <v>25</v>
      </c>
      <c r="P830">
        <f t="shared" si="12"/>
        <v>32</v>
      </c>
    </row>
    <row r="831" spans="1:16" x14ac:dyDescent="0.2">
      <c r="A831" t="s">
        <v>2266</v>
      </c>
      <c r="B831" t="s">
        <v>80</v>
      </c>
      <c r="C831" t="s">
        <v>92</v>
      </c>
      <c r="D831" s="4">
        <v>30192</v>
      </c>
      <c r="E831" s="4">
        <v>45445</v>
      </c>
      <c r="F831" s="9">
        <v>45453</v>
      </c>
      <c r="G831" t="s">
        <v>83</v>
      </c>
      <c r="H831" t="s">
        <v>66</v>
      </c>
      <c r="I831" t="s">
        <v>2533</v>
      </c>
      <c r="J831" s="7">
        <v>4632016</v>
      </c>
      <c r="K831" t="s">
        <v>48</v>
      </c>
      <c r="L831" t="s">
        <v>2527</v>
      </c>
      <c r="M831" t="s">
        <v>78</v>
      </c>
      <c r="N831" s="6">
        <v>8</v>
      </c>
      <c r="O831" t="s">
        <v>36</v>
      </c>
      <c r="P831">
        <f t="shared" si="12"/>
        <v>42</v>
      </c>
    </row>
    <row r="832" spans="1:16" x14ac:dyDescent="0.2">
      <c r="A832" t="s">
        <v>2267</v>
      </c>
      <c r="B832" t="s">
        <v>114</v>
      </c>
      <c r="C832" t="s">
        <v>92</v>
      </c>
      <c r="D832" s="4">
        <v>27846</v>
      </c>
      <c r="E832" s="4">
        <v>45464</v>
      </c>
      <c r="F832" s="9">
        <v>45471</v>
      </c>
      <c r="G832" t="s">
        <v>29</v>
      </c>
      <c r="H832" t="s">
        <v>19</v>
      </c>
      <c r="I832" t="s">
        <v>2535</v>
      </c>
      <c r="J832" s="7">
        <v>2331096</v>
      </c>
      <c r="K832" t="s">
        <v>48</v>
      </c>
      <c r="L832" t="s">
        <v>2527</v>
      </c>
      <c r="M832" t="s">
        <v>24</v>
      </c>
      <c r="N832" s="6">
        <v>7</v>
      </c>
      <c r="O832" t="s">
        <v>2531</v>
      </c>
      <c r="P832">
        <f t="shared" si="12"/>
        <v>48</v>
      </c>
    </row>
    <row r="833" spans="1:16" x14ac:dyDescent="0.2">
      <c r="A833" t="s">
        <v>2268</v>
      </c>
      <c r="B833" t="s">
        <v>140</v>
      </c>
      <c r="C833" t="s">
        <v>92</v>
      </c>
      <c r="D833" s="4">
        <v>29518</v>
      </c>
      <c r="E833" s="4">
        <v>45445</v>
      </c>
      <c r="F833" s="9">
        <v>45459</v>
      </c>
      <c r="G833" t="s">
        <v>18</v>
      </c>
      <c r="H833" t="s">
        <v>2529</v>
      </c>
      <c r="I833" t="s">
        <v>41</v>
      </c>
      <c r="J833" s="7">
        <v>1965212</v>
      </c>
      <c r="K833" t="s">
        <v>48</v>
      </c>
      <c r="L833" t="s">
        <v>2527</v>
      </c>
      <c r="M833" t="s">
        <v>35</v>
      </c>
      <c r="N833" s="6">
        <v>14</v>
      </c>
      <c r="O833" t="s">
        <v>25</v>
      </c>
      <c r="P833">
        <f t="shared" si="12"/>
        <v>44</v>
      </c>
    </row>
    <row r="834" spans="1:16" x14ac:dyDescent="0.2">
      <c r="A834" t="s">
        <v>2269</v>
      </c>
      <c r="B834" t="s">
        <v>16</v>
      </c>
      <c r="C834" t="s">
        <v>92</v>
      </c>
      <c r="D834" s="4">
        <v>18396</v>
      </c>
      <c r="E834" s="4">
        <v>45432</v>
      </c>
      <c r="F834" s="9">
        <v>45443</v>
      </c>
      <c r="G834" t="s">
        <v>100</v>
      </c>
      <c r="H834" t="s">
        <v>61</v>
      </c>
      <c r="I834" t="s">
        <v>2533</v>
      </c>
      <c r="J834" s="7">
        <v>3259008</v>
      </c>
      <c r="K834" t="s">
        <v>43</v>
      </c>
      <c r="L834" t="s">
        <v>2527</v>
      </c>
      <c r="M834" t="s">
        <v>35</v>
      </c>
      <c r="N834" s="6">
        <v>11</v>
      </c>
      <c r="O834" t="s">
        <v>36</v>
      </c>
      <c r="P834">
        <f t="shared" si="12"/>
        <v>74</v>
      </c>
    </row>
    <row r="835" spans="1:16" x14ac:dyDescent="0.2">
      <c r="A835" t="s">
        <v>2270</v>
      </c>
      <c r="B835" t="s">
        <v>16</v>
      </c>
      <c r="C835" t="s">
        <v>28</v>
      </c>
      <c r="D835" s="4">
        <v>39250</v>
      </c>
      <c r="E835" s="4">
        <v>45331</v>
      </c>
      <c r="F835" s="9">
        <v>45346</v>
      </c>
      <c r="G835" t="s">
        <v>100</v>
      </c>
      <c r="H835" t="s">
        <v>61</v>
      </c>
      <c r="I835" t="s">
        <v>67</v>
      </c>
      <c r="J835" s="7">
        <v>2742244</v>
      </c>
      <c r="K835" t="s">
        <v>71</v>
      </c>
      <c r="L835" t="s">
        <v>2527</v>
      </c>
      <c r="M835" t="s">
        <v>35</v>
      </c>
      <c r="N835" s="6">
        <v>15</v>
      </c>
      <c r="O835" t="s">
        <v>25</v>
      </c>
      <c r="P835">
        <f t="shared" ref="P835:P898" si="13">YEAR(E835)-YEAR(D835)</f>
        <v>17</v>
      </c>
    </row>
    <row r="836" spans="1:16" x14ac:dyDescent="0.2">
      <c r="A836" t="s">
        <v>1230</v>
      </c>
      <c r="B836" t="s">
        <v>64</v>
      </c>
      <c r="C836" t="s">
        <v>92</v>
      </c>
      <c r="D836" s="4">
        <v>27956</v>
      </c>
      <c r="E836" s="4">
        <v>45345</v>
      </c>
      <c r="F836" s="9">
        <v>45356</v>
      </c>
      <c r="G836" t="s">
        <v>74</v>
      </c>
      <c r="H836" t="s">
        <v>2528</v>
      </c>
      <c r="I836" t="s">
        <v>2533</v>
      </c>
      <c r="J836" s="7">
        <v>1293796</v>
      </c>
      <c r="K836" t="s">
        <v>48</v>
      </c>
      <c r="L836" t="s">
        <v>2527</v>
      </c>
      <c r="M836" t="s">
        <v>35</v>
      </c>
      <c r="N836" s="6">
        <v>11</v>
      </c>
      <c r="O836" t="s">
        <v>36</v>
      </c>
      <c r="P836">
        <f t="shared" si="13"/>
        <v>48</v>
      </c>
    </row>
    <row r="837" spans="1:16" x14ac:dyDescent="0.2">
      <c r="A837" t="s">
        <v>2271</v>
      </c>
      <c r="B837" t="s">
        <v>102</v>
      </c>
      <c r="C837" t="s">
        <v>28</v>
      </c>
      <c r="D837" s="4">
        <v>28218</v>
      </c>
      <c r="E837" s="4">
        <v>45450</v>
      </c>
      <c r="F837" s="9">
        <v>45460</v>
      </c>
      <c r="G837" t="s">
        <v>72</v>
      </c>
      <c r="H837" t="s">
        <v>2529</v>
      </c>
      <c r="I837" t="s">
        <v>67</v>
      </c>
      <c r="J837" s="7">
        <v>3930500</v>
      </c>
      <c r="K837" t="s">
        <v>48</v>
      </c>
      <c r="L837" t="s">
        <v>34</v>
      </c>
      <c r="M837" t="s">
        <v>78</v>
      </c>
      <c r="N837" s="6">
        <v>10</v>
      </c>
      <c r="O837" t="s">
        <v>36</v>
      </c>
      <c r="P837">
        <f t="shared" si="13"/>
        <v>47</v>
      </c>
    </row>
    <row r="838" spans="1:16" x14ac:dyDescent="0.2">
      <c r="A838" t="s">
        <v>2272</v>
      </c>
      <c r="B838" t="s">
        <v>16</v>
      </c>
      <c r="C838" t="s">
        <v>28</v>
      </c>
      <c r="D838" s="4">
        <v>37502</v>
      </c>
      <c r="E838" s="4">
        <v>45467</v>
      </c>
      <c r="F838" s="9">
        <v>45474</v>
      </c>
      <c r="G838" t="s">
        <v>100</v>
      </c>
      <c r="H838" t="s">
        <v>61</v>
      </c>
      <c r="I838" t="s">
        <v>67</v>
      </c>
      <c r="J838" s="7">
        <v>3752000</v>
      </c>
      <c r="K838" t="s">
        <v>43</v>
      </c>
      <c r="L838" t="s">
        <v>34</v>
      </c>
      <c r="M838" t="s">
        <v>35</v>
      </c>
      <c r="N838" s="6">
        <v>7</v>
      </c>
      <c r="O838" t="s">
        <v>2531</v>
      </c>
      <c r="P838">
        <f t="shared" si="13"/>
        <v>22</v>
      </c>
    </row>
    <row r="839" spans="1:16" x14ac:dyDescent="0.2">
      <c r="A839" t="s">
        <v>2273</v>
      </c>
      <c r="B839" t="s">
        <v>16</v>
      </c>
      <c r="C839" t="s">
        <v>28</v>
      </c>
      <c r="D839" s="4">
        <v>30710</v>
      </c>
      <c r="E839" s="4">
        <v>45353</v>
      </c>
      <c r="F839" s="9" t="s">
        <v>2536</v>
      </c>
      <c r="G839" t="s">
        <v>60</v>
      </c>
      <c r="H839" t="s">
        <v>66</v>
      </c>
      <c r="I839" t="s">
        <v>41</v>
      </c>
      <c r="J839" s="7">
        <v>3862528</v>
      </c>
      <c r="K839" t="s">
        <v>43</v>
      </c>
      <c r="L839" t="s">
        <v>2527</v>
      </c>
      <c r="M839" t="s">
        <v>35</v>
      </c>
      <c r="N839" s="6" t="s">
        <v>2525</v>
      </c>
      <c r="O839" t="s">
        <v>25</v>
      </c>
      <c r="P839">
        <f t="shared" si="13"/>
        <v>40</v>
      </c>
    </row>
    <row r="840" spans="1:16" x14ac:dyDescent="0.2">
      <c r="A840" t="s">
        <v>2274</v>
      </c>
      <c r="B840" t="s">
        <v>64</v>
      </c>
      <c r="C840" t="s">
        <v>92</v>
      </c>
      <c r="D840" s="4">
        <v>32827</v>
      </c>
      <c r="E840" s="4">
        <v>45420</v>
      </c>
      <c r="F840" s="9">
        <v>45432</v>
      </c>
      <c r="G840" t="s">
        <v>40</v>
      </c>
      <c r="H840" t="s">
        <v>75</v>
      </c>
      <c r="I840" t="s">
        <v>2534</v>
      </c>
      <c r="J840" s="7">
        <v>696500</v>
      </c>
      <c r="K840" t="s">
        <v>43</v>
      </c>
      <c r="L840" t="s">
        <v>34</v>
      </c>
      <c r="M840" t="s">
        <v>24</v>
      </c>
      <c r="N840" s="6">
        <v>12</v>
      </c>
      <c r="O840" t="s">
        <v>36</v>
      </c>
      <c r="P840">
        <f t="shared" si="13"/>
        <v>35</v>
      </c>
    </row>
    <row r="841" spans="1:16" x14ac:dyDescent="0.2">
      <c r="A841" t="s">
        <v>2275</v>
      </c>
      <c r="B841" t="s">
        <v>140</v>
      </c>
      <c r="C841" t="s">
        <v>92</v>
      </c>
      <c r="D841" s="4">
        <v>27776</v>
      </c>
      <c r="E841" s="4">
        <v>45401</v>
      </c>
      <c r="F841" s="9">
        <v>45415</v>
      </c>
      <c r="G841" t="s">
        <v>50</v>
      </c>
      <c r="H841" t="s">
        <v>2528</v>
      </c>
      <c r="I841" t="s">
        <v>2533</v>
      </c>
      <c r="J841" s="7">
        <v>2300920</v>
      </c>
      <c r="K841" t="s">
        <v>71</v>
      </c>
      <c r="L841" t="s">
        <v>23</v>
      </c>
      <c r="M841" t="s">
        <v>78</v>
      </c>
      <c r="N841" s="6">
        <v>14</v>
      </c>
      <c r="O841" t="s">
        <v>25</v>
      </c>
      <c r="P841">
        <f t="shared" si="13"/>
        <v>48</v>
      </c>
    </row>
    <row r="842" spans="1:16" x14ac:dyDescent="0.2">
      <c r="A842" t="s">
        <v>1236</v>
      </c>
      <c r="B842" t="s">
        <v>59</v>
      </c>
      <c r="C842" t="s">
        <v>39</v>
      </c>
      <c r="D842" s="4">
        <v>37386</v>
      </c>
      <c r="E842" s="4">
        <v>45350</v>
      </c>
      <c r="F842" s="9">
        <v>45365</v>
      </c>
      <c r="G842" t="s">
        <v>74</v>
      </c>
      <c r="H842" t="s">
        <v>2528</v>
      </c>
      <c r="I842" t="s">
        <v>67</v>
      </c>
      <c r="J842" s="7">
        <v>1395640</v>
      </c>
      <c r="K842" t="s">
        <v>71</v>
      </c>
      <c r="L842" t="s">
        <v>2527</v>
      </c>
      <c r="M842" t="s">
        <v>78</v>
      </c>
      <c r="N842" s="6">
        <v>15</v>
      </c>
      <c r="O842" t="s">
        <v>25</v>
      </c>
      <c r="P842">
        <f t="shared" si="13"/>
        <v>22</v>
      </c>
    </row>
    <row r="843" spans="1:16" x14ac:dyDescent="0.2">
      <c r="A843" t="s">
        <v>2276</v>
      </c>
      <c r="B843" t="s">
        <v>105</v>
      </c>
      <c r="C843" t="s">
        <v>28</v>
      </c>
      <c r="D843" s="4">
        <v>30332</v>
      </c>
      <c r="E843" s="4">
        <v>45399</v>
      </c>
      <c r="F843" s="9" t="s">
        <v>2536</v>
      </c>
      <c r="G843" t="s">
        <v>29</v>
      </c>
      <c r="H843" t="s">
        <v>19</v>
      </c>
      <c r="I843" t="s">
        <v>2534</v>
      </c>
      <c r="J843" s="7">
        <v>3636208</v>
      </c>
      <c r="K843" t="s">
        <v>48</v>
      </c>
      <c r="L843" t="s">
        <v>34</v>
      </c>
      <c r="M843" t="s">
        <v>78</v>
      </c>
      <c r="N843" s="6" t="s">
        <v>2525</v>
      </c>
      <c r="O843" t="s">
        <v>36</v>
      </c>
      <c r="P843">
        <f t="shared" si="13"/>
        <v>41</v>
      </c>
    </row>
    <row r="844" spans="1:16" x14ac:dyDescent="0.2">
      <c r="A844" t="s">
        <v>2277</v>
      </c>
      <c r="B844" t="s">
        <v>118</v>
      </c>
      <c r="C844" t="s">
        <v>92</v>
      </c>
      <c r="D844" s="4">
        <v>26234</v>
      </c>
      <c r="E844" s="4">
        <v>45322</v>
      </c>
      <c r="F844" s="9">
        <v>45332</v>
      </c>
      <c r="G844" t="s">
        <v>72</v>
      </c>
      <c r="H844" t="s">
        <v>2529</v>
      </c>
      <c r="I844" t="s">
        <v>2533</v>
      </c>
      <c r="J844" s="7">
        <v>5078500</v>
      </c>
      <c r="K844" t="s">
        <v>43</v>
      </c>
      <c r="L844" t="s">
        <v>2527</v>
      </c>
      <c r="M844" t="s">
        <v>78</v>
      </c>
      <c r="N844" s="6">
        <v>10</v>
      </c>
      <c r="O844" t="s">
        <v>2531</v>
      </c>
      <c r="P844">
        <f t="shared" si="13"/>
        <v>53</v>
      </c>
    </row>
    <row r="845" spans="1:16" x14ac:dyDescent="0.2">
      <c r="A845" t="s">
        <v>1240</v>
      </c>
      <c r="B845" t="s">
        <v>119</v>
      </c>
      <c r="C845" t="s">
        <v>28</v>
      </c>
      <c r="D845" s="4">
        <v>22060</v>
      </c>
      <c r="E845" s="4">
        <v>45351</v>
      </c>
      <c r="F845" s="9" t="s">
        <v>2536</v>
      </c>
      <c r="G845" t="s">
        <v>46</v>
      </c>
      <c r="H845" t="s">
        <v>30</v>
      </c>
      <c r="I845" t="s">
        <v>2534</v>
      </c>
      <c r="J845" s="7">
        <v>3394800</v>
      </c>
      <c r="K845" t="s">
        <v>48</v>
      </c>
      <c r="L845" t="s">
        <v>34</v>
      </c>
      <c r="M845" t="s">
        <v>24</v>
      </c>
      <c r="N845" s="6" t="s">
        <v>2525</v>
      </c>
      <c r="O845" t="s">
        <v>2531</v>
      </c>
      <c r="P845">
        <f t="shared" si="13"/>
        <v>64</v>
      </c>
    </row>
    <row r="846" spans="1:16" x14ac:dyDescent="0.2">
      <c r="A846" t="s">
        <v>2278</v>
      </c>
      <c r="B846" t="s">
        <v>38</v>
      </c>
      <c r="C846" t="s">
        <v>92</v>
      </c>
      <c r="D846" s="4">
        <v>35648</v>
      </c>
      <c r="E846" s="4">
        <v>45369</v>
      </c>
      <c r="F846" s="9">
        <v>45373</v>
      </c>
      <c r="G846" t="s">
        <v>50</v>
      </c>
      <c r="H846" t="s">
        <v>2528</v>
      </c>
      <c r="I846" t="s">
        <v>2534</v>
      </c>
      <c r="J846" s="7">
        <v>4043584</v>
      </c>
      <c r="K846" t="s">
        <v>71</v>
      </c>
      <c r="L846" t="s">
        <v>23</v>
      </c>
      <c r="M846" t="s">
        <v>35</v>
      </c>
      <c r="N846" s="6">
        <v>4</v>
      </c>
      <c r="O846" t="s">
        <v>2531</v>
      </c>
      <c r="P846">
        <f t="shared" si="13"/>
        <v>27</v>
      </c>
    </row>
    <row r="847" spans="1:16" x14ac:dyDescent="0.2">
      <c r="A847" t="s">
        <v>2279</v>
      </c>
      <c r="B847" t="s">
        <v>27</v>
      </c>
      <c r="C847" t="s">
        <v>39</v>
      </c>
      <c r="D847" s="4">
        <v>20587</v>
      </c>
      <c r="E847" s="4">
        <v>45462</v>
      </c>
      <c r="F847" s="9">
        <v>45465</v>
      </c>
      <c r="G847" t="s">
        <v>100</v>
      </c>
      <c r="H847" t="s">
        <v>61</v>
      </c>
      <c r="I847" t="s">
        <v>67</v>
      </c>
      <c r="J847" s="7">
        <v>4748948</v>
      </c>
      <c r="K847" t="s">
        <v>48</v>
      </c>
      <c r="L847" t="s">
        <v>2527</v>
      </c>
      <c r="M847" t="s">
        <v>24</v>
      </c>
      <c r="N847" s="6">
        <v>3</v>
      </c>
      <c r="O847" t="s">
        <v>36</v>
      </c>
      <c r="P847">
        <f t="shared" si="13"/>
        <v>68</v>
      </c>
    </row>
    <row r="848" spans="1:16" x14ac:dyDescent="0.2">
      <c r="A848" t="s">
        <v>2280</v>
      </c>
      <c r="B848" t="s">
        <v>80</v>
      </c>
      <c r="C848" t="s">
        <v>39</v>
      </c>
      <c r="D848" s="4">
        <v>32415</v>
      </c>
      <c r="E848" s="4">
        <v>45374</v>
      </c>
      <c r="F848" s="9" t="s">
        <v>2536</v>
      </c>
      <c r="G848" t="s">
        <v>72</v>
      </c>
      <c r="H848" t="s">
        <v>2529</v>
      </c>
      <c r="I848" t="s">
        <v>2533</v>
      </c>
      <c r="J848" s="7">
        <v>3394800</v>
      </c>
      <c r="K848" t="s">
        <v>43</v>
      </c>
      <c r="L848" t="s">
        <v>23</v>
      </c>
      <c r="M848" t="s">
        <v>24</v>
      </c>
      <c r="N848" s="6" t="s">
        <v>2525</v>
      </c>
      <c r="O848" t="s">
        <v>2531</v>
      </c>
      <c r="P848">
        <f t="shared" si="13"/>
        <v>36</v>
      </c>
    </row>
    <row r="849" spans="1:16" x14ac:dyDescent="0.2">
      <c r="A849" t="s">
        <v>2281</v>
      </c>
      <c r="B849" t="s">
        <v>82</v>
      </c>
      <c r="C849" t="s">
        <v>28</v>
      </c>
      <c r="D849" s="4">
        <v>39082</v>
      </c>
      <c r="E849" s="4">
        <v>45353</v>
      </c>
      <c r="F849" s="9">
        <v>45355</v>
      </c>
      <c r="G849" t="s">
        <v>18</v>
      </c>
      <c r="H849" t="s">
        <v>2529</v>
      </c>
      <c r="I849" t="s">
        <v>2533</v>
      </c>
      <c r="J849" s="7">
        <v>886420</v>
      </c>
      <c r="K849" t="s">
        <v>48</v>
      </c>
      <c r="L849" t="s">
        <v>34</v>
      </c>
      <c r="M849" t="s">
        <v>78</v>
      </c>
      <c r="N849" s="6">
        <v>2</v>
      </c>
      <c r="O849" t="s">
        <v>36</v>
      </c>
      <c r="P849">
        <f t="shared" si="13"/>
        <v>18</v>
      </c>
    </row>
    <row r="850" spans="1:16" x14ac:dyDescent="0.2">
      <c r="A850" t="s">
        <v>2282</v>
      </c>
      <c r="B850" t="s">
        <v>59</v>
      </c>
      <c r="C850" t="s">
        <v>92</v>
      </c>
      <c r="D850" s="4">
        <v>35804</v>
      </c>
      <c r="E850" s="4">
        <v>45370</v>
      </c>
      <c r="F850" s="9">
        <v>45377</v>
      </c>
      <c r="G850" t="s">
        <v>100</v>
      </c>
      <c r="H850" t="s">
        <v>61</v>
      </c>
      <c r="I850" t="s">
        <v>67</v>
      </c>
      <c r="J850" s="7">
        <v>3857000</v>
      </c>
      <c r="K850" t="s">
        <v>43</v>
      </c>
      <c r="L850" t="s">
        <v>34</v>
      </c>
      <c r="M850" t="s">
        <v>78</v>
      </c>
      <c r="N850" s="6">
        <v>7</v>
      </c>
      <c r="O850" t="s">
        <v>36</v>
      </c>
      <c r="P850">
        <f t="shared" si="13"/>
        <v>26</v>
      </c>
    </row>
    <row r="851" spans="1:16" x14ac:dyDescent="0.2">
      <c r="A851" t="s">
        <v>2283</v>
      </c>
      <c r="B851" t="s">
        <v>85</v>
      </c>
      <c r="C851" t="s">
        <v>92</v>
      </c>
      <c r="D851" s="4">
        <v>25729</v>
      </c>
      <c r="E851" s="4">
        <v>45374</v>
      </c>
      <c r="F851" s="9">
        <v>45380</v>
      </c>
      <c r="G851" t="s">
        <v>50</v>
      </c>
      <c r="H851" t="s">
        <v>2528</v>
      </c>
      <c r="I851" t="s">
        <v>2533</v>
      </c>
      <c r="J851" s="7">
        <v>4375520</v>
      </c>
      <c r="K851" t="s">
        <v>48</v>
      </c>
      <c r="L851" t="s">
        <v>2527</v>
      </c>
      <c r="M851" t="s">
        <v>24</v>
      </c>
      <c r="N851" s="6">
        <v>6</v>
      </c>
      <c r="O851" t="s">
        <v>25</v>
      </c>
      <c r="P851">
        <f t="shared" si="13"/>
        <v>54</v>
      </c>
    </row>
    <row r="852" spans="1:16" x14ac:dyDescent="0.2">
      <c r="A852" t="s">
        <v>2284</v>
      </c>
      <c r="B852" t="s">
        <v>87</v>
      </c>
      <c r="C852" t="s">
        <v>39</v>
      </c>
      <c r="D852" s="4">
        <v>27931</v>
      </c>
      <c r="E852" s="4">
        <v>45467</v>
      </c>
      <c r="F852" s="9">
        <v>45476</v>
      </c>
      <c r="G852" t="s">
        <v>50</v>
      </c>
      <c r="H852" t="s">
        <v>2528</v>
      </c>
      <c r="I852" t="s">
        <v>2533</v>
      </c>
      <c r="J852" s="7">
        <v>4869652</v>
      </c>
      <c r="K852" t="s">
        <v>48</v>
      </c>
      <c r="L852" t="s">
        <v>2527</v>
      </c>
      <c r="M852" t="s">
        <v>24</v>
      </c>
      <c r="N852" s="6">
        <v>9</v>
      </c>
      <c r="O852" t="s">
        <v>2531</v>
      </c>
      <c r="P852">
        <f t="shared" si="13"/>
        <v>48</v>
      </c>
    </row>
    <row r="853" spans="1:16" x14ac:dyDescent="0.2">
      <c r="A853" t="s">
        <v>2285</v>
      </c>
      <c r="B853" t="s">
        <v>59</v>
      </c>
      <c r="C853" t="s">
        <v>28</v>
      </c>
      <c r="D853" s="4">
        <v>39480</v>
      </c>
      <c r="E853" s="4">
        <v>45387</v>
      </c>
      <c r="F853" s="9">
        <v>45399</v>
      </c>
      <c r="G853" t="s">
        <v>18</v>
      </c>
      <c r="H853" t="s">
        <v>2529</v>
      </c>
      <c r="I853" t="s">
        <v>2535</v>
      </c>
      <c r="J853" s="7">
        <v>3013828</v>
      </c>
      <c r="K853" t="s">
        <v>48</v>
      </c>
      <c r="L853" t="s">
        <v>34</v>
      </c>
      <c r="M853" t="s">
        <v>78</v>
      </c>
      <c r="N853" s="6">
        <v>12</v>
      </c>
      <c r="O853" t="s">
        <v>36</v>
      </c>
      <c r="P853">
        <f t="shared" si="13"/>
        <v>16</v>
      </c>
    </row>
    <row r="854" spans="1:16" x14ac:dyDescent="0.2">
      <c r="A854" t="s">
        <v>2286</v>
      </c>
      <c r="B854" t="s">
        <v>118</v>
      </c>
      <c r="C854" t="s">
        <v>92</v>
      </c>
      <c r="D854" s="4">
        <v>20444</v>
      </c>
      <c r="E854" s="4">
        <v>45357</v>
      </c>
      <c r="F854" s="9">
        <v>45366</v>
      </c>
      <c r="G854" t="s">
        <v>40</v>
      </c>
      <c r="H854" t="s">
        <v>75</v>
      </c>
      <c r="I854" t="s">
        <v>2533</v>
      </c>
      <c r="J854" s="7">
        <v>1774500</v>
      </c>
      <c r="K854" t="s">
        <v>48</v>
      </c>
      <c r="L854" t="s">
        <v>2527</v>
      </c>
      <c r="M854" t="s">
        <v>24</v>
      </c>
      <c r="N854" s="6">
        <v>9</v>
      </c>
      <c r="O854" t="s">
        <v>25</v>
      </c>
      <c r="P854">
        <f t="shared" si="13"/>
        <v>69</v>
      </c>
    </row>
    <row r="855" spans="1:16" x14ac:dyDescent="0.2">
      <c r="A855" t="s">
        <v>2287</v>
      </c>
      <c r="B855" t="s">
        <v>82</v>
      </c>
      <c r="C855" t="s">
        <v>28</v>
      </c>
      <c r="D855" s="4">
        <v>28525</v>
      </c>
      <c r="E855" s="4">
        <v>45327</v>
      </c>
      <c r="F855" s="9" t="s">
        <v>2536</v>
      </c>
      <c r="G855" t="s">
        <v>88</v>
      </c>
      <c r="H855" t="s">
        <v>66</v>
      </c>
      <c r="I855" t="s">
        <v>41</v>
      </c>
      <c r="J855" s="7">
        <v>850500</v>
      </c>
      <c r="K855" t="s">
        <v>48</v>
      </c>
      <c r="L855" t="s">
        <v>2527</v>
      </c>
      <c r="M855" t="s">
        <v>35</v>
      </c>
      <c r="N855" s="6" t="s">
        <v>2525</v>
      </c>
      <c r="O855" t="s">
        <v>2531</v>
      </c>
      <c r="P855">
        <f t="shared" si="13"/>
        <v>46</v>
      </c>
    </row>
    <row r="856" spans="1:16" x14ac:dyDescent="0.2">
      <c r="A856" t="s">
        <v>2288</v>
      </c>
      <c r="B856" t="s">
        <v>82</v>
      </c>
      <c r="C856" t="s">
        <v>28</v>
      </c>
      <c r="D856" s="4">
        <v>19572</v>
      </c>
      <c r="E856" s="4">
        <v>45294</v>
      </c>
      <c r="F856" s="9">
        <v>45304</v>
      </c>
      <c r="G856" t="s">
        <v>60</v>
      </c>
      <c r="H856" t="s">
        <v>66</v>
      </c>
      <c r="I856" t="s">
        <v>67</v>
      </c>
      <c r="J856" s="7">
        <v>2157584</v>
      </c>
      <c r="K856" t="s">
        <v>43</v>
      </c>
      <c r="L856" t="s">
        <v>2527</v>
      </c>
      <c r="M856" t="s">
        <v>24</v>
      </c>
      <c r="N856" s="6">
        <v>10</v>
      </c>
      <c r="O856" t="s">
        <v>25</v>
      </c>
      <c r="P856">
        <f t="shared" si="13"/>
        <v>71</v>
      </c>
    </row>
    <row r="857" spans="1:16" x14ac:dyDescent="0.2">
      <c r="A857" t="s">
        <v>1256</v>
      </c>
      <c r="B857" t="s">
        <v>27</v>
      </c>
      <c r="C857" t="s">
        <v>92</v>
      </c>
      <c r="D857" s="4">
        <v>28642</v>
      </c>
      <c r="E857" s="4">
        <v>45335</v>
      </c>
      <c r="F857" s="9">
        <v>45345</v>
      </c>
      <c r="G857" t="s">
        <v>46</v>
      </c>
      <c r="H857" t="s">
        <v>30</v>
      </c>
      <c r="I857" t="s">
        <v>2535</v>
      </c>
      <c r="J857" s="7">
        <v>4749500</v>
      </c>
      <c r="K857" t="s">
        <v>71</v>
      </c>
      <c r="L857" t="s">
        <v>34</v>
      </c>
      <c r="M857" t="s">
        <v>35</v>
      </c>
      <c r="N857" s="6">
        <v>10</v>
      </c>
      <c r="O857" t="s">
        <v>36</v>
      </c>
      <c r="P857">
        <f t="shared" si="13"/>
        <v>46</v>
      </c>
    </row>
    <row r="858" spans="1:16" x14ac:dyDescent="0.2">
      <c r="A858" t="s">
        <v>1258</v>
      </c>
      <c r="B858" t="s">
        <v>91</v>
      </c>
      <c r="C858" t="s">
        <v>28</v>
      </c>
      <c r="D858" s="4">
        <v>38239</v>
      </c>
      <c r="E858" s="4">
        <v>45336</v>
      </c>
      <c r="F858" s="9">
        <v>45337</v>
      </c>
      <c r="G858" t="s">
        <v>72</v>
      </c>
      <c r="H858" t="s">
        <v>2529</v>
      </c>
      <c r="I858" t="s">
        <v>2533</v>
      </c>
      <c r="J858" s="7">
        <v>4854564</v>
      </c>
      <c r="K858" t="s">
        <v>71</v>
      </c>
      <c r="L858" t="s">
        <v>23</v>
      </c>
      <c r="M858" t="s">
        <v>35</v>
      </c>
      <c r="N858" s="6">
        <v>1</v>
      </c>
      <c r="O858" t="s">
        <v>25</v>
      </c>
      <c r="P858">
        <f t="shared" si="13"/>
        <v>20</v>
      </c>
    </row>
    <row r="859" spans="1:16" x14ac:dyDescent="0.2">
      <c r="A859" t="s">
        <v>2289</v>
      </c>
      <c r="B859" t="s">
        <v>114</v>
      </c>
      <c r="C859" t="s">
        <v>28</v>
      </c>
      <c r="D859" s="4">
        <v>23191</v>
      </c>
      <c r="E859" s="4">
        <v>45449</v>
      </c>
      <c r="F859" s="9" t="s">
        <v>2536</v>
      </c>
      <c r="G859" t="s">
        <v>60</v>
      </c>
      <c r="H859" t="s">
        <v>66</v>
      </c>
      <c r="I859" t="s">
        <v>2534</v>
      </c>
      <c r="J859" s="7">
        <v>4171832</v>
      </c>
      <c r="K859" t="s">
        <v>43</v>
      </c>
      <c r="L859" t="s">
        <v>2527</v>
      </c>
      <c r="M859" t="s">
        <v>78</v>
      </c>
      <c r="N859" s="6" t="s">
        <v>2525</v>
      </c>
      <c r="O859" t="s">
        <v>2531</v>
      </c>
      <c r="P859">
        <f t="shared" si="13"/>
        <v>61</v>
      </c>
    </row>
    <row r="860" spans="1:16" x14ac:dyDescent="0.2">
      <c r="A860" t="s">
        <v>2290</v>
      </c>
      <c r="B860" t="s">
        <v>118</v>
      </c>
      <c r="C860" t="s">
        <v>39</v>
      </c>
      <c r="D860" s="4">
        <v>32753</v>
      </c>
      <c r="E860" s="4">
        <v>45387</v>
      </c>
      <c r="F860" s="9">
        <v>45397</v>
      </c>
      <c r="G860" t="s">
        <v>46</v>
      </c>
      <c r="H860" t="s">
        <v>30</v>
      </c>
      <c r="I860" t="s">
        <v>2533</v>
      </c>
      <c r="J860" s="7">
        <v>1976528</v>
      </c>
      <c r="K860" t="s">
        <v>48</v>
      </c>
      <c r="L860" t="s">
        <v>2527</v>
      </c>
      <c r="M860" t="s">
        <v>78</v>
      </c>
      <c r="N860" s="6">
        <v>10</v>
      </c>
      <c r="O860" t="s">
        <v>2531</v>
      </c>
      <c r="P860">
        <f t="shared" si="13"/>
        <v>35</v>
      </c>
    </row>
    <row r="861" spans="1:16" x14ac:dyDescent="0.2">
      <c r="A861" t="s">
        <v>2291</v>
      </c>
      <c r="B861" t="s">
        <v>91</v>
      </c>
      <c r="C861" t="s">
        <v>28</v>
      </c>
      <c r="D861" s="4">
        <v>37939</v>
      </c>
      <c r="E861" s="4">
        <v>45298</v>
      </c>
      <c r="F861" s="9">
        <v>45300</v>
      </c>
      <c r="G861" t="s">
        <v>88</v>
      </c>
      <c r="H861" t="s">
        <v>66</v>
      </c>
      <c r="I861" t="s">
        <v>2535</v>
      </c>
      <c r="J861" s="7">
        <v>2821000</v>
      </c>
      <c r="K861" t="s">
        <v>71</v>
      </c>
      <c r="L861" t="s">
        <v>34</v>
      </c>
      <c r="M861" t="s">
        <v>78</v>
      </c>
      <c r="N861" s="6">
        <v>2</v>
      </c>
      <c r="O861" t="s">
        <v>36</v>
      </c>
      <c r="P861">
        <f t="shared" si="13"/>
        <v>21</v>
      </c>
    </row>
    <row r="862" spans="1:16" x14ac:dyDescent="0.2">
      <c r="A862" t="s">
        <v>1262</v>
      </c>
      <c r="B862" t="s">
        <v>82</v>
      </c>
      <c r="C862" t="s">
        <v>92</v>
      </c>
      <c r="D862" s="4">
        <v>29674</v>
      </c>
      <c r="E862" s="4">
        <v>45360</v>
      </c>
      <c r="F862" s="9">
        <v>45365</v>
      </c>
      <c r="G862" t="s">
        <v>46</v>
      </c>
      <c r="H862" t="s">
        <v>30</v>
      </c>
      <c r="I862" t="s">
        <v>67</v>
      </c>
      <c r="J862" s="7">
        <v>4899828</v>
      </c>
      <c r="K862" t="s">
        <v>48</v>
      </c>
      <c r="L862" t="s">
        <v>2527</v>
      </c>
      <c r="M862" t="s">
        <v>78</v>
      </c>
      <c r="N862" s="6">
        <v>5</v>
      </c>
      <c r="O862" t="s">
        <v>25</v>
      </c>
      <c r="P862">
        <f t="shared" si="13"/>
        <v>43</v>
      </c>
    </row>
    <row r="863" spans="1:16" x14ac:dyDescent="0.2">
      <c r="A863" t="s">
        <v>1264</v>
      </c>
      <c r="B863" t="s">
        <v>140</v>
      </c>
      <c r="C863" t="s">
        <v>92</v>
      </c>
      <c r="D863" s="4">
        <v>38431</v>
      </c>
      <c r="E863" s="4">
        <v>45356</v>
      </c>
      <c r="F863" s="9">
        <v>45361</v>
      </c>
      <c r="G863" t="s">
        <v>46</v>
      </c>
      <c r="H863" t="s">
        <v>30</v>
      </c>
      <c r="I863" t="s">
        <v>67</v>
      </c>
      <c r="J863" s="7">
        <v>3472000</v>
      </c>
      <c r="K863" t="s">
        <v>48</v>
      </c>
      <c r="L863" t="s">
        <v>23</v>
      </c>
      <c r="M863" t="s">
        <v>78</v>
      </c>
      <c r="N863" s="6">
        <v>5</v>
      </c>
      <c r="O863" t="s">
        <v>25</v>
      </c>
      <c r="P863">
        <f t="shared" si="13"/>
        <v>19</v>
      </c>
    </row>
    <row r="864" spans="1:16" x14ac:dyDescent="0.2">
      <c r="A864" t="s">
        <v>1265</v>
      </c>
      <c r="B864" t="s">
        <v>150</v>
      </c>
      <c r="C864" t="s">
        <v>92</v>
      </c>
      <c r="D864" s="4">
        <v>19972</v>
      </c>
      <c r="E864" s="4">
        <v>45365</v>
      </c>
      <c r="F864" s="9">
        <v>45380</v>
      </c>
      <c r="G864" t="s">
        <v>50</v>
      </c>
      <c r="H864" t="s">
        <v>2528</v>
      </c>
      <c r="I864" t="s">
        <v>41</v>
      </c>
      <c r="J864" s="7">
        <v>1886000</v>
      </c>
      <c r="K864" t="s">
        <v>48</v>
      </c>
      <c r="L864" t="s">
        <v>34</v>
      </c>
      <c r="M864" t="s">
        <v>78</v>
      </c>
      <c r="N864" s="6">
        <v>15</v>
      </c>
      <c r="O864" t="s">
        <v>2531</v>
      </c>
      <c r="P864">
        <f t="shared" si="13"/>
        <v>70</v>
      </c>
    </row>
    <row r="865" spans="1:16" x14ac:dyDescent="0.2">
      <c r="A865" t="s">
        <v>1266</v>
      </c>
      <c r="B865" t="s">
        <v>114</v>
      </c>
      <c r="C865" t="s">
        <v>92</v>
      </c>
      <c r="D865" s="4">
        <v>30353</v>
      </c>
      <c r="E865" s="4">
        <v>45331</v>
      </c>
      <c r="F865" s="9">
        <v>45332</v>
      </c>
      <c r="G865" t="s">
        <v>46</v>
      </c>
      <c r="H865" t="s">
        <v>30</v>
      </c>
      <c r="I865" t="s">
        <v>2533</v>
      </c>
      <c r="J865" s="7">
        <v>4341572</v>
      </c>
      <c r="K865" t="s">
        <v>43</v>
      </c>
      <c r="L865" t="s">
        <v>34</v>
      </c>
      <c r="M865" t="s">
        <v>78</v>
      </c>
      <c r="N865" s="6">
        <v>1</v>
      </c>
      <c r="O865" t="s">
        <v>25</v>
      </c>
      <c r="P865">
        <f t="shared" si="13"/>
        <v>41</v>
      </c>
    </row>
    <row r="866" spans="1:16" x14ac:dyDescent="0.2">
      <c r="A866" t="s">
        <v>2292</v>
      </c>
      <c r="B866" t="s">
        <v>87</v>
      </c>
      <c r="C866" t="s">
        <v>39</v>
      </c>
      <c r="D866" s="4">
        <v>22598</v>
      </c>
      <c r="E866" s="4">
        <v>45447</v>
      </c>
      <c r="F866" s="9">
        <v>45452</v>
      </c>
      <c r="G866" t="s">
        <v>50</v>
      </c>
      <c r="H866" t="s">
        <v>2528</v>
      </c>
      <c r="I866" t="s">
        <v>67</v>
      </c>
      <c r="J866" s="7">
        <v>1225900</v>
      </c>
      <c r="K866" t="s">
        <v>48</v>
      </c>
      <c r="L866" t="s">
        <v>34</v>
      </c>
      <c r="M866" t="s">
        <v>35</v>
      </c>
      <c r="N866" s="6">
        <v>5</v>
      </c>
      <c r="O866" t="s">
        <v>25</v>
      </c>
      <c r="P866">
        <f t="shared" si="13"/>
        <v>63</v>
      </c>
    </row>
    <row r="867" spans="1:16" x14ac:dyDescent="0.2">
      <c r="A867" t="s">
        <v>2293</v>
      </c>
      <c r="B867" t="s">
        <v>114</v>
      </c>
      <c r="C867" t="s">
        <v>92</v>
      </c>
      <c r="D867" s="4">
        <v>34318</v>
      </c>
      <c r="E867" s="4">
        <v>45432</v>
      </c>
      <c r="F867" s="9">
        <v>45440</v>
      </c>
      <c r="G867" t="s">
        <v>18</v>
      </c>
      <c r="H867" t="s">
        <v>2529</v>
      </c>
      <c r="I867" t="s">
        <v>2534</v>
      </c>
      <c r="J867" s="7">
        <v>3251500</v>
      </c>
      <c r="K867" t="s">
        <v>43</v>
      </c>
      <c r="L867" t="s">
        <v>2527</v>
      </c>
      <c r="M867" t="s">
        <v>35</v>
      </c>
      <c r="N867" s="6">
        <v>8</v>
      </c>
      <c r="O867" t="s">
        <v>25</v>
      </c>
      <c r="P867">
        <f t="shared" si="13"/>
        <v>31</v>
      </c>
    </row>
    <row r="868" spans="1:16" x14ac:dyDescent="0.2">
      <c r="A868" t="s">
        <v>1269</v>
      </c>
      <c r="B868" t="s">
        <v>51</v>
      </c>
      <c r="C868" t="s">
        <v>92</v>
      </c>
      <c r="D868" s="4">
        <v>37918</v>
      </c>
      <c r="E868" s="4">
        <v>45368</v>
      </c>
      <c r="F868" s="9">
        <v>45375</v>
      </c>
      <c r="G868" t="s">
        <v>29</v>
      </c>
      <c r="H868" t="s">
        <v>19</v>
      </c>
      <c r="I868" t="s">
        <v>2533</v>
      </c>
      <c r="J868" s="7">
        <v>518000</v>
      </c>
      <c r="K868" t="s">
        <v>71</v>
      </c>
      <c r="L868" t="s">
        <v>23</v>
      </c>
      <c r="M868" t="s">
        <v>35</v>
      </c>
      <c r="N868" s="6">
        <v>7</v>
      </c>
      <c r="O868" t="s">
        <v>2531</v>
      </c>
      <c r="P868">
        <f t="shared" si="13"/>
        <v>21</v>
      </c>
    </row>
    <row r="869" spans="1:16" x14ac:dyDescent="0.2">
      <c r="A869" t="s">
        <v>1270</v>
      </c>
      <c r="B869" t="s">
        <v>114</v>
      </c>
      <c r="C869" t="s">
        <v>39</v>
      </c>
      <c r="D869" s="4">
        <v>37611</v>
      </c>
      <c r="E869" s="4">
        <v>45458</v>
      </c>
      <c r="F869" s="9">
        <v>45461</v>
      </c>
      <c r="G869" t="s">
        <v>50</v>
      </c>
      <c r="H869" t="s">
        <v>2528</v>
      </c>
      <c r="I869" t="s">
        <v>2533</v>
      </c>
      <c r="J869" s="7">
        <v>4134112</v>
      </c>
      <c r="K869" t="s">
        <v>71</v>
      </c>
      <c r="L869" t="s">
        <v>2527</v>
      </c>
      <c r="M869" t="s">
        <v>78</v>
      </c>
      <c r="N869" s="6">
        <v>3</v>
      </c>
      <c r="O869" t="s">
        <v>25</v>
      </c>
      <c r="P869">
        <f t="shared" si="13"/>
        <v>22</v>
      </c>
    </row>
    <row r="870" spans="1:16" x14ac:dyDescent="0.2">
      <c r="A870" t="s">
        <v>2294</v>
      </c>
      <c r="B870" t="s">
        <v>80</v>
      </c>
      <c r="C870" t="s">
        <v>28</v>
      </c>
      <c r="D870" s="4">
        <v>23032</v>
      </c>
      <c r="E870" s="4">
        <v>45367</v>
      </c>
      <c r="F870" s="9" t="s">
        <v>2536</v>
      </c>
      <c r="G870" t="s">
        <v>100</v>
      </c>
      <c r="H870" t="s">
        <v>61</v>
      </c>
      <c r="I870" t="s">
        <v>2534</v>
      </c>
      <c r="J870" s="7">
        <v>3722964</v>
      </c>
      <c r="K870" t="s">
        <v>43</v>
      </c>
      <c r="L870" t="s">
        <v>2527</v>
      </c>
      <c r="M870" t="s">
        <v>78</v>
      </c>
      <c r="N870" s="6" t="s">
        <v>2525</v>
      </c>
      <c r="O870" t="s">
        <v>36</v>
      </c>
      <c r="P870">
        <f t="shared" si="13"/>
        <v>61</v>
      </c>
    </row>
    <row r="871" spans="1:16" x14ac:dyDescent="0.2">
      <c r="A871" t="s">
        <v>1272</v>
      </c>
      <c r="B871" t="s">
        <v>56</v>
      </c>
      <c r="C871" t="s">
        <v>92</v>
      </c>
      <c r="D871" s="4">
        <v>29814</v>
      </c>
      <c r="E871" s="4">
        <v>45341</v>
      </c>
      <c r="F871" s="9">
        <v>45344</v>
      </c>
      <c r="G871" t="s">
        <v>74</v>
      </c>
      <c r="H871" t="s">
        <v>2528</v>
      </c>
      <c r="I871" t="s">
        <v>2534</v>
      </c>
      <c r="J871" s="7">
        <v>4375000</v>
      </c>
      <c r="K871" t="s">
        <v>48</v>
      </c>
      <c r="L871" t="s">
        <v>34</v>
      </c>
      <c r="M871" t="s">
        <v>24</v>
      </c>
      <c r="N871" s="6">
        <v>3</v>
      </c>
      <c r="O871" t="s">
        <v>2531</v>
      </c>
      <c r="P871">
        <f t="shared" si="13"/>
        <v>43</v>
      </c>
    </row>
    <row r="872" spans="1:16" x14ac:dyDescent="0.2">
      <c r="A872" t="s">
        <v>2295</v>
      </c>
      <c r="B872" t="s">
        <v>64</v>
      </c>
      <c r="C872" t="s">
        <v>28</v>
      </c>
      <c r="D872" s="4">
        <v>31483</v>
      </c>
      <c r="E872" s="4">
        <v>45448</v>
      </c>
      <c r="F872" s="9">
        <v>45454</v>
      </c>
      <c r="G872" t="s">
        <v>83</v>
      </c>
      <c r="H872" t="s">
        <v>66</v>
      </c>
      <c r="I872" t="s">
        <v>41</v>
      </c>
      <c r="J872" s="7">
        <v>4367976</v>
      </c>
      <c r="K872" t="s">
        <v>71</v>
      </c>
      <c r="L872" t="s">
        <v>2527</v>
      </c>
      <c r="M872" t="s">
        <v>78</v>
      </c>
      <c r="N872" s="6">
        <v>6</v>
      </c>
      <c r="O872" t="s">
        <v>2531</v>
      </c>
      <c r="P872">
        <f t="shared" si="13"/>
        <v>38</v>
      </c>
    </row>
    <row r="873" spans="1:16" x14ac:dyDescent="0.2">
      <c r="A873" t="s">
        <v>2296</v>
      </c>
      <c r="B873" t="s">
        <v>119</v>
      </c>
      <c r="C873" t="s">
        <v>92</v>
      </c>
      <c r="D873" s="4">
        <v>20468</v>
      </c>
      <c r="E873" s="4">
        <v>45388</v>
      </c>
      <c r="F873" s="9">
        <v>45396</v>
      </c>
      <c r="G873" t="s">
        <v>46</v>
      </c>
      <c r="H873" t="s">
        <v>30</v>
      </c>
      <c r="I873" t="s">
        <v>41</v>
      </c>
      <c r="J873" s="7">
        <v>1893544</v>
      </c>
      <c r="K873" t="s">
        <v>43</v>
      </c>
      <c r="L873" t="s">
        <v>2527</v>
      </c>
      <c r="M873" t="s">
        <v>78</v>
      </c>
      <c r="N873" s="6">
        <v>8</v>
      </c>
      <c r="O873" t="s">
        <v>25</v>
      </c>
      <c r="P873">
        <f t="shared" si="13"/>
        <v>68</v>
      </c>
    </row>
    <row r="874" spans="1:16" x14ac:dyDescent="0.2">
      <c r="A874" t="s">
        <v>2297</v>
      </c>
      <c r="B874" t="s">
        <v>64</v>
      </c>
      <c r="C874" t="s">
        <v>28</v>
      </c>
      <c r="D874" s="4">
        <v>24637</v>
      </c>
      <c r="E874" s="4">
        <v>45437</v>
      </c>
      <c r="F874" s="9">
        <v>45451</v>
      </c>
      <c r="G874" t="s">
        <v>29</v>
      </c>
      <c r="H874" t="s">
        <v>19</v>
      </c>
      <c r="I874" t="s">
        <v>2535</v>
      </c>
      <c r="J874" s="7">
        <v>2346184</v>
      </c>
      <c r="K874" t="s">
        <v>48</v>
      </c>
      <c r="L874" t="s">
        <v>34</v>
      </c>
      <c r="M874" t="s">
        <v>35</v>
      </c>
      <c r="N874" s="6">
        <v>14</v>
      </c>
      <c r="O874" t="s">
        <v>2531</v>
      </c>
      <c r="P874">
        <f t="shared" si="13"/>
        <v>57</v>
      </c>
    </row>
    <row r="875" spans="1:16" x14ac:dyDescent="0.2">
      <c r="A875" t="s">
        <v>2298</v>
      </c>
      <c r="B875" t="s">
        <v>150</v>
      </c>
      <c r="C875" t="s">
        <v>28</v>
      </c>
      <c r="D875" s="4">
        <v>33609</v>
      </c>
      <c r="E875" s="4">
        <v>45464</v>
      </c>
      <c r="F875" s="9" t="s">
        <v>2536</v>
      </c>
      <c r="G875" t="s">
        <v>72</v>
      </c>
      <c r="H875" t="s">
        <v>2529</v>
      </c>
      <c r="I875" t="s">
        <v>41</v>
      </c>
      <c r="J875" s="7">
        <v>2803500</v>
      </c>
      <c r="K875" t="s">
        <v>71</v>
      </c>
      <c r="L875" t="s">
        <v>2527</v>
      </c>
      <c r="M875" t="s">
        <v>24</v>
      </c>
      <c r="N875" s="6" t="s">
        <v>2525</v>
      </c>
      <c r="O875" t="s">
        <v>2531</v>
      </c>
      <c r="P875">
        <f t="shared" si="13"/>
        <v>32</v>
      </c>
    </row>
    <row r="876" spans="1:16" x14ac:dyDescent="0.2">
      <c r="A876" t="s">
        <v>2299</v>
      </c>
      <c r="B876" t="s">
        <v>59</v>
      </c>
      <c r="C876" t="s">
        <v>92</v>
      </c>
      <c r="D876" s="4">
        <v>23362</v>
      </c>
      <c r="E876" s="4">
        <v>45444</v>
      </c>
      <c r="F876" s="9">
        <v>45445</v>
      </c>
      <c r="G876" t="s">
        <v>100</v>
      </c>
      <c r="H876" t="s">
        <v>61</v>
      </c>
      <c r="I876" t="s">
        <v>2533</v>
      </c>
      <c r="J876" s="7">
        <v>3997000</v>
      </c>
      <c r="K876" t="s">
        <v>71</v>
      </c>
      <c r="L876" t="s">
        <v>2527</v>
      </c>
      <c r="M876" t="s">
        <v>35</v>
      </c>
      <c r="N876" s="6">
        <v>1</v>
      </c>
      <c r="O876" t="s">
        <v>36</v>
      </c>
      <c r="P876">
        <f t="shared" si="13"/>
        <v>61</v>
      </c>
    </row>
    <row r="877" spans="1:16" x14ac:dyDescent="0.2">
      <c r="A877" t="s">
        <v>1279</v>
      </c>
      <c r="B877" t="s">
        <v>87</v>
      </c>
      <c r="C877" t="s">
        <v>92</v>
      </c>
      <c r="D877" s="4">
        <v>25591</v>
      </c>
      <c r="E877" s="4">
        <v>45355</v>
      </c>
      <c r="F877" s="9">
        <v>45370</v>
      </c>
      <c r="G877" t="s">
        <v>40</v>
      </c>
      <c r="H877" t="s">
        <v>75</v>
      </c>
      <c r="I877" t="s">
        <v>2533</v>
      </c>
      <c r="J877" s="7">
        <v>3564540</v>
      </c>
      <c r="K877" t="s">
        <v>71</v>
      </c>
      <c r="L877" t="s">
        <v>2527</v>
      </c>
      <c r="M877" t="s">
        <v>78</v>
      </c>
      <c r="N877" s="6">
        <v>15</v>
      </c>
      <c r="O877" t="s">
        <v>25</v>
      </c>
      <c r="P877">
        <f t="shared" si="13"/>
        <v>54</v>
      </c>
    </row>
    <row r="878" spans="1:16" x14ac:dyDescent="0.2">
      <c r="A878" t="s">
        <v>2300</v>
      </c>
      <c r="B878" t="s">
        <v>56</v>
      </c>
      <c r="C878" t="s">
        <v>28</v>
      </c>
      <c r="D878" s="4">
        <v>20437</v>
      </c>
      <c r="E878" s="4">
        <v>45306</v>
      </c>
      <c r="F878" s="9">
        <v>45313</v>
      </c>
      <c r="G878" t="s">
        <v>29</v>
      </c>
      <c r="H878" t="s">
        <v>19</v>
      </c>
      <c r="I878" t="s">
        <v>67</v>
      </c>
      <c r="J878" s="7">
        <v>2740500</v>
      </c>
      <c r="K878" t="s">
        <v>48</v>
      </c>
      <c r="L878" t="s">
        <v>2527</v>
      </c>
      <c r="M878" t="s">
        <v>35</v>
      </c>
      <c r="N878" s="6">
        <v>7</v>
      </c>
      <c r="O878" t="s">
        <v>36</v>
      </c>
      <c r="P878">
        <f t="shared" si="13"/>
        <v>69</v>
      </c>
    </row>
    <row r="879" spans="1:16" x14ac:dyDescent="0.2">
      <c r="A879" t="s">
        <v>2301</v>
      </c>
      <c r="B879" t="s">
        <v>51</v>
      </c>
      <c r="C879" t="s">
        <v>28</v>
      </c>
      <c r="D879" s="4">
        <v>32357</v>
      </c>
      <c r="E879" s="4">
        <v>45365</v>
      </c>
      <c r="F879" s="9">
        <v>45368</v>
      </c>
      <c r="G879" t="s">
        <v>46</v>
      </c>
      <c r="H879" t="s">
        <v>30</v>
      </c>
      <c r="I879" t="s">
        <v>2533</v>
      </c>
      <c r="J879" s="7">
        <v>4960180</v>
      </c>
      <c r="K879" t="s">
        <v>48</v>
      </c>
      <c r="L879" t="s">
        <v>34</v>
      </c>
      <c r="M879" t="s">
        <v>35</v>
      </c>
      <c r="N879" s="6">
        <v>3</v>
      </c>
      <c r="O879" t="s">
        <v>2531</v>
      </c>
      <c r="P879">
        <f t="shared" si="13"/>
        <v>36</v>
      </c>
    </row>
    <row r="880" spans="1:16" x14ac:dyDescent="0.2">
      <c r="A880" t="s">
        <v>1283</v>
      </c>
      <c r="B880" t="s">
        <v>87</v>
      </c>
      <c r="C880" t="s">
        <v>92</v>
      </c>
      <c r="D880" s="4">
        <v>32306</v>
      </c>
      <c r="E880" s="4">
        <v>45315</v>
      </c>
      <c r="F880" s="9">
        <v>45316</v>
      </c>
      <c r="G880" t="s">
        <v>46</v>
      </c>
      <c r="H880" t="s">
        <v>30</v>
      </c>
      <c r="I880" t="s">
        <v>67</v>
      </c>
      <c r="J880" s="7">
        <v>2436000</v>
      </c>
      <c r="K880" t="s">
        <v>48</v>
      </c>
      <c r="L880" t="s">
        <v>34</v>
      </c>
      <c r="M880" t="s">
        <v>35</v>
      </c>
      <c r="N880" s="6">
        <v>1</v>
      </c>
      <c r="O880" t="s">
        <v>36</v>
      </c>
      <c r="P880">
        <f t="shared" si="13"/>
        <v>36</v>
      </c>
    </row>
    <row r="881" spans="1:16" x14ac:dyDescent="0.2">
      <c r="A881" t="s">
        <v>2302</v>
      </c>
      <c r="B881" t="s">
        <v>16</v>
      </c>
      <c r="C881" t="s">
        <v>92</v>
      </c>
      <c r="D881" s="4">
        <v>37363</v>
      </c>
      <c r="E881" s="4">
        <v>45302</v>
      </c>
      <c r="F881" s="9">
        <v>45306</v>
      </c>
      <c r="G881" t="s">
        <v>29</v>
      </c>
      <c r="H881" t="s">
        <v>19</v>
      </c>
      <c r="I881" t="s">
        <v>2533</v>
      </c>
      <c r="J881" s="7">
        <v>1120000</v>
      </c>
      <c r="K881" t="s">
        <v>43</v>
      </c>
      <c r="L881" t="s">
        <v>2527</v>
      </c>
      <c r="M881" t="s">
        <v>24</v>
      </c>
      <c r="N881" s="6">
        <v>4</v>
      </c>
      <c r="O881" t="s">
        <v>2531</v>
      </c>
      <c r="P881">
        <f t="shared" si="13"/>
        <v>22</v>
      </c>
    </row>
    <row r="882" spans="1:16" x14ac:dyDescent="0.2">
      <c r="A882" t="s">
        <v>2303</v>
      </c>
      <c r="B882" t="s">
        <v>87</v>
      </c>
      <c r="C882" t="s">
        <v>92</v>
      </c>
      <c r="D882" s="4">
        <v>33413</v>
      </c>
      <c r="E882" s="4">
        <v>45332</v>
      </c>
      <c r="F882" s="9">
        <v>45336</v>
      </c>
      <c r="G882" t="s">
        <v>88</v>
      </c>
      <c r="H882" t="s">
        <v>66</v>
      </c>
      <c r="I882" t="s">
        <v>41</v>
      </c>
      <c r="J882" s="7">
        <v>2991196</v>
      </c>
      <c r="K882" t="s">
        <v>71</v>
      </c>
      <c r="L882" t="s">
        <v>2527</v>
      </c>
      <c r="M882" t="s">
        <v>78</v>
      </c>
      <c r="N882" s="6">
        <v>4</v>
      </c>
      <c r="O882" t="s">
        <v>36</v>
      </c>
      <c r="P882">
        <f t="shared" si="13"/>
        <v>33</v>
      </c>
    </row>
    <row r="883" spans="1:16" x14ac:dyDescent="0.2">
      <c r="A883" t="s">
        <v>2304</v>
      </c>
      <c r="B883" t="s">
        <v>118</v>
      </c>
      <c r="C883" t="s">
        <v>28</v>
      </c>
      <c r="D883" s="4">
        <v>25968</v>
      </c>
      <c r="E883" s="4">
        <v>45462</v>
      </c>
      <c r="F883" s="9">
        <v>45470</v>
      </c>
      <c r="G883" t="s">
        <v>46</v>
      </c>
      <c r="H883" t="s">
        <v>30</v>
      </c>
      <c r="I883" t="s">
        <v>67</v>
      </c>
      <c r="J883" s="7">
        <v>829840</v>
      </c>
      <c r="K883" t="s">
        <v>48</v>
      </c>
      <c r="L883" t="s">
        <v>34</v>
      </c>
      <c r="M883" t="s">
        <v>78</v>
      </c>
      <c r="N883" s="6">
        <v>8</v>
      </c>
      <c r="O883" t="s">
        <v>2531</v>
      </c>
      <c r="P883">
        <f t="shared" si="13"/>
        <v>53</v>
      </c>
    </row>
    <row r="884" spans="1:16" x14ac:dyDescent="0.2">
      <c r="A884" t="s">
        <v>1288</v>
      </c>
      <c r="B884" t="s">
        <v>45</v>
      </c>
      <c r="C884" t="s">
        <v>39</v>
      </c>
      <c r="D884" s="4">
        <v>29166</v>
      </c>
      <c r="E884" s="4">
        <v>45440</v>
      </c>
      <c r="F884" s="9">
        <v>45447</v>
      </c>
      <c r="G884" t="s">
        <v>74</v>
      </c>
      <c r="H884" t="s">
        <v>2528</v>
      </c>
      <c r="I884" t="s">
        <v>2534</v>
      </c>
      <c r="J884" s="7">
        <v>5162500</v>
      </c>
      <c r="K884" t="s">
        <v>48</v>
      </c>
      <c r="L884" t="s">
        <v>2527</v>
      </c>
      <c r="M884" t="s">
        <v>24</v>
      </c>
      <c r="N884" s="6">
        <v>7</v>
      </c>
      <c r="O884" t="s">
        <v>25</v>
      </c>
      <c r="P884">
        <f t="shared" si="13"/>
        <v>45</v>
      </c>
    </row>
    <row r="885" spans="1:16" x14ac:dyDescent="0.2">
      <c r="A885" t="s">
        <v>2305</v>
      </c>
      <c r="B885" t="s">
        <v>51</v>
      </c>
      <c r="C885" t="s">
        <v>92</v>
      </c>
      <c r="D885" s="4">
        <v>20428</v>
      </c>
      <c r="E885" s="4">
        <v>45300</v>
      </c>
      <c r="F885" s="9">
        <v>45314</v>
      </c>
      <c r="G885" t="s">
        <v>100</v>
      </c>
      <c r="H885" t="s">
        <v>61</v>
      </c>
      <c r="I885" t="s">
        <v>2533</v>
      </c>
      <c r="J885" s="7">
        <v>2874264</v>
      </c>
      <c r="K885" t="s">
        <v>48</v>
      </c>
      <c r="L885" t="s">
        <v>2527</v>
      </c>
      <c r="M885" t="s">
        <v>24</v>
      </c>
      <c r="N885" s="6">
        <v>14</v>
      </c>
      <c r="O885" t="s">
        <v>2531</v>
      </c>
      <c r="P885">
        <f t="shared" si="13"/>
        <v>69</v>
      </c>
    </row>
    <row r="886" spans="1:16" x14ac:dyDescent="0.2">
      <c r="A886" t="s">
        <v>2306</v>
      </c>
      <c r="B886" t="s">
        <v>119</v>
      </c>
      <c r="C886" t="s">
        <v>39</v>
      </c>
      <c r="D886" s="4">
        <v>24292</v>
      </c>
      <c r="E886" s="4">
        <v>45334</v>
      </c>
      <c r="F886" s="9">
        <v>45342</v>
      </c>
      <c r="G886" t="s">
        <v>46</v>
      </c>
      <c r="H886" t="s">
        <v>30</v>
      </c>
      <c r="I886" t="s">
        <v>67</v>
      </c>
      <c r="J886" s="7">
        <v>2229252</v>
      </c>
      <c r="K886" t="s">
        <v>48</v>
      </c>
      <c r="L886" t="s">
        <v>23</v>
      </c>
      <c r="M886" t="s">
        <v>24</v>
      </c>
      <c r="N886" s="6">
        <v>8</v>
      </c>
      <c r="O886" t="s">
        <v>25</v>
      </c>
      <c r="P886">
        <f t="shared" si="13"/>
        <v>58</v>
      </c>
    </row>
    <row r="887" spans="1:16" x14ac:dyDescent="0.2">
      <c r="A887" t="s">
        <v>1289</v>
      </c>
      <c r="B887" t="s">
        <v>102</v>
      </c>
      <c r="C887" t="s">
        <v>28</v>
      </c>
      <c r="D887" s="4">
        <v>29502</v>
      </c>
      <c r="E887" s="4">
        <v>45378</v>
      </c>
      <c r="F887" s="9" t="s">
        <v>2536</v>
      </c>
      <c r="G887" t="s">
        <v>40</v>
      </c>
      <c r="H887" t="s">
        <v>75</v>
      </c>
      <c r="I887" t="s">
        <v>67</v>
      </c>
      <c r="J887" s="7">
        <v>1407000</v>
      </c>
      <c r="K887" t="s">
        <v>43</v>
      </c>
      <c r="L887" t="s">
        <v>2527</v>
      </c>
      <c r="M887" t="s">
        <v>24</v>
      </c>
      <c r="N887" s="6" t="s">
        <v>2525</v>
      </c>
      <c r="O887" t="s">
        <v>2531</v>
      </c>
      <c r="P887">
        <f t="shared" si="13"/>
        <v>44</v>
      </c>
    </row>
    <row r="888" spans="1:16" x14ac:dyDescent="0.2">
      <c r="A888" t="s">
        <v>2307</v>
      </c>
      <c r="B888" t="s">
        <v>85</v>
      </c>
      <c r="C888" t="s">
        <v>28</v>
      </c>
      <c r="D888" s="4">
        <v>32516</v>
      </c>
      <c r="E888" s="4">
        <v>45408</v>
      </c>
      <c r="F888" s="9">
        <v>45421</v>
      </c>
      <c r="G888" t="s">
        <v>88</v>
      </c>
      <c r="H888" t="s">
        <v>66</v>
      </c>
      <c r="I888" t="s">
        <v>2533</v>
      </c>
      <c r="J888" s="7">
        <v>512992</v>
      </c>
      <c r="K888" t="s">
        <v>43</v>
      </c>
      <c r="L888" t="s">
        <v>34</v>
      </c>
      <c r="M888" t="s">
        <v>78</v>
      </c>
      <c r="N888" s="6">
        <v>13</v>
      </c>
      <c r="O888" t="s">
        <v>36</v>
      </c>
      <c r="P888">
        <f t="shared" si="13"/>
        <v>35</v>
      </c>
    </row>
    <row r="889" spans="1:16" x14ac:dyDescent="0.2">
      <c r="A889" t="s">
        <v>2308</v>
      </c>
      <c r="B889" t="s">
        <v>119</v>
      </c>
      <c r="C889" t="s">
        <v>28</v>
      </c>
      <c r="D889" s="4">
        <v>28591</v>
      </c>
      <c r="E889" s="4">
        <v>45407</v>
      </c>
      <c r="F889" s="9">
        <v>45418</v>
      </c>
      <c r="G889" t="s">
        <v>50</v>
      </c>
      <c r="H889" t="s">
        <v>2528</v>
      </c>
      <c r="I889" t="s">
        <v>2535</v>
      </c>
      <c r="J889" s="7">
        <v>2338640</v>
      </c>
      <c r="K889" t="s">
        <v>48</v>
      </c>
      <c r="L889" t="s">
        <v>34</v>
      </c>
      <c r="M889" t="s">
        <v>24</v>
      </c>
      <c r="N889" s="6">
        <v>11</v>
      </c>
      <c r="O889" t="s">
        <v>25</v>
      </c>
      <c r="P889">
        <f t="shared" si="13"/>
        <v>46</v>
      </c>
    </row>
    <row r="890" spans="1:16" x14ac:dyDescent="0.2">
      <c r="A890" t="s">
        <v>2309</v>
      </c>
      <c r="B890" t="s">
        <v>91</v>
      </c>
      <c r="C890" t="s">
        <v>28</v>
      </c>
      <c r="D890" s="4">
        <v>18337</v>
      </c>
      <c r="E890" s="4">
        <v>45304</v>
      </c>
      <c r="F890" s="9">
        <v>45309</v>
      </c>
      <c r="G890" t="s">
        <v>88</v>
      </c>
      <c r="H890" t="s">
        <v>66</v>
      </c>
      <c r="I890" t="s">
        <v>41</v>
      </c>
      <c r="J890" s="7">
        <v>4935000</v>
      </c>
      <c r="K890" t="s">
        <v>43</v>
      </c>
      <c r="L890" t="s">
        <v>34</v>
      </c>
      <c r="M890" t="s">
        <v>78</v>
      </c>
      <c r="N890" s="6">
        <v>5</v>
      </c>
      <c r="O890" t="s">
        <v>2531</v>
      </c>
      <c r="P890">
        <f t="shared" si="13"/>
        <v>74</v>
      </c>
    </row>
    <row r="891" spans="1:16" x14ac:dyDescent="0.2">
      <c r="A891" t="s">
        <v>2310</v>
      </c>
      <c r="B891" t="s">
        <v>27</v>
      </c>
      <c r="C891" t="s">
        <v>92</v>
      </c>
      <c r="D891" s="4">
        <v>22060</v>
      </c>
      <c r="E891" s="4">
        <v>45391</v>
      </c>
      <c r="F891" s="9">
        <v>45402</v>
      </c>
      <c r="G891" t="s">
        <v>88</v>
      </c>
      <c r="H891" t="s">
        <v>66</v>
      </c>
      <c r="I891" t="s">
        <v>2533</v>
      </c>
      <c r="J891" s="7">
        <v>920500</v>
      </c>
      <c r="K891" t="s">
        <v>48</v>
      </c>
      <c r="L891" t="s">
        <v>2527</v>
      </c>
      <c r="M891" t="s">
        <v>35</v>
      </c>
      <c r="N891" s="6">
        <v>11</v>
      </c>
      <c r="O891" t="s">
        <v>2531</v>
      </c>
      <c r="P891">
        <f t="shared" si="13"/>
        <v>64</v>
      </c>
    </row>
    <row r="892" spans="1:16" x14ac:dyDescent="0.2">
      <c r="A892" t="s">
        <v>2311</v>
      </c>
      <c r="B892" t="s">
        <v>38</v>
      </c>
      <c r="C892" t="s">
        <v>28</v>
      </c>
      <c r="D892" s="4">
        <v>39807</v>
      </c>
      <c r="E892" s="4">
        <v>45463</v>
      </c>
      <c r="F892" s="9">
        <v>45478</v>
      </c>
      <c r="G892" t="s">
        <v>50</v>
      </c>
      <c r="H892" t="s">
        <v>2528</v>
      </c>
      <c r="I892" t="s">
        <v>67</v>
      </c>
      <c r="J892" s="7">
        <v>3168480</v>
      </c>
      <c r="K892" t="s">
        <v>48</v>
      </c>
      <c r="L892" t="s">
        <v>2527</v>
      </c>
      <c r="M892" t="s">
        <v>24</v>
      </c>
      <c r="N892" s="6">
        <v>15</v>
      </c>
      <c r="O892" t="s">
        <v>25</v>
      </c>
      <c r="P892">
        <f t="shared" si="13"/>
        <v>16</v>
      </c>
    </row>
    <row r="893" spans="1:16" x14ac:dyDescent="0.2">
      <c r="A893" t="s">
        <v>1298</v>
      </c>
      <c r="B893" t="s">
        <v>87</v>
      </c>
      <c r="C893" t="s">
        <v>39</v>
      </c>
      <c r="D893" s="4">
        <v>22243</v>
      </c>
      <c r="E893" s="4">
        <v>45353</v>
      </c>
      <c r="F893" s="9">
        <v>45366</v>
      </c>
      <c r="G893" t="s">
        <v>46</v>
      </c>
      <c r="H893" t="s">
        <v>30</v>
      </c>
      <c r="I893" t="s">
        <v>41</v>
      </c>
      <c r="J893" s="7">
        <v>3584000</v>
      </c>
      <c r="K893" t="s">
        <v>48</v>
      </c>
      <c r="L893" t="s">
        <v>2527</v>
      </c>
      <c r="M893" t="s">
        <v>24</v>
      </c>
      <c r="N893" s="6">
        <v>13</v>
      </c>
      <c r="O893" t="s">
        <v>2531</v>
      </c>
      <c r="P893">
        <f t="shared" si="13"/>
        <v>64</v>
      </c>
    </row>
    <row r="894" spans="1:16" x14ac:dyDescent="0.2">
      <c r="A894" t="s">
        <v>2312</v>
      </c>
      <c r="B894" t="s">
        <v>38</v>
      </c>
      <c r="C894" t="s">
        <v>39</v>
      </c>
      <c r="D894" s="4">
        <v>20992</v>
      </c>
      <c r="E894" s="4">
        <v>45315</v>
      </c>
      <c r="F894" s="9">
        <v>45328</v>
      </c>
      <c r="G894" t="s">
        <v>40</v>
      </c>
      <c r="H894" t="s">
        <v>75</v>
      </c>
      <c r="I894" t="s">
        <v>2534</v>
      </c>
      <c r="J894" s="7">
        <v>516764</v>
      </c>
      <c r="K894" t="s">
        <v>48</v>
      </c>
      <c r="L894" t="s">
        <v>23</v>
      </c>
      <c r="M894" t="s">
        <v>35</v>
      </c>
      <c r="N894" s="6">
        <v>13</v>
      </c>
      <c r="O894" t="s">
        <v>2531</v>
      </c>
      <c r="P894">
        <f t="shared" si="13"/>
        <v>67</v>
      </c>
    </row>
    <row r="895" spans="1:16" x14ac:dyDescent="0.2">
      <c r="A895" t="s">
        <v>2313</v>
      </c>
      <c r="B895" t="s">
        <v>51</v>
      </c>
      <c r="C895" t="s">
        <v>28</v>
      </c>
      <c r="D895" s="4">
        <v>38959</v>
      </c>
      <c r="E895" s="4">
        <v>45299</v>
      </c>
      <c r="F895" s="9">
        <v>45312</v>
      </c>
      <c r="G895" t="s">
        <v>74</v>
      </c>
      <c r="H895" t="s">
        <v>2528</v>
      </c>
      <c r="I895" t="s">
        <v>2535</v>
      </c>
      <c r="J895" s="7">
        <v>3485328</v>
      </c>
      <c r="K895" t="s">
        <v>48</v>
      </c>
      <c r="L895" t="s">
        <v>23</v>
      </c>
      <c r="M895" t="s">
        <v>24</v>
      </c>
      <c r="N895" s="6">
        <v>13</v>
      </c>
      <c r="O895" t="s">
        <v>2531</v>
      </c>
      <c r="P895">
        <f t="shared" si="13"/>
        <v>18</v>
      </c>
    </row>
    <row r="896" spans="1:16" x14ac:dyDescent="0.2">
      <c r="A896" t="s">
        <v>2314</v>
      </c>
      <c r="B896" t="s">
        <v>150</v>
      </c>
      <c r="C896" t="s">
        <v>28</v>
      </c>
      <c r="D896" s="4">
        <v>25694</v>
      </c>
      <c r="E896" s="4">
        <v>45434</v>
      </c>
      <c r="F896" s="9">
        <v>45445</v>
      </c>
      <c r="G896" t="s">
        <v>50</v>
      </c>
      <c r="H896" t="s">
        <v>2528</v>
      </c>
      <c r="I896" t="s">
        <v>67</v>
      </c>
      <c r="J896" s="7">
        <v>3873844</v>
      </c>
      <c r="K896" t="s">
        <v>48</v>
      </c>
      <c r="L896" t="s">
        <v>2527</v>
      </c>
      <c r="M896" t="s">
        <v>35</v>
      </c>
      <c r="N896" s="6">
        <v>11</v>
      </c>
      <c r="O896" t="s">
        <v>36</v>
      </c>
      <c r="P896">
        <f t="shared" si="13"/>
        <v>54</v>
      </c>
    </row>
    <row r="897" spans="1:16" x14ac:dyDescent="0.2">
      <c r="A897" t="s">
        <v>2315</v>
      </c>
      <c r="B897" t="s">
        <v>59</v>
      </c>
      <c r="C897" t="s">
        <v>28</v>
      </c>
      <c r="D897" s="4">
        <v>18507</v>
      </c>
      <c r="E897" s="4">
        <v>45410</v>
      </c>
      <c r="F897" s="9" t="s">
        <v>2536</v>
      </c>
      <c r="G897" t="s">
        <v>74</v>
      </c>
      <c r="H897" t="s">
        <v>2528</v>
      </c>
      <c r="I897" t="s">
        <v>2535</v>
      </c>
      <c r="J897" s="7">
        <v>4711228</v>
      </c>
      <c r="K897" t="s">
        <v>43</v>
      </c>
      <c r="L897" t="s">
        <v>23</v>
      </c>
      <c r="M897" t="s">
        <v>78</v>
      </c>
      <c r="N897" s="6" t="s">
        <v>2525</v>
      </c>
      <c r="O897" t="s">
        <v>2531</v>
      </c>
      <c r="P897">
        <f t="shared" si="13"/>
        <v>74</v>
      </c>
    </row>
    <row r="898" spans="1:16" x14ac:dyDescent="0.2">
      <c r="A898" t="s">
        <v>2316</v>
      </c>
      <c r="B898" t="s">
        <v>16</v>
      </c>
      <c r="C898" t="s">
        <v>92</v>
      </c>
      <c r="D898" s="4">
        <v>19328</v>
      </c>
      <c r="E898" s="4">
        <v>45354</v>
      </c>
      <c r="F898" s="9">
        <v>45361</v>
      </c>
      <c r="G898" t="s">
        <v>88</v>
      </c>
      <c r="H898" t="s">
        <v>66</v>
      </c>
      <c r="I898" t="s">
        <v>67</v>
      </c>
      <c r="J898" s="7">
        <v>742000</v>
      </c>
      <c r="K898" t="s">
        <v>48</v>
      </c>
      <c r="L898" t="s">
        <v>2527</v>
      </c>
      <c r="M898" t="s">
        <v>78</v>
      </c>
      <c r="N898" s="6">
        <v>7</v>
      </c>
      <c r="O898" t="s">
        <v>36</v>
      </c>
      <c r="P898">
        <f t="shared" si="13"/>
        <v>72</v>
      </c>
    </row>
    <row r="899" spans="1:16" x14ac:dyDescent="0.2">
      <c r="A899" t="s">
        <v>2317</v>
      </c>
      <c r="B899" t="s">
        <v>150</v>
      </c>
      <c r="C899" t="s">
        <v>92</v>
      </c>
      <c r="D899" s="4">
        <v>30184</v>
      </c>
      <c r="E899" s="4">
        <v>45419</v>
      </c>
      <c r="F899" s="9">
        <v>45426</v>
      </c>
      <c r="G899" t="s">
        <v>88</v>
      </c>
      <c r="H899" t="s">
        <v>66</v>
      </c>
      <c r="I899" t="s">
        <v>2533</v>
      </c>
      <c r="J899" s="7">
        <v>1803016</v>
      </c>
      <c r="K899" t="s">
        <v>48</v>
      </c>
      <c r="L899" t="s">
        <v>34</v>
      </c>
      <c r="M899" t="s">
        <v>78</v>
      </c>
      <c r="N899" s="6">
        <v>7</v>
      </c>
      <c r="O899" t="s">
        <v>36</v>
      </c>
      <c r="P899">
        <f t="shared" ref="P899:P962" si="14">YEAR(E899)-YEAR(D899)</f>
        <v>42</v>
      </c>
    </row>
    <row r="900" spans="1:16" x14ac:dyDescent="0.2">
      <c r="A900" t="s">
        <v>2318</v>
      </c>
      <c r="B900" t="s">
        <v>59</v>
      </c>
      <c r="C900" t="s">
        <v>92</v>
      </c>
      <c r="D900" s="4">
        <v>24248</v>
      </c>
      <c r="E900" s="4">
        <v>45441</v>
      </c>
      <c r="F900" s="9">
        <v>45446</v>
      </c>
      <c r="G900" t="s">
        <v>40</v>
      </c>
      <c r="H900" t="s">
        <v>75</v>
      </c>
      <c r="I900" t="s">
        <v>2535</v>
      </c>
      <c r="J900" s="7">
        <v>920500</v>
      </c>
      <c r="K900" t="s">
        <v>43</v>
      </c>
      <c r="L900" t="s">
        <v>2527</v>
      </c>
      <c r="M900" t="s">
        <v>35</v>
      </c>
      <c r="N900" s="6">
        <v>5</v>
      </c>
      <c r="O900" t="s">
        <v>25</v>
      </c>
      <c r="P900">
        <f t="shared" si="14"/>
        <v>58</v>
      </c>
    </row>
    <row r="901" spans="1:16" x14ac:dyDescent="0.2">
      <c r="A901" t="s">
        <v>2319</v>
      </c>
      <c r="B901" t="s">
        <v>82</v>
      </c>
      <c r="C901" t="s">
        <v>92</v>
      </c>
      <c r="D901" s="4">
        <v>39821</v>
      </c>
      <c r="E901" s="4">
        <v>45360</v>
      </c>
      <c r="F901" s="9" t="s">
        <v>2536</v>
      </c>
      <c r="G901" t="s">
        <v>74</v>
      </c>
      <c r="H901" t="s">
        <v>2528</v>
      </c>
      <c r="I901" t="s">
        <v>67</v>
      </c>
      <c r="J901" s="7">
        <v>1199496</v>
      </c>
      <c r="K901" t="s">
        <v>48</v>
      </c>
      <c r="L901" t="s">
        <v>2527</v>
      </c>
      <c r="M901" t="s">
        <v>78</v>
      </c>
      <c r="N901" s="6" t="s">
        <v>2525</v>
      </c>
      <c r="O901" t="s">
        <v>36</v>
      </c>
      <c r="P901">
        <f t="shared" si="14"/>
        <v>15</v>
      </c>
    </row>
    <row r="902" spans="1:16" x14ac:dyDescent="0.2">
      <c r="A902" t="s">
        <v>1310</v>
      </c>
      <c r="B902" t="s">
        <v>119</v>
      </c>
      <c r="C902" t="s">
        <v>92</v>
      </c>
      <c r="D902" s="4">
        <v>26376</v>
      </c>
      <c r="E902" s="4">
        <v>45377</v>
      </c>
      <c r="F902" s="9">
        <v>45392</v>
      </c>
      <c r="G902" t="s">
        <v>72</v>
      </c>
      <c r="H902" t="s">
        <v>2529</v>
      </c>
      <c r="I902" t="s">
        <v>67</v>
      </c>
      <c r="J902" s="7">
        <v>4009636</v>
      </c>
      <c r="K902" t="s">
        <v>48</v>
      </c>
      <c r="L902" t="s">
        <v>23</v>
      </c>
      <c r="M902" t="s">
        <v>24</v>
      </c>
      <c r="N902" s="6">
        <v>15</v>
      </c>
      <c r="O902" t="s">
        <v>2531</v>
      </c>
      <c r="P902">
        <f t="shared" si="14"/>
        <v>52</v>
      </c>
    </row>
    <row r="903" spans="1:16" x14ac:dyDescent="0.2">
      <c r="A903" t="s">
        <v>2320</v>
      </c>
      <c r="B903" t="s">
        <v>91</v>
      </c>
      <c r="C903" t="s">
        <v>28</v>
      </c>
      <c r="D903" s="4">
        <v>18437</v>
      </c>
      <c r="E903" s="4">
        <v>45439</v>
      </c>
      <c r="F903" s="9">
        <v>45443</v>
      </c>
      <c r="G903" t="s">
        <v>29</v>
      </c>
      <c r="H903" t="s">
        <v>19</v>
      </c>
      <c r="I903" t="s">
        <v>2535</v>
      </c>
      <c r="J903" s="7">
        <v>5525980</v>
      </c>
      <c r="K903" t="s">
        <v>48</v>
      </c>
      <c r="L903" t="s">
        <v>2527</v>
      </c>
      <c r="M903" t="s">
        <v>78</v>
      </c>
      <c r="N903" s="6">
        <v>4</v>
      </c>
      <c r="O903" t="s">
        <v>2531</v>
      </c>
      <c r="P903">
        <f t="shared" si="14"/>
        <v>74</v>
      </c>
    </row>
    <row r="904" spans="1:16" x14ac:dyDescent="0.2">
      <c r="A904" t="s">
        <v>2321</v>
      </c>
      <c r="B904" t="s">
        <v>119</v>
      </c>
      <c r="C904" t="s">
        <v>92</v>
      </c>
      <c r="D904" s="4">
        <v>27090</v>
      </c>
      <c r="E904" s="4">
        <v>45449</v>
      </c>
      <c r="F904" s="9">
        <v>45454</v>
      </c>
      <c r="G904" t="s">
        <v>88</v>
      </c>
      <c r="H904" t="s">
        <v>66</v>
      </c>
      <c r="I904" t="s">
        <v>2533</v>
      </c>
      <c r="J904" s="7">
        <v>4937548</v>
      </c>
      <c r="K904" t="s">
        <v>48</v>
      </c>
      <c r="L904" t="s">
        <v>23</v>
      </c>
      <c r="M904" t="s">
        <v>24</v>
      </c>
      <c r="N904" s="6">
        <v>5</v>
      </c>
      <c r="O904" t="s">
        <v>2531</v>
      </c>
      <c r="P904">
        <f t="shared" si="14"/>
        <v>50</v>
      </c>
    </row>
    <row r="905" spans="1:16" x14ac:dyDescent="0.2">
      <c r="A905" t="s">
        <v>2322</v>
      </c>
      <c r="B905" t="s">
        <v>16</v>
      </c>
      <c r="C905" t="s">
        <v>28</v>
      </c>
      <c r="D905" s="4">
        <v>26416</v>
      </c>
      <c r="E905" s="4">
        <v>45302</v>
      </c>
      <c r="F905" s="9">
        <v>45314</v>
      </c>
      <c r="G905" t="s">
        <v>74</v>
      </c>
      <c r="H905" t="s">
        <v>2528</v>
      </c>
      <c r="I905" t="s">
        <v>2533</v>
      </c>
      <c r="J905" s="7">
        <v>1403184</v>
      </c>
      <c r="K905" t="s">
        <v>48</v>
      </c>
      <c r="L905" t="s">
        <v>34</v>
      </c>
      <c r="M905" t="s">
        <v>24</v>
      </c>
      <c r="N905" s="6">
        <v>12</v>
      </c>
      <c r="O905" t="s">
        <v>25</v>
      </c>
      <c r="P905">
        <f t="shared" si="14"/>
        <v>52</v>
      </c>
    </row>
    <row r="906" spans="1:16" x14ac:dyDescent="0.2">
      <c r="A906" t="s">
        <v>2323</v>
      </c>
      <c r="B906" t="s">
        <v>16</v>
      </c>
      <c r="C906" t="s">
        <v>39</v>
      </c>
      <c r="D906" s="4">
        <v>18714</v>
      </c>
      <c r="E906" s="4">
        <v>45319</v>
      </c>
      <c r="F906" s="9">
        <v>45322</v>
      </c>
      <c r="G906" t="s">
        <v>72</v>
      </c>
      <c r="H906" t="s">
        <v>2529</v>
      </c>
      <c r="I906" t="s">
        <v>67</v>
      </c>
      <c r="J906" s="7">
        <v>2992500</v>
      </c>
      <c r="K906" t="s">
        <v>71</v>
      </c>
      <c r="L906" t="s">
        <v>2527</v>
      </c>
      <c r="M906" t="s">
        <v>24</v>
      </c>
      <c r="N906" s="6">
        <v>3</v>
      </c>
      <c r="O906" t="s">
        <v>36</v>
      </c>
      <c r="P906">
        <f t="shared" si="14"/>
        <v>73</v>
      </c>
    </row>
    <row r="907" spans="1:16" x14ac:dyDescent="0.2">
      <c r="A907" t="s">
        <v>2324</v>
      </c>
      <c r="B907" t="s">
        <v>51</v>
      </c>
      <c r="C907" t="s">
        <v>39</v>
      </c>
      <c r="D907" s="4">
        <v>39073</v>
      </c>
      <c r="E907" s="4">
        <v>45344</v>
      </c>
      <c r="F907" s="9">
        <v>45358</v>
      </c>
      <c r="G907" t="s">
        <v>100</v>
      </c>
      <c r="H907" t="s">
        <v>61</v>
      </c>
      <c r="I907" t="s">
        <v>2533</v>
      </c>
      <c r="J907" s="7">
        <v>3753140</v>
      </c>
      <c r="K907" t="s">
        <v>48</v>
      </c>
      <c r="L907" t="s">
        <v>34</v>
      </c>
      <c r="M907" t="s">
        <v>78</v>
      </c>
      <c r="N907" s="6">
        <v>14</v>
      </c>
      <c r="O907" t="s">
        <v>25</v>
      </c>
      <c r="P907">
        <f t="shared" si="14"/>
        <v>18</v>
      </c>
    </row>
    <row r="908" spans="1:16" x14ac:dyDescent="0.2">
      <c r="A908" t="s">
        <v>2325</v>
      </c>
      <c r="B908" t="s">
        <v>114</v>
      </c>
      <c r="C908" t="s">
        <v>92</v>
      </c>
      <c r="D908" s="4">
        <v>27736</v>
      </c>
      <c r="E908" s="4">
        <v>45397</v>
      </c>
      <c r="F908" s="9">
        <v>45400</v>
      </c>
      <c r="G908" t="s">
        <v>60</v>
      </c>
      <c r="H908" t="s">
        <v>66</v>
      </c>
      <c r="I908" t="s">
        <v>2533</v>
      </c>
      <c r="J908" s="7">
        <v>482816</v>
      </c>
      <c r="K908" t="s">
        <v>43</v>
      </c>
      <c r="L908" t="s">
        <v>34</v>
      </c>
      <c r="M908" t="s">
        <v>24</v>
      </c>
      <c r="N908" s="6">
        <v>3</v>
      </c>
      <c r="O908" t="s">
        <v>2531</v>
      </c>
      <c r="P908">
        <f t="shared" si="14"/>
        <v>49</v>
      </c>
    </row>
    <row r="909" spans="1:16" x14ac:dyDescent="0.2">
      <c r="A909" t="s">
        <v>1319</v>
      </c>
      <c r="B909" t="s">
        <v>114</v>
      </c>
      <c r="C909" t="s">
        <v>28</v>
      </c>
      <c r="D909" s="4">
        <v>27295</v>
      </c>
      <c r="E909" s="4">
        <v>45391</v>
      </c>
      <c r="F909" s="9">
        <v>45395</v>
      </c>
      <c r="G909" t="s">
        <v>46</v>
      </c>
      <c r="H909" t="s">
        <v>30</v>
      </c>
      <c r="I909" t="s">
        <v>41</v>
      </c>
      <c r="J909" s="7">
        <v>2187760</v>
      </c>
      <c r="K909" t="s">
        <v>71</v>
      </c>
      <c r="L909" t="s">
        <v>23</v>
      </c>
      <c r="M909" t="s">
        <v>24</v>
      </c>
      <c r="N909" s="6">
        <v>4</v>
      </c>
      <c r="O909" t="s">
        <v>25</v>
      </c>
      <c r="P909">
        <f t="shared" si="14"/>
        <v>50</v>
      </c>
    </row>
    <row r="910" spans="1:16" x14ac:dyDescent="0.2">
      <c r="A910" t="s">
        <v>1320</v>
      </c>
      <c r="B910" t="s">
        <v>38</v>
      </c>
      <c r="C910" t="s">
        <v>28</v>
      </c>
      <c r="D910" s="4">
        <v>30415</v>
      </c>
      <c r="E910" s="4">
        <v>45468</v>
      </c>
      <c r="F910" s="9">
        <v>45479</v>
      </c>
      <c r="G910" t="s">
        <v>29</v>
      </c>
      <c r="H910" t="s">
        <v>19</v>
      </c>
      <c r="I910" t="s">
        <v>67</v>
      </c>
      <c r="J910" s="7">
        <v>4756492</v>
      </c>
      <c r="K910" t="s">
        <v>48</v>
      </c>
      <c r="L910" t="s">
        <v>2527</v>
      </c>
      <c r="M910" t="s">
        <v>78</v>
      </c>
      <c r="N910" s="6">
        <v>11</v>
      </c>
      <c r="O910" t="s">
        <v>2531</v>
      </c>
      <c r="P910">
        <f t="shared" si="14"/>
        <v>41</v>
      </c>
    </row>
    <row r="911" spans="1:16" x14ac:dyDescent="0.2">
      <c r="A911" t="s">
        <v>2326</v>
      </c>
      <c r="B911" t="s">
        <v>85</v>
      </c>
      <c r="C911" t="s">
        <v>92</v>
      </c>
      <c r="D911" s="4">
        <v>35628</v>
      </c>
      <c r="E911" s="4">
        <v>45452</v>
      </c>
      <c r="F911" s="9">
        <v>45453</v>
      </c>
      <c r="G911" t="s">
        <v>88</v>
      </c>
      <c r="H911" t="s">
        <v>66</v>
      </c>
      <c r="I911" t="s">
        <v>41</v>
      </c>
      <c r="J911" s="7">
        <v>4654648</v>
      </c>
      <c r="K911" t="s">
        <v>43</v>
      </c>
      <c r="L911" t="s">
        <v>2527</v>
      </c>
      <c r="M911" t="s">
        <v>35</v>
      </c>
      <c r="N911" s="6">
        <v>1</v>
      </c>
      <c r="O911" t="s">
        <v>25</v>
      </c>
      <c r="P911">
        <f t="shared" si="14"/>
        <v>27</v>
      </c>
    </row>
    <row r="912" spans="1:16" x14ac:dyDescent="0.2">
      <c r="A912" t="s">
        <v>2327</v>
      </c>
      <c r="B912" t="s">
        <v>45</v>
      </c>
      <c r="C912" t="s">
        <v>28</v>
      </c>
      <c r="D912" s="4">
        <v>32185</v>
      </c>
      <c r="E912" s="4">
        <v>45470</v>
      </c>
      <c r="F912" s="9">
        <v>45481</v>
      </c>
      <c r="G912" t="s">
        <v>72</v>
      </c>
      <c r="H912" t="s">
        <v>2529</v>
      </c>
      <c r="I912" t="s">
        <v>2535</v>
      </c>
      <c r="J912" s="7">
        <v>4399500</v>
      </c>
      <c r="K912" t="s">
        <v>48</v>
      </c>
      <c r="L912" t="s">
        <v>2527</v>
      </c>
      <c r="M912" t="s">
        <v>78</v>
      </c>
      <c r="N912" s="6">
        <v>11</v>
      </c>
      <c r="O912" t="s">
        <v>25</v>
      </c>
      <c r="P912">
        <f t="shared" si="14"/>
        <v>36</v>
      </c>
    </row>
    <row r="913" spans="1:16" x14ac:dyDescent="0.2">
      <c r="A913" t="s">
        <v>2328</v>
      </c>
      <c r="B913" t="s">
        <v>80</v>
      </c>
      <c r="C913" t="s">
        <v>39</v>
      </c>
      <c r="D913" s="4">
        <v>29278</v>
      </c>
      <c r="E913" s="4">
        <v>45412</v>
      </c>
      <c r="F913" s="9">
        <v>45420</v>
      </c>
      <c r="G913" t="s">
        <v>29</v>
      </c>
      <c r="H913" t="s">
        <v>19</v>
      </c>
      <c r="I913" t="s">
        <v>67</v>
      </c>
      <c r="J913" s="7">
        <v>965632</v>
      </c>
      <c r="K913" t="s">
        <v>43</v>
      </c>
      <c r="L913" t="s">
        <v>23</v>
      </c>
      <c r="M913" t="s">
        <v>35</v>
      </c>
      <c r="N913" s="6">
        <v>8</v>
      </c>
      <c r="O913" t="s">
        <v>25</v>
      </c>
      <c r="P913">
        <f t="shared" si="14"/>
        <v>44</v>
      </c>
    </row>
    <row r="914" spans="1:16" x14ac:dyDescent="0.2">
      <c r="A914" t="s">
        <v>2329</v>
      </c>
      <c r="B914" t="s">
        <v>82</v>
      </c>
      <c r="C914" t="s">
        <v>92</v>
      </c>
      <c r="D914" s="4">
        <v>20643</v>
      </c>
      <c r="E914" s="4">
        <v>45466</v>
      </c>
      <c r="F914" s="9">
        <v>45470</v>
      </c>
      <c r="G914" t="s">
        <v>50</v>
      </c>
      <c r="H914" t="s">
        <v>2528</v>
      </c>
      <c r="I914" t="s">
        <v>67</v>
      </c>
      <c r="J914" s="7">
        <v>609000</v>
      </c>
      <c r="K914" t="s">
        <v>48</v>
      </c>
      <c r="L914" t="s">
        <v>2527</v>
      </c>
      <c r="M914" t="s">
        <v>35</v>
      </c>
      <c r="N914" s="6">
        <v>4</v>
      </c>
      <c r="O914" t="s">
        <v>2531</v>
      </c>
      <c r="P914">
        <f t="shared" si="14"/>
        <v>68</v>
      </c>
    </row>
    <row r="915" spans="1:16" x14ac:dyDescent="0.2">
      <c r="A915" t="s">
        <v>2330</v>
      </c>
      <c r="B915" t="s">
        <v>51</v>
      </c>
      <c r="C915" t="s">
        <v>92</v>
      </c>
      <c r="D915" s="4">
        <v>29431</v>
      </c>
      <c r="E915" s="4">
        <v>45448</v>
      </c>
      <c r="F915" s="9" t="s">
        <v>2536</v>
      </c>
      <c r="G915" t="s">
        <v>60</v>
      </c>
      <c r="H915" t="s">
        <v>66</v>
      </c>
      <c r="I915" t="s">
        <v>2535</v>
      </c>
      <c r="J915" s="7">
        <v>4522628</v>
      </c>
      <c r="K915" t="s">
        <v>48</v>
      </c>
      <c r="L915" t="s">
        <v>2527</v>
      </c>
      <c r="M915" t="s">
        <v>24</v>
      </c>
      <c r="N915" s="6" t="s">
        <v>2525</v>
      </c>
      <c r="O915" t="s">
        <v>25</v>
      </c>
      <c r="P915">
        <f t="shared" si="14"/>
        <v>44</v>
      </c>
    </row>
    <row r="916" spans="1:16" x14ac:dyDescent="0.2">
      <c r="A916" t="s">
        <v>2331</v>
      </c>
      <c r="B916" t="s">
        <v>64</v>
      </c>
      <c r="C916" t="s">
        <v>39</v>
      </c>
      <c r="D916" s="4">
        <v>34305</v>
      </c>
      <c r="E916" s="4">
        <v>45397</v>
      </c>
      <c r="F916" s="9" t="s">
        <v>2536</v>
      </c>
      <c r="G916" t="s">
        <v>40</v>
      </c>
      <c r="H916" t="s">
        <v>75</v>
      </c>
      <c r="I916" t="s">
        <v>67</v>
      </c>
      <c r="J916" s="7">
        <v>4473000</v>
      </c>
      <c r="K916" t="s">
        <v>48</v>
      </c>
      <c r="L916" t="s">
        <v>2527</v>
      </c>
      <c r="M916" t="s">
        <v>24</v>
      </c>
      <c r="N916" s="6" t="s">
        <v>2525</v>
      </c>
      <c r="O916" t="s">
        <v>36</v>
      </c>
      <c r="P916">
        <f t="shared" si="14"/>
        <v>31</v>
      </c>
    </row>
    <row r="917" spans="1:16" x14ac:dyDescent="0.2">
      <c r="A917" t="s">
        <v>2332</v>
      </c>
      <c r="B917" t="s">
        <v>140</v>
      </c>
      <c r="C917" t="s">
        <v>92</v>
      </c>
      <c r="D917" s="4">
        <v>21459</v>
      </c>
      <c r="E917" s="4">
        <v>45462</v>
      </c>
      <c r="F917" s="9">
        <v>45476</v>
      </c>
      <c r="G917" t="s">
        <v>50</v>
      </c>
      <c r="H917" t="s">
        <v>2528</v>
      </c>
      <c r="I917" t="s">
        <v>67</v>
      </c>
      <c r="J917" s="7">
        <v>1761524</v>
      </c>
      <c r="K917" t="s">
        <v>48</v>
      </c>
      <c r="L917" t="s">
        <v>23</v>
      </c>
      <c r="M917" t="s">
        <v>35</v>
      </c>
      <c r="N917" s="6">
        <v>14</v>
      </c>
      <c r="O917" t="s">
        <v>25</v>
      </c>
      <c r="P917">
        <f t="shared" si="14"/>
        <v>66</v>
      </c>
    </row>
    <row r="918" spans="1:16" x14ac:dyDescent="0.2">
      <c r="A918" t="s">
        <v>2333</v>
      </c>
      <c r="B918" t="s">
        <v>114</v>
      </c>
      <c r="C918" t="s">
        <v>28</v>
      </c>
      <c r="D918" s="4">
        <v>38535</v>
      </c>
      <c r="E918" s="4">
        <v>45300</v>
      </c>
      <c r="F918" s="9">
        <v>45312</v>
      </c>
      <c r="G918" t="s">
        <v>83</v>
      </c>
      <c r="H918" t="s">
        <v>66</v>
      </c>
      <c r="I918" t="s">
        <v>41</v>
      </c>
      <c r="J918" s="7">
        <v>2689436</v>
      </c>
      <c r="K918" t="s">
        <v>48</v>
      </c>
      <c r="L918" t="s">
        <v>34</v>
      </c>
      <c r="M918" t="s">
        <v>35</v>
      </c>
      <c r="N918" s="6">
        <v>12</v>
      </c>
      <c r="O918" t="s">
        <v>25</v>
      </c>
      <c r="P918">
        <f t="shared" si="14"/>
        <v>19</v>
      </c>
    </row>
    <row r="919" spans="1:16" x14ac:dyDescent="0.2">
      <c r="A919" t="s">
        <v>2334</v>
      </c>
      <c r="B919" t="s">
        <v>80</v>
      </c>
      <c r="C919" t="s">
        <v>92</v>
      </c>
      <c r="D919" s="4">
        <v>24001</v>
      </c>
      <c r="E919" s="4">
        <v>45319</v>
      </c>
      <c r="F919" s="9">
        <v>45323</v>
      </c>
      <c r="G919" t="s">
        <v>46</v>
      </c>
      <c r="H919" t="s">
        <v>30</v>
      </c>
      <c r="I919" t="s">
        <v>67</v>
      </c>
      <c r="J919" s="7">
        <v>3734280</v>
      </c>
      <c r="K919" t="s">
        <v>48</v>
      </c>
      <c r="L919" t="s">
        <v>2527</v>
      </c>
      <c r="M919" t="s">
        <v>24</v>
      </c>
      <c r="N919" s="6">
        <v>4</v>
      </c>
      <c r="O919" t="s">
        <v>2531</v>
      </c>
      <c r="P919">
        <f t="shared" si="14"/>
        <v>59</v>
      </c>
    </row>
    <row r="920" spans="1:16" x14ac:dyDescent="0.2">
      <c r="A920" t="s">
        <v>2335</v>
      </c>
      <c r="B920" t="s">
        <v>119</v>
      </c>
      <c r="C920" t="s">
        <v>92</v>
      </c>
      <c r="D920" s="4">
        <v>29079</v>
      </c>
      <c r="E920" s="4">
        <v>45332</v>
      </c>
      <c r="F920" s="9">
        <v>45339</v>
      </c>
      <c r="G920" t="s">
        <v>18</v>
      </c>
      <c r="H920" t="s">
        <v>2529</v>
      </c>
      <c r="I920" t="s">
        <v>41</v>
      </c>
      <c r="J920" s="7">
        <v>3538500</v>
      </c>
      <c r="K920" t="s">
        <v>48</v>
      </c>
      <c r="L920" t="s">
        <v>2527</v>
      </c>
      <c r="M920" t="s">
        <v>24</v>
      </c>
      <c r="N920" s="6">
        <v>7</v>
      </c>
      <c r="O920" t="s">
        <v>2531</v>
      </c>
      <c r="P920">
        <f t="shared" si="14"/>
        <v>45</v>
      </c>
    </row>
    <row r="921" spans="1:16" x14ac:dyDescent="0.2">
      <c r="A921" t="s">
        <v>1334</v>
      </c>
      <c r="B921" t="s">
        <v>51</v>
      </c>
      <c r="C921" t="s">
        <v>28</v>
      </c>
      <c r="D921" s="4">
        <v>27948</v>
      </c>
      <c r="E921" s="4">
        <v>45429</v>
      </c>
      <c r="F921" s="9">
        <v>45443</v>
      </c>
      <c r="G921" t="s">
        <v>46</v>
      </c>
      <c r="H921" t="s">
        <v>30</v>
      </c>
      <c r="I921" t="s">
        <v>67</v>
      </c>
      <c r="J921" s="7">
        <v>4496224</v>
      </c>
      <c r="K921" t="s">
        <v>43</v>
      </c>
      <c r="L921" t="s">
        <v>2527</v>
      </c>
      <c r="M921" t="s">
        <v>78</v>
      </c>
      <c r="N921" s="6">
        <v>14</v>
      </c>
      <c r="O921" t="s">
        <v>2531</v>
      </c>
      <c r="P921">
        <f t="shared" si="14"/>
        <v>48</v>
      </c>
    </row>
    <row r="922" spans="1:16" x14ac:dyDescent="0.2">
      <c r="A922" t="s">
        <v>2336</v>
      </c>
      <c r="B922" t="s">
        <v>87</v>
      </c>
      <c r="C922" t="s">
        <v>92</v>
      </c>
      <c r="D922" s="4">
        <v>35236</v>
      </c>
      <c r="E922" s="4">
        <v>45429</v>
      </c>
      <c r="F922" s="9">
        <v>45433</v>
      </c>
      <c r="G922" t="s">
        <v>40</v>
      </c>
      <c r="H922" t="s">
        <v>75</v>
      </c>
      <c r="I922" t="s">
        <v>2535</v>
      </c>
      <c r="J922" s="7">
        <v>4575436</v>
      </c>
      <c r="K922" t="s">
        <v>48</v>
      </c>
      <c r="L922" t="s">
        <v>34</v>
      </c>
      <c r="M922" t="s">
        <v>78</v>
      </c>
      <c r="N922" s="6">
        <v>4</v>
      </c>
      <c r="O922" t="s">
        <v>36</v>
      </c>
      <c r="P922">
        <f t="shared" si="14"/>
        <v>28</v>
      </c>
    </row>
    <row r="923" spans="1:16" x14ac:dyDescent="0.2">
      <c r="A923" t="s">
        <v>2337</v>
      </c>
      <c r="B923" t="s">
        <v>59</v>
      </c>
      <c r="C923" t="s">
        <v>92</v>
      </c>
      <c r="D923" s="4">
        <v>22726</v>
      </c>
      <c r="E923" s="4">
        <v>45303</v>
      </c>
      <c r="F923" s="9">
        <v>45317</v>
      </c>
      <c r="G923" t="s">
        <v>46</v>
      </c>
      <c r="H923" t="s">
        <v>30</v>
      </c>
      <c r="I923" t="s">
        <v>41</v>
      </c>
      <c r="J923" s="7">
        <v>2078372</v>
      </c>
      <c r="K923" t="s">
        <v>43</v>
      </c>
      <c r="L923" t="s">
        <v>23</v>
      </c>
      <c r="M923" t="s">
        <v>24</v>
      </c>
      <c r="N923" s="6">
        <v>14</v>
      </c>
      <c r="O923" t="s">
        <v>2531</v>
      </c>
      <c r="P923">
        <f t="shared" si="14"/>
        <v>62</v>
      </c>
    </row>
    <row r="924" spans="1:16" x14ac:dyDescent="0.2">
      <c r="A924" t="s">
        <v>2338</v>
      </c>
      <c r="B924" t="s">
        <v>27</v>
      </c>
      <c r="C924" t="s">
        <v>92</v>
      </c>
      <c r="D924" s="4">
        <v>28810</v>
      </c>
      <c r="E924" s="4">
        <v>45334</v>
      </c>
      <c r="F924" s="9">
        <v>45340</v>
      </c>
      <c r="G924" t="s">
        <v>88</v>
      </c>
      <c r="H924" t="s">
        <v>66</v>
      </c>
      <c r="I924" t="s">
        <v>67</v>
      </c>
      <c r="J924" s="7">
        <v>584660</v>
      </c>
      <c r="K924" t="s">
        <v>48</v>
      </c>
      <c r="L924" t="s">
        <v>34</v>
      </c>
      <c r="M924" t="s">
        <v>78</v>
      </c>
      <c r="N924" s="6">
        <v>6</v>
      </c>
      <c r="O924" t="s">
        <v>2531</v>
      </c>
      <c r="P924">
        <f t="shared" si="14"/>
        <v>46</v>
      </c>
    </row>
    <row r="925" spans="1:16" x14ac:dyDescent="0.2">
      <c r="A925" t="s">
        <v>2339</v>
      </c>
      <c r="B925" t="s">
        <v>119</v>
      </c>
      <c r="C925" t="s">
        <v>92</v>
      </c>
      <c r="D925" s="4">
        <v>20971</v>
      </c>
      <c r="E925" s="4">
        <v>45415</v>
      </c>
      <c r="F925" s="9">
        <v>45430</v>
      </c>
      <c r="G925" t="s">
        <v>88</v>
      </c>
      <c r="H925" t="s">
        <v>66</v>
      </c>
      <c r="I925" t="s">
        <v>2534</v>
      </c>
      <c r="J925" s="7">
        <v>5046936</v>
      </c>
      <c r="K925" t="s">
        <v>48</v>
      </c>
      <c r="L925" t="s">
        <v>2527</v>
      </c>
      <c r="M925" t="s">
        <v>78</v>
      </c>
      <c r="N925" s="6">
        <v>15</v>
      </c>
      <c r="O925" t="s">
        <v>2531</v>
      </c>
      <c r="P925">
        <f t="shared" si="14"/>
        <v>67</v>
      </c>
    </row>
    <row r="926" spans="1:16" x14ac:dyDescent="0.2">
      <c r="A926" t="s">
        <v>2340</v>
      </c>
      <c r="B926" t="s">
        <v>45</v>
      </c>
      <c r="C926" t="s">
        <v>39</v>
      </c>
      <c r="D926" s="4">
        <v>27836</v>
      </c>
      <c r="E926" s="4">
        <v>45332</v>
      </c>
      <c r="F926" s="9">
        <v>45335</v>
      </c>
      <c r="G926" t="s">
        <v>60</v>
      </c>
      <c r="H926" t="s">
        <v>66</v>
      </c>
      <c r="I926" t="s">
        <v>2535</v>
      </c>
      <c r="J926" s="7">
        <v>965632</v>
      </c>
      <c r="K926" t="s">
        <v>48</v>
      </c>
      <c r="L926" t="s">
        <v>2527</v>
      </c>
      <c r="M926" t="s">
        <v>24</v>
      </c>
      <c r="N926" s="6">
        <v>3</v>
      </c>
      <c r="O926" t="s">
        <v>36</v>
      </c>
      <c r="P926">
        <f t="shared" si="14"/>
        <v>48</v>
      </c>
    </row>
    <row r="927" spans="1:16" x14ac:dyDescent="0.2">
      <c r="A927" t="s">
        <v>2341</v>
      </c>
      <c r="B927" t="s">
        <v>56</v>
      </c>
      <c r="C927" t="s">
        <v>92</v>
      </c>
      <c r="D927" s="4">
        <v>34882</v>
      </c>
      <c r="E927" s="4">
        <v>45411</v>
      </c>
      <c r="F927" s="9" t="s">
        <v>2536</v>
      </c>
      <c r="G927" t="s">
        <v>88</v>
      </c>
      <c r="H927" t="s">
        <v>66</v>
      </c>
      <c r="I927" t="s">
        <v>2534</v>
      </c>
      <c r="J927" s="7">
        <v>2395220</v>
      </c>
      <c r="K927" t="s">
        <v>71</v>
      </c>
      <c r="L927" t="s">
        <v>2527</v>
      </c>
      <c r="M927" t="s">
        <v>24</v>
      </c>
      <c r="N927" s="6" t="s">
        <v>2525</v>
      </c>
      <c r="O927" t="s">
        <v>2531</v>
      </c>
      <c r="P927">
        <f t="shared" si="14"/>
        <v>29</v>
      </c>
    </row>
    <row r="928" spans="1:16" x14ac:dyDescent="0.2">
      <c r="A928" t="s">
        <v>2342</v>
      </c>
      <c r="B928" t="s">
        <v>38</v>
      </c>
      <c r="C928" t="s">
        <v>92</v>
      </c>
      <c r="D928" s="4">
        <v>23177</v>
      </c>
      <c r="E928" s="4">
        <v>45388</v>
      </c>
      <c r="F928" s="9">
        <v>45391</v>
      </c>
      <c r="G928" t="s">
        <v>40</v>
      </c>
      <c r="H928" t="s">
        <v>75</v>
      </c>
      <c r="I928" t="s">
        <v>2533</v>
      </c>
      <c r="J928" s="7">
        <v>3228832</v>
      </c>
      <c r="K928" t="s">
        <v>48</v>
      </c>
      <c r="L928" t="s">
        <v>2527</v>
      </c>
      <c r="M928" t="s">
        <v>35</v>
      </c>
      <c r="N928" s="6">
        <v>3</v>
      </c>
      <c r="O928" t="s">
        <v>2531</v>
      </c>
      <c r="P928">
        <f t="shared" si="14"/>
        <v>61</v>
      </c>
    </row>
    <row r="929" spans="1:16" x14ac:dyDescent="0.2">
      <c r="A929" t="s">
        <v>1348</v>
      </c>
      <c r="B929" t="s">
        <v>27</v>
      </c>
      <c r="C929" t="s">
        <v>28</v>
      </c>
      <c r="D929" s="4">
        <v>19554</v>
      </c>
      <c r="E929" s="4">
        <v>45305</v>
      </c>
      <c r="F929" s="9">
        <v>45312</v>
      </c>
      <c r="G929" t="s">
        <v>18</v>
      </c>
      <c r="H929" t="s">
        <v>2529</v>
      </c>
      <c r="I929" t="s">
        <v>41</v>
      </c>
      <c r="J929" s="7">
        <v>505448</v>
      </c>
      <c r="K929" t="s">
        <v>48</v>
      </c>
      <c r="L929" t="s">
        <v>34</v>
      </c>
      <c r="M929" t="s">
        <v>35</v>
      </c>
      <c r="N929" s="6">
        <v>7</v>
      </c>
      <c r="O929" t="s">
        <v>25</v>
      </c>
      <c r="P929">
        <f t="shared" si="14"/>
        <v>71</v>
      </c>
    </row>
    <row r="930" spans="1:16" x14ac:dyDescent="0.2">
      <c r="A930" t="s">
        <v>1349</v>
      </c>
      <c r="B930" t="s">
        <v>118</v>
      </c>
      <c r="C930" t="s">
        <v>92</v>
      </c>
      <c r="D930" s="4">
        <v>35584</v>
      </c>
      <c r="E930" s="4">
        <v>45434</v>
      </c>
      <c r="F930" s="9">
        <v>45446</v>
      </c>
      <c r="G930" t="s">
        <v>72</v>
      </c>
      <c r="H930" t="s">
        <v>2529</v>
      </c>
      <c r="I930" t="s">
        <v>2535</v>
      </c>
      <c r="J930" s="7">
        <v>4036040</v>
      </c>
      <c r="K930" t="s">
        <v>48</v>
      </c>
      <c r="L930" t="s">
        <v>23</v>
      </c>
      <c r="M930" t="s">
        <v>78</v>
      </c>
      <c r="N930" s="6">
        <v>12</v>
      </c>
      <c r="O930" t="s">
        <v>2531</v>
      </c>
      <c r="P930">
        <f t="shared" si="14"/>
        <v>27</v>
      </c>
    </row>
    <row r="931" spans="1:16" x14ac:dyDescent="0.2">
      <c r="A931" t="s">
        <v>2343</v>
      </c>
      <c r="B931" t="s">
        <v>150</v>
      </c>
      <c r="C931" t="s">
        <v>28</v>
      </c>
      <c r="D931" s="4">
        <v>27039</v>
      </c>
      <c r="E931" s="4">
        <v>45331</v>
      </c>
      <c r="F931" s="9" t="s">
        <v>2536</v>
      </c>
      <c r="G931" t="s">
        <v>29</v>
      </c>
      <c r="H931" t="s">
        <v>19</v>
      </c>
      <c r="I931" t="s">
        <v>2534</v>
      </c>
      <c r="J931" s="7">
        <v>2655488</v>
      </c>
      <c r="K931" t="s">
        <v>43</v>
      </c>
      <c r="L931" t="s">
        <v>2527</v>
      </c>
      <c r="M931" t="s">
        <v>78</v>
      </c>
      <c r="N931" s="6" t="s">
        <v>2525</v>
      </c>
      <c r="O931" t="s">
        <v>25</v>
      </c>
      <c r="P931">
        <f t="shared" si="14"/>
        <v>50</v>
      </c>
    </row>
    <row r="932" spans="1:16" x14ac:dyDescent="0.2">
      <c r="A932" t="s">
        <v>1352</v>
      </c>
      <c r="B932" t="s">
        <v>82</v>
      </c>
      <c r="C932" t="s">
        <v>39</v>
      </c>
      <c r="D932" s="4">
        <v>22540</v>
      </c>
      <c r="E932" s="4">
        <v>45427</v>
      </c>
      <c r="F932" s="9">
        <v>45432</v>
      </c>
      <c r="G932" t="s">
        <v>74</v>
      </c>
      <c r="H932" t="s">
        <v>2528</v>
      </c>
      <c r="I932" t="s">
        <v>41</v>
      </c>
      <c r="J932" s="7">
        <v>690276</v>
      </c>
      <c r="K932" t="s">
        <v>48</v>
      </c>
      <c r="L932" t="s">
        <v>2527</v>
      </c>
      <c r="M932" t="s">
        <v>35</v>
      </c>
      <c r="N932" s="6">
        <v>5</v>
      </c>
      <c r="O932" t="s">
        <v>36</v>
      </c>
      <c r="P932">
        <f t="shared" si="14"/>
        <v>63</v>
      </c>
    </row>
    <row r="933" spans="1:16" x14ac:dyDescent="0.2">
      <c r="A933" t="s">
        <v>2344</v>
      </c>
      <c r="B933" t="s">
        <v>80</v>
      </c>
      <c r="C933" t="s">
        <v>28</v>
      </c>
      <c r="D933" s="4">
        <v>31478</v>
      </c>
      <c r="E933" s="4">
        <v>45464</v>
      </c>
      <c r="F933" s="9">
        <v>45475</v>
      </c>
      <c r="G933" t="s">
        <v>60</v>
      </c>
      <c r="H933" t="s">
        <v>66</v>
      </c>
      <c r="I933" t="s">
        <v>41</v>
      </c>
      <c r="J933" s="7">
        <v>554484</v>
      </c>
      <c r="K933" t="s">
        <v>71</v>
      </c>
      <c r="L933" t="s">
        <v>2527</v>
      </c>
      <c r="M933" t="s">
        <v>78</v>
      </c>
      <c r="N933" s="6">
        <v>11</v>
      </c>
      <c r="O933" t="s">
        <v>36</v>
      </c>
      <c r="P933">
        <f t="shared" si="14"/>
        <v>38</v>
      </c>
    </row>
    <row r="934" spans="1:16" x14ac:dyDescent="0.2">
      <c r="A934" t="s">
        <v>2345</v>
      </c>
      <c r="B934" t="s">
        <v>119</v>
      </c>
      <c r="C934" t="s">
        <v>39</v>
      </c>
      <c r="D934" s="4">
        <v>35642</v>
      </c>
      <c r="E934" s="4">
        <v>45349</v>
      </c>
      <c r="F934" s="9">
        <v>45358</v>
      </c>
      <c r="G934" t="s">
        <v>60</v>
      </c>
      <c r="H934" t="s">
        <v>66</v>
      </c>
      <c r="I934" t="s">
        <v>2534</v>
      </c>
      <c r="J934" s="7">
        <v>1410728</v>
      </c>
      <c r="K934" t="s">
        <v>43</v>
      </c>
      <c r="L934" t="s">
        <v>34</v>
      </c>
      <c r="M934" t="s">
        <v>24</v>
      </c>
      <c r="N934" s="6">
        <v>9</v>
      </c>
      <c r="O934" t="s">
        <v>36</v>
      </c>
      <c r="P934">
        <f t="shared" si="14"/>
        <v>27</v>
      </c>
    </row>
    <row r="935" spans="1:16" x14ac:dyDescent="0.2">
      <c r="A935" t="s">
        <v>2346</v>
      </c>
      <c r="B935" t="s">
        <v>80</v>
      </c>
      <c r="C935" t="s">
        <v>39</v>
      </c>
      <c r="D935" s="4">
        <v>27811</v>
      </c>
      <c r="E935" s="4">
        <v>45344</v>
      </c>
      <c r="F935" s="9">
        <v>45357</v>
      </c>
      <c r="G935" t="s">
        <v>50</v>
      </c>
      <c r="H935" t="s">
        <v>2528</v>
      </c>
      <c r="I935" t="s">
        <v>2535</v>
      </c>
      <c r="J935" s="7">
        <v>2194500</v>
      </c>
      <c r="K935" t="s">
        <v>48</v>
      </c>
      <c r="L935" t="s">
        <v>2527</v>
      </c>
      <c r="M935" t="s">
        <v>24</v>
      </c>
      <c r="N935" s="6">
        <v>13</v>
      </c>
      <c r="O935" t="s">
        <v>25</v>
      </c>
      <c r="P935">
        <f t="shared" si="14"/>
        <v>48</v>
      </c>
    </row>
    <row r="936" spans="1:16" x14ac:dyDescent="0.2">
      <c r="A936" t="s">
        <v>1357</v>
      </c>
      <c r="B936" t="s">
        <v>150</v>
      </c>
      <c r="C936" t="s">
        <v>92</v>
      </c>
      <c r="D936" s="4">
        <v>37920</v>
      </c>
      <c r="E936" s="4">
        <v>45426</v>
      </c>
      <c r="F936" s="9">
        <v>45439</v>
      </c>
      <c r="G936" t="s">
        <v>40</v>
      </c>
      <c r="H936" t="s">
        <v>75</v>
      </c>
      <c r="I936" t="s">
        <v>2535</v>
      </c>
      <c r="J936" s="7">
        <v>1908632</v>
      </c>
      <c r="K936" t="s">
        <v>43</v>
      </c>
      <c r="L936" t="s">
        <v>34</v>
      </c>
      <c r="M936" t="s">
        <v>24</v>
      </c>
      <c r="N936" s="6">
        <v>13</v>
      </c>
      <c r="O936" t="s">
        <v>25</v>
      </c>
      <c r="P936">
        <f t="shared" si="14"/>
        <v>21</v>
      </c>
    </row>
    <row r="937" spans="1:16" x14ac:dyDescent="0.2">
      <c r="A937" t="s">
        <v>1359</v>
      </c>
      <c r="B937" t="s">
        <v>118</v>
      </c>
      <c r="C937" t="s">
        <v>28</v>
      </c>
      <c r="D937" s="4">
        <v>28848</v>
      </c>
      <c r="E937" s="4">
        <v>45302</v>
      </c>
      <c r="F937" s="9">
        <v>45314</v>
      </c>
      <c r="G937" t="s">
        <v>74</v>
      </c>
      <c r="H937" t="s">
        <v>2528</v>
      </c>
      <c r="I937" t="s">
        <v>2535</v>
      </c>
      <c r="J937" s="7">
        <v>4277448</v>
      </c>
      <c r="K937" t="s">
        <v>48</v>
      </c>
      <c r="L937" t="s">
        <v>2527</v>
      </c>
      <c r="M937" t="s">
        <v>35</v>
      </c>
      <c r="N937" s="6">
        <v>12</v>
      </c>
      <c r="O937" t="s">
        <v>36</v>
      </c>
      <c r="P937">
        <f t="shared" si="14"/>
        <v>46</v>
      </c>
    </row>
    <row r="938" spans="1:16" x14ac:dyDescent="0.2">
      <c r="A938" t="s">
        <v>2347</v>
      </c>
      <c r="B938" t="s">
        <v>105</v>
      </c>
      <c r="C938" t="s">
        <v>92</v>
      </c>
      <c r="D938" s="4">
        <v>18613</v>
      </c>
      <c r="E938" s="4">
        <v>45345</v>
      </c>
      <c r="F938" s="9">
        <v>45346</v>
      </c>
      <c r="G938" t="s">
        <v>83</v>
      </c>
      <c r="H938" t="s">
        <v>66</v>
      </c>
      <c r="I938" t="s">
        <v>2533</v>
      </c>
      <c r="J938" s="7">
        <v>1240988</v>
      </c>
      <c r="K938" t="s">
        <v>43</v>
      </c>
      <c r="L938" t="s">
        <v>34</v>
      </c>
      <c r="M938" t="s">
        <v>35</v>
      </c>
      <c r="N938" s="6">
        <v>1</v>
      </c>
      <c r="O938" t="s">
        <v>36</v>
      </c>
      <c r="P938">
        <f t="shared" si="14"/>
        <v>74</v>
      </c>
    </row>
    <row r="939" spans="1:16" x14ac:dyDescent="0.2">
      <c r="A939" t="s">
        <v>2348</v>
      </c>
      <c r="B939" t="s">
        <v>56</v>
      </c>
      <c r="C939" t="s">
        <v>92</v>
      </c>
      <c r="D939" s="4">
        <v>27558</v>
      </c>
      <c r="E939" s="4">
        <v>45398</v>
      </c>
      <c r="F939" s="9">
        <v>45409</v>
      </c>
      <c r="G939" t="s">
        <v>29</v>
      </c>
      <c r="H939" t="s">
        <v>19</v>
      </c>
      <c r="I939" t="s">
        <v>2535</v>
      </c>
      <c r="J939" s="7">
        <v>3047776</v>
      </c>
      <c r="K939" t="s">
        <v>48</v>
      </c>
      <c r="L939" t="s">
        <v>34</v>
      </c>
      <c r="M939" t="s">
        <v>78</v>
      </c>
      <c r="N939" s="6">
        <v>11</v>
      </c>
      <c r="O939" t="s">
        <v>25</v>
      </c>
      <c r="P939">
        <f t="shared" si="14"/>
        <v>49</v>
      </c>
    </row>
    <row r="940" spans="1:16" x14ac:dyDescent="0.2">
      <c r="A940" t="s">
        <v>2349</v>
      </c>
      <c r="B940" t="s">
        <v>119</v>
      </c>
      <c r="C940" t="s">
        <v>92</v>
      </c>
      <c r="D940" s="4">
        <v>21830</v>
      </c>
      <c r="E940" s="4">
        <v>45349</v>
      </c>
      <c r="F940" s="9">
        <v>45357</v>
      </c>
      <c r="G940" t="s">
        <v>88</v>
      </c>
      <c r="H940" t="s">
        <v>66</v>
      </c>
      <c r="I940" t="s">
        <v>67</v>
      </c>
      <c r="J940" s="7">
        <v>3523048</v>
      </c>
      <c r="K940" t="s">
        <v>48</v>
      </c>
      <c r="L940" t="s">
        <v>23</v>
      </c>
      <c r="M940" t="s">
        <v>35</v>
      </c>
      <c r="N940" s="6">
        <v>8</v>
      </c>
      <c r="O940" t="s">
        <v>25</v>
      </c>
      <c r="P940">
        <f t="shared" si="14"/>
        <v>65</v>
      </c>
    </row>
    <row r="941" spans="1:16" x14ac:dyDescent="0.2">
      <c r="A941" t="s">
        <v>1366</v>
      </c>
      <c r="B941" t="s">
        <v>91</v>
      </c>
      <c r="C941" t="s">
        <v>28</v>
      </c>
      <c r="D941" s="4">
        <v>27275</v>
      </c>
      <c r="E941" s="4">
        <v>45378</v>
      </c>
      <c r="F941" s="9" t="s">
        <v>2536</v>
      </c>
      <c r="G941" t="s">
        <v>60</v>
      </c>
      <c r="H941" t="s">
        <v>66</v>
      </c>
      <c r="I941" t="s">
        <v>2534</v>
      </c>
      <c r="J941" s="7">
        <v>2647944</v>
      </c>
      <c r="K941" t="s">
        <v>43</v>
      </c>
      <c r="L941" t="s">
        <v>2527</v>
      </c>
      <c r="M941" t="s">
        <v>24</v>
      </c>
      <c r="N941" s="6" t="s">
        <v>2525</v>
      </c>
      <c r="O941" t="s">
        <v>36</v>
      </c>
      <c r="P941">
        <f t="shared" si="14"/>
        <v>50</v>
      </c>
    </row>
    <row r="942" spans="1:16" x14ac:dyDescent="0.2">
      <c r="A942" t="s">
        <v>2350</v>
      </c>
      <c r="B942" t="s">
        <v>64</v>
      </c>
      <c r="C942" t="s">
        <v>39</v>
      </c>
      <c r="D942" s="4">
        <v>29322</v>
      </c>
      <c r="E942" s="4">
        <v>45418</v>
      </c>
      <c r="F942" s="9">
        <v>45431</v>
      </c>
      <c r="G942" t="s">
        <v>40</v>
      </c>
      <c r="H942" t="s">
        <v>75</v>
      </c>
      <c r="I942" t="s">
        <v>67</v>
      </c>
      <c r="J942" s="7">
        <v>1274936</v>
      </c>
      <c r="K942" t="s">
        <v>71</v>
      </c>
      <c r="L942" t="s">
        <v>34</v>
      </c>
      <c r="M942" t="s">
        <v>35</v>
      </c>
      <c r="N942" s="6">
        <v>13</v>
      </c>
      <c r="O942" t="s">
        <v>25</v>
      </c>
      <c r="P942">
        <f t="shared" si="14"/>
        <v>44</v>
      </c>
    </row>
    <row r="943" spans="1:16" x14ac:dyDescent="0.2">
      <c r="A943" t="s">
        <v>2351</v>
      </c>
      <c r="B943" t="s">
        <v>51</v>
      </c>
      <c r="C943" t="s">
        <v>92</v>
      </c>
      <c r="D943" s="4">
        <v>31062</v>
      </c>
      <c r="E943" s="4">
        <v>45447</v>
      </c>
      <c r="F943" s="9">
        <v>45460</v>
      </c>
      <c r="G943" t="s">
        <v>29</v>
      </c>
      <c r="H943" t="s">
        <v>19</v>
      </c>
      <c r="I943" t="s">
        <v>2534</v>
      </c>
      <c r="J943" s="7">
        <v>3896476</v>
      </c>
      <c r="K943" t="s">
        <v>48</v>
      </c>
      <c r="L943" t="s">
        <v>23</v>
      </c>
      <c r="M943" t="s">
        <v>35</v>
      </c>
      <c r="N943" s="6">
        <v>13</v>
      </c>
      <c r="O943" t="s">
        <v>25</v>
      </c>
      <c r="P943">
        <f t="shared" si="14"/>
        <v>39</v>
      </c>
    </row>
    <row r="944" spans="1:16" x14ac:dyDescent="0.2">
      <c r="A944" t="s">
        <v>2352</v>
      </c>
      <c r="B944" t="s">
        <v>59</v>
      </c>
      <c r="C944" t="s">
        <v>92</v>
      </c>
      <c r="D944" s="4">
        <v>19969</v>
      </c>
      <c r="E944" s="4">
        <v>45422</v>
      </c>
      <c r="F944" s="9">
        <v>45424</v>
      </c>
      <c r="G944" t="s">
        <v>72</v>
      </c>
      <c r="H944" t="s">
        <v>2529</v>
      </c>
      <c r="I944" t="s">
        <v>2533</v>
      </c>
      <c r="J944" s="7">
        <v>3655068</v>
      </c>
      <c r="K944" t="s">
        <v>43</v>
      </c>
      <c r="L944" t="s">
        <v>23</v>
      </c>
      <c r="M944" t="s">
        <v>24</v>
      </c>
      <c r="N944" s="6">
        <v>2</v>
      </c>
      <c r="O944" t="s">
        <v>2531</v>
      </c>
      <c r="P944">
        <f t="shared" si="14"/>
        <v>70</v>
      </c>
    </row>
    <row r="945" spans="1:16" x14ac:dyDescent="0.2">
      <c r="A945" t="s">
        <v>1373</v>
      </c>
      <c r="B945" t="s">
        <v>16</v>
      </c>
      <c r="C945" t="s">
        <v>28</v>
      </c>
      <c r="D945" s="4">
        <v>28225</v>
      </c>
      <c r="E945" s="4">
        <v>45427</v>
      </c>
      <c r="F945" s="9">
        <v>45433</v>
      </c>
      <c r="G945" t="s">
        <v>50</v>
      </c>
      <c r="H945" t="s">
        <v>2528</v>
      </c>
      <c r="I945" t="s">
        <v>41</v>
      </c>
      <c r="J945" s="7">
        <v>5529752</v>
      </c>
      <c r="K945" t="s">
        <v>71</v>
      </c>
      <c r="L945" t="s">
        <v>34</v>
      </c>
      <c r="M945" t="s">
        <v>35</v>
      </c>
      <c r="N945" s="6">
        <v>6</v>
      </c>
      <c r="O945" t="s">
        <v>36</v>
      </c>
      <c r="P945">
        <f t="shared" si="14"/>
        <v>47</v>
      </c>
    </row>
    <row r="946" spans="1:16" x14ac:dyDescent="0.2">
      <c r="A946" t="s">
        <v>2353</v>
      </c>
      <c r="B946" t="s">
        <v>16</v>
      </c>
      <c r="C946" t="s">
        <v>92</v>
      </c>
      <c r="D946" s="4">
        <v>21621</v>
      </c>
      <c r="E946" s="4">
        <v>45407</v>
      </c>
      <c r="F946" s="9">
        <v>45408</v>
      </c>
      <c r="G946" t="s">
        <v>18</v>
      </c>
      <c r="H946" t="s">
        <v>2529</v>
      </c>
      <c r="I946" t="s">
        <v>2534</v>
      </c>
      <c r="J946" s="7">
        <v>812000</v>
      </c>
      <c r="K946" t="s">
        <v>48</v>
      </c>
      <c r="L946" t="s">
        <v>23</v>
      </c>
      <c r="M946" t="s">
        <v>35</v>
      </c>
      <c r="N946" s="6">
        <v>1</v>
      </c>
      <c r="O946" t="s">
        <v>36</v>
      </c>
      <c r="P946">
        <f t="shared" si="14"/>
        <v>65</v>
      </c>
    </row>
    <row r="947" spans="1:16" x14ac:dyDescent="0.2">
      <c r="A947" t="s">
        <v>2354</v>
      </c>
      <c r="B947" t="s">
        <v>140</v>
      </c>
      <c r="C947" t="s">
        <v>28</v>
      </c>
      <c r="D947" s="4">
        <v>37854</v>
      </c>
      <c r="E947" s="4">
        <v>45451</v>
      </c>
      <c r="F947" s="9">
        <v>45462</v>
      </c>
      <c r="G947" t="s">
        <v>40</v>
      </c>
      <c r="H947" t="s">
        <v>75</v>
      </c>
      <c r="I947" t="s">
        <v>2535</v>
      </c>
      <c r="J947" s="7">
        <v>5012988</v>
      </c>
      <c r="K947" t="s">
        <v>48</v>
      </c>
      <c r="L947" t="s">
        <v>2527</v>
      </c>
      <c r="M947" t="s">
        <v>35</v>
      </c>
      <c r="N947" s="6">
        <v>11</v>
      </c>
      <c r="O947" t="s">
        <v>2531</v>
      </c>
      <c r="P947">
        <f t="shared" si="14"/>
        <v>21</v>
      </c>
    </row>
    <row r="948" spans="1:16" x14ac:dyDescent="0.2">
      <c r="A948" t="s">
        <v>2355</v>
      </c>
      <c r="B948" t="s">
        <v>119</v>
      </c>
      <c r="C948" t="s">
        <v>28</v>
      </c>
      <c r="D948" s="4">
        <v>23078</v>
      </c>
      <c r="E948" s="4">
        <v>45436</v>
      </c>
      <c r="F948" s="9">
        <v>45449</v>
      </c>
      <c r="G948" t="s">
        <v>18</v>
      </c>
      <c r="H948" t="s">
        <v>2529</v>
      </c>
      <c r="I948" t="s">
        <v>41</v>
      </c>
      <c r="J948" s="7">
        <v>1878456</v>
      </c>
      <c r="K948" t="s">
        <v>48</v>
      </c>
      <c r="L948" t="s">
        <v>34</v>
      </c>
      <c r="M948" t="s">
        <v>35</v>
      </c>
      <c r="N948" s="6">
        <v>13</v>
      </c>
      <c r="O948" t="s">
        <v>25</v>
      </c>
      <c r="P948">
        <f t="shared" si="14"/>
        <v>61</v>
      </c>
    </row>
    <row r="949" spans="1:16" x14ac:dyDescent="0.2">
      <c r="A949" t="s">
        <v>2356</v>
      </c>
      <c r="B949" t="s">
        <v>87</v>
      </c>
      <c r="C949" t="s">
        <v>39</v>
      </c>
      <c r="D949" s="4">
        <v>32350</v>
      </c>
      <c r="E949" s="4">
        <v>45436</v>
      </c>
      <c r="F949" s="9">
        <v>45448</v>
      </c>
      <c r="G949" t="s">
        <v>40</v>
      </c>
      <c r="H949" t="s">
        <v>75</v>
      </c>
      <c r="I949" t="s">
        <v>67</v>
      </c>
      <c r="J949" s="7">
        <v>3451380</v>
      </c>
      <c r="K949" t="s">
        <v>71</v>
      </c>
      <c r="L949" t="s">
        <v>2527</v>
      </c>
      <c r="M949" t="s">
        <v>35</v>
      </c>
      <c r="N949" s="6">
        <v>12</v>
      </c>
      <c r="O949" t="s">
        <v>2531</v>
      </c>
      <c r="P949">
        <f t="shared" si="14"/>
        <v>36</v>
      </c>
    </row>
    <row r="950" spans="1:16" x14ac:dyDescent="0.2">
      <c r="A950" t="s">
        <v>1379</v>
      </c>
      <c r="B950" t="s">
        <v>45</v>
      </c>
      <c r="C950" t="s">
        <v>92</v>
      </c>
      <c r="D950" s="4">
        <v>25738</v>
      </c>
      <c r="E950" s="4">
        <v>45375</v>
      </c>
      <c r="F950" s="9">
        <v>45390</v>
      </c>
      <c r="G950" t="s">
        <v>72</v>
      </c>
      <c r="H950" t="s">
        <v>2529</v>
      </c>
      <c r="I950" t="s">
        <v>41</v>
      </c>
      <c r="J950" s="7">
        <v>472500</v>
      </c>
      <c r="K950" t="s">
        <v>48</v>
      </c>
      <c r="L950" t="s">
        <v>2527</v>
      </c>
      <c r="M950" t="s">
        <v>78</v>
      </c>
      <c r="N950" s="6">
        <v>15</v>
      </c>
      <c r="O950" t="s">
        <v>25</v>
      </c>
      <c r="P950">
        <f t="shared" si="14"/>
        <v>54</v>
      </c>
    </row>
    <row r="951" spans="1:16" x14ac:dyDescent="0.2">
      <c r="A951" t="s">
        <v>2357</v>
      </c>
      <c r="B951" t="s">
        <v>119</v>
      </c>
      <c r="C951" t="s">
        <v>92</v>
      </c>
      <c r="D951" s="4">
        <v>32490</v>
      </c>
      <c r="E951" s="4">
        <v>45299</v>
      </c>
      <c r="F951" s="9">
        <v>45312</v>
      </c>
      <c r="G951" t="s">
        <v>40</v>
      </c>
      <c r="H951" t="s">
        <v>75</v>
      </c>
      <c r="I951" t="s">
        <v>67</v>
      </c>
      <c r="J951" s="7">
        <v>3461500</v>
      </c>
      <c r="K951" t="s">
        <v>48</v>
      </c>
      <c r="L951" t="s">
        <v>2527</v>
      </c>
      <c r="M951" t="s">
        <v>24</v>
      </c>
      <c r="N951" s="6">
        <v>13</v>
      </c>
      <c r="O951" t="s">
        <v>2531</v>
      </c>
      <c r="P951">
        <f t="shared" si="14"/>
        <v>36</v>
      </c>
    </row>
    <row r="952" spans="1:16" x14ac:dyDescent="0.2">
      <c r="A952" t="s">
        <v>1382</v>
      </c>
      <c r="B952" t="s">
        <v>51</v>
      </c>
      <c r="C952" t="s">
        <v>92</v>
      </c>
      <c r="D952" s="4">
        <v>36672</v>
      </c>
      <c r="E952" s="4">
        <v>45401</v>
      </c>
      <c r="F952" s="9">
        <v>45412</v>
      </c>
      <c r="G952" t="s">
        <v>50</v>
      </c>
      <c r="H952" t="s">
        <v>2528</v>
      </c>
      <c r="I952" t="s">
        <v>2535</v>
      </c>
      <c r="J952" s="7">
        <v>2597000</v>
      </c>
      <c r="K952" t="s">
        <v>48</v>
      </c>
      <c r="L952" t="s">
        <v>2527</v>
      </c>
      <c r="M952" t="s">
        <v>35</v>
      </c>
      <c r="N952" s="6">
        <v>11</v>
      </c>
      <c r="O952" t="s">
        <v>2531</v>
      </c>
      <c r="P952">
        <f t="shared" si="14"/>
        <v>24</v>
      </c>
    </row>
    <row r="953" spans="1:16" x14ac:dyDescent="0.2">
      <c r="A953" t="s">
        <v>1384</v>
      </c>
      <c r="B953" t="s">
        <v>91</v>
      </c>
      <c r="C953" t="s">
        <v>92</v>
      </c>
      <c r="D953" s="4">
        <v>28446</v>
      </c>
      <c r="E953" s="4">
        <v>45452</v>
      </c>
      <c r="F953" s="9">
        <v>45466</v>
      </c>
      <c r="G953" t="s">
        <v>100</v>
      </c>
      <c r="H953" t="s">
        <v>61</v>
      </c>
      <c r="I953" t="s">
        <v>67</v>
      </c>
      <c r="J953" s="7">
        <v>384744</v>
      </c>
      <c r="K953" t="s">
        <v>43</v>
      </c>
      <c r="L953" t="s">
        <v>2527</v>
      </c>
      <c r="M953" t="s">
        <v>24</v>
      </c>
      <c r="N953" s="6">
        <v>14</v>
      </c>
      <c r="O953" t="s">
        <v>36</v>
      </c>
      <c r="P953">
        <f t="shared" si="14"/>
        <v>47</v>
      </c>
    </row>
    <row r="954" spans="1:16" x14ac:dyDescent="0.2">
      <c r="A954" t="s">
        <v>1386</v>
      </c>
      <c r="B954" t="s">
        <v>80</v>
      </c>
      <c r="C954" t="s">
        <v>92</v>
      </c>
      <c r="D954" s="4">
        <v>30951</v>
      </c>
      <c r="E954" s="4">
        <v>45311</v>
      </c>
      <c r="F954" s="9">
        <v>45325</v>
      </c>
      <c r="G954" t="s">
        <v>88</v>
      </c>
      <c r="H954" t="s">
        <v>66</v>
      </c>
      <c r="I954" t="s">
        <v>67</v>
      </c>
      <c r="J954" s="7">
        <v>3274096</v>
      </c>
      <c r="K954" t="s">
        <v>43</v>
      </c>
      <c r="L954" t="s">
        <v>2527</v>
      </c>
      <c r="M954" t="s">
        <v>35</v>
      </c>
      <c r="N954" s="6">
        <v>14</v>
      </c>
      <c r="O954" t="s">
        <v>2531</v>
      </c>
      <c r="P954">
        <f t="shared" si="14"/>
        <v>40</v>
      </c>
    </row>
    <row r="955" spans="1:16" x14ac:dyDescent="0.2">
      <c r="A955" t="s">
        <v>1388</v>
      </c>
      <c r="B955" t="s">
        <v>59</v>
      </c>
      <c r="C955" t="s">
        <v>92</v>
      </c>
      <c r="D955" s="4">
        <v>33112</v>
      </c>
      <c r="E955" s="4">
        <v>45337</v>
      </c>
      <c r="F955" s="9">
        <v>45345</v>
      </c>
      <c r="G955" t="s">
        <v>72</v>
      </c>
      <c r="H955" t="s">
        <v>2529</v>
      </c>
      <c r="I955" t="s">
        <v>67</v>
      </c>
      <c r="J955" s="7">
        <v>3221288</v>
      </c>
      <c r="K955" t="s">
        <v>48</v>
      </c>
      <c r="L955" t="s">
        <v>2527</v>
      </c>
      <c r="M955" t="s">
        <v>35</v>
      </c>
      <c r="N955" s="6">
        <v>8</v>
      </c>
      <c r="O955" t="s">
        <v>36</v>
      </c>
      <c r="P955">
        <f t="shared" si="14"/>
        <v>34</v>
      </c>
    </row>
    <row r="956" spans="1:16" x14ac:dyDescent="0.2">
      <c r="A956" t="s">
        <v>2358</v>
      </c>
      <c r="B956" t="s">
        <v>45</v>
      </c>
      <c r="C956" t="s">
        <v>28</v>
      </c>
      <c r="D956" s="4">
        <v>23582</v>
      </c>
      <c r="E956" s="4">
        <v>45406</v>
      </c>
      <c r="F956" s="9">
        <v>45419</v>
      </c>
      <c r="G956" t="s">
        <v>72</v>
      </c>
      <c r="H956" t="s">
        <v>2529</v>
      </c>
      <c r="I956" t="s">
        <v>2535</v>
      </c>
      <c r="J956" s="7">
        <v>1330000</v>
      </c>
      <c r="K956" t="s">
        <v>48</v>
      </c>
      <c r="L956" t="s">
        <v>34</v>
      </c>
      <c r="M956" t="s">
        <v>24</v>
      </c>
      <c r="N956" s="6">
        <v>13</v>
      </c>
      <c r="O956" t="s">
        <v>2531</v>
      </c>
      <c r="P956">
        <f t="shared" si="14"/>
        <v>60</v>
      </c>
    </row>
    <row r="957" spans="1:16" x14ac:dyDescent="0.2">
      <c r="A957" t="s">
        <v>2359</v>
      </c>
      <c r="B957" t="s">
        <v>118</v>
      </c>
      <c r="C957" t="s">
        <v>92</v>
      </c>
      <c r="D957" s="4">
        <v>23538</v>
      </c>
      <c r="E957" s="4">
        <v>45359</v>
      </c>
      <c r="F957" s="9">
        <v>45368</v>
      </c>
      <c r="G957" t="s">
        <v>74</v>
      </c>
      <c r="H957" t="s">
        <v>2528</v>
      </c>
      <c r="I957" t="s">
        <v>67</v>
      </c>
      <c r="J957" s="7">
        <v>1942580</v>
      </c>
      <c r="K957" t="s">
        <v>48</v>
      </c>
      <c r="L957" t="s">
        <v>34</v>
      </c>
      <c r="M957" t="s">
        <v>35</v>
      </c>
      <c r="N957" s="6">
        <v>9</v>
      </c>
      <c r="O957" t="s">
        <v>36</v>
      </c>
      <c r="P957">
        <f t="shared" si="14"/>
        <v>60</v>
      </c>
    </row>
    <row r="958" spans="1:16" x14ac:dyDescent="0.2">
      <c r="A958" t="s">
        <v>2360</v>
      </c>
      <c r="B958" t="s">
        <v>140</v>
      </c>
      <c r="C958" t="s">
        <v>28</v>
      </c>
      <c r="D958" s="4">
        <v>29560</v>
      </c>
      <c r="E958" s="4">
        <v>45319</v>
      </c>
      <c r="F958" s="9">
        <v>45321</v>
      </c>
      <c r="G958" t="s">
        <v>88</v>
      </c>
      <c r="H958" t="s">
        <v>66</v>
      </c>
      <c r="I958" t="s">
        <v>41</v>
      </c>
      <c r="J958" s="7">
        <v>1644592</v>
      </c>
      <c r="K958" t="s">
        <v>48</v>
      </c>
      <c r="L958" t="s">
        <v>23</v>
      </c>
      <c r="M958" t="s">
        <v>35</v>
      </c>
      <c r="N958" s="6">
        <v>2</v>
      </c>
      <c r="O958" t="s">
        <v>36</v>
      </c>
      <c r="P958">
        <f t="shared" si="14"/>
        <v>44</v>
      </c>
    </row>
    <row r="959" spans="1:16" x14ac:dyDescent="0.2">
      <c r="A959" t="s">
        <v>1394</v>
      </c>
      <c r="B959" t="s">
        <v>105</v>
      </c>
      <c r="C959" t="s">
        <v>28</v>
      </c>
      <c r="D959" s="4">
        <v>28676</v>
      </c>
      <c r="E959" s="4">
        <v>45411</v>
      </c>
      <c r="F959" s="9">
        <v>45417</v>
      </c>
      <c r="G959" t="s">
        <v>74</v>
      </c>
      <c r="H959" t="s">
        <v>2528</v>
      </c>
      <c r="I959" t="s">
        <v>67</v>
      </c>
      <c r="J959" s="7">
        <v>3832352</v>
      </c>
      <c r="K959" t="s">
        <v>43</v>
      </c>
      <c r="L959" t="s">
        <v>2527</v>
      </c>
      <c r="M959" t="s">
        <v>78</v>
      </c>
      <c r="N959" s="6">
        <v>6</v>
      </c>
      <c r="O959" t="s">
        <v>25</v>
      </c>
      <c r="P959">
        <f t="shared" si="14"/>
        <v>46</v>
      </c>
    </row>
    <row r="960" spans="1:16" x14ac:dyDescent="0.2">
      <c r="A960" t="s">
        <v>2361</v>
      </c>
      <c r="B960" t="s">
        <v>140</v>
      </c>
      <c r="C960" t="s">
        <v>39</v>
      </c>
      <c r="D960" s="4">
        <v>37230</v>
      </c>
      <c r="E960" s="4">
        <v>45304</v>
      </c>
      <c r="F960" s="9">
        <v>45309</v>
      </c>
      <c r="G960" t="s">
        <v>74</v>
      </c>
      <c r="H960" t="s">
        <v>2528</v>
      </c>
      <c r="I960" t="s">
        <v>2533</v>
      </c>
      <c r="J960" s="7">
        <v>2576276</v>
      </c>
      <c r="K960" t="s">
        <v>48</v>
      </c>
      <c r="L960" t="s">
        <v>2527</v>
      </c>
      <c r="M960" t="s">
        <v>35</v>
      </c>
      <c r="N960" s="6">
        <v>5</v>
      </c>
      <c r="O960" t="s">
        <v>25</v>
      </c>
      <c r="P960">
        <f t="shared" si="14"/>
        <v>23</v>
      </c>
    </row>
    <row r="961" spans="1:16" x14ac:dyDescent="0.2">
      <c r="A961" t="s">
        <v>2362</v>
      </c>
      <c r="B961" t="s">
        <v>56</v>
      </c>
      <c r="C961" t="s">
        <v>92</v>
      </c>
      <c r="D961" s="4">
        <v>21812</v>
      </c>
      <c r="E961" s="4">
        <v>45410</v>
      </c>
      <c r="F961" s="9">
        <v>45413</v>
      </c>
      <c r="G961" t="s">
        <v>74</v>
      </c>
      <c r="H961" t="s">
        <v>2528</v>
      </c>
      <c r="I961" t="s">
        <v>41</v>
      </c>
      <c r="J961" s="7">
        <v>1621960</v>
      </c>
      <c r="K961" t="s">
        <v>71</v>
      </c>
      <c r="L961" t="s">
        <v>23</v>
      </c>
      <c r="M961" t="s">
        <v>35</v>
      </c>
      <c r="N961" s="6">
        <v>3</v>
      </c>
      <c r="O961" t="s">
        <v>2531</v>
      </c>
      <c r="P961">
        <f t="shared" si="14"/>
        <v>65</v>
      </c>
    </row>
    <row r="962" spans="1:16" x14ac:dyDescent="0.2">
      <c r="A962" t="s">
        <v>2363</v>
      </c>
      <c r="B962" t="s">
        <v>140</v>
      </c>
      <c r="C962" t="s">
        <v>92</v>
      </c>
      <c r="D962" s="4">
        <v>36159</v>
      </c>
      <c r="E962" s="4">
        <v>45417</v>
      </c>
      <c r="F962" s="9">
        <v>45424</v>
      </c>
      <c r="G962" t="s">
        <v>40</v>
      </c>
      <c r="H962" t="s">
        <v>75</v>
      </c>
      <c r="I962" t="s">
        <v>67</v>
      </c>
      <c r="J962" s="7">
        <v>4356660</v>
      </c>
      <c r="K962" t="s">
        <v>43</v>
      </c>
      <c r="L962" t="s">
        <v>2527</v>
      </c>
      <c r="M962" t="s">
        <v>78</v>
      </c>
      <c r="N962" s="6">
        <v>7</v>
      </c>
      <c r="O962" t="s">
        <v>25</v>
      </c>
      <c r="P962">
        <f t="shared" si="14"/>
        <v>26</v>
      </c>
    </row>
    <row r="963" spans="1:16" x14ac:dyDescent="0.2">
      <c r="A963" t="s">
        <v>2364</v>
      </c>
      <c r="B963" t="s">
        <v>114</v>
      </c>
      <c r="C963" t="s">
        <v>28</v>
      </c>
      <c r="D963" s="4">
        <v>19014</v>
      </c>
      <c r="E963" s="4">
        <v>45471</v>
      </c>
      <c r="F963" s="9">
        <v>45486</v>
      </c>
      <c r="G963" t="s">
        <v>100</v>
      </c>
      <c r="H963" t="s">
        <v>61</v>
      </c>
      <c r="I963" t="s">
        <v>2534</v>
      </c>
      <c r="J963" s="7">
        <v>848700</v>
      </c>
      <c r="K963" t="s">
        <v>71</v>
      </c>
      <c r="L963" t="s">
        <v>23</v>
      </c>
      <c r="M963" t="s">
        <v>78</v>
      </c>
      <c r="N963" s="6">
        <v>15</v>
      </c>
      <c r="O963" t="s">
        <v>25</v>
      </c>
      <c r="P963">
        <f t="shared" ref="P963:P1026" si="15">YEAR(E963)-YEAR(D963)</f>
        <v>72</v>
      </c>
    </row>
    <row r="964" spans="1:16" x14ac:dyDescent="0.2">
      <c r="A964" t="s">
        <v>1400</v>
      </c>
      <c r="B964" t="s">
        <v>102</v>
      </c>
      <c r="C964" t="s">
        <v>39</v>
      </c>
      <c r="D964" s="4">
        <v>18337</v>
      </c>
      <c r="E964" s="4">
        <v>45430</v>
      </c>
      <c r="F964" s="9" t="s">
        <v>2536</v>
      </c>
      <c r="G964" t="s">
        <v>46</v>
      </c>
      <c r="H964" t="s">
        <v>30</v>
      </c>
      <c r="I964" t="s">
        <v>67</v>
      </c>
      <c r="J964" s="7">
        <v>4858000</v>
      </c>
      <c r="K964" t="s">
        <v>48</v>
      </c>
      <c r="L964" t="s">
        <v>23</v>
      </c>
      <c r="M964" t="s">
        <v>35</v>
      </c>
      <c r="N964" s="6" t="s">
        <v>2525</v>
      </c>
      <c r="O964" t="s">
        <v>2531</v>
      </c>
      <c r="P964">
        <f t="shared" si="15"/>
        <v>74</v>
      </c>
    </row>
    <row r="965" spans="1:16" x14ac:dyDescent="0.2">
      <c r="A965" t="s">
        <v>2365</v>
      </c>
      <c r="B965" t="s">
        <v>64</v>
      </c>
      <c r="C965" t="s">
        <v>39</v>
      </c>
      <c r="D965" s="4">
        <v>29242</v>
      </c>
      <c r="E965" s="4">
        <v>45318</v>
      </c>
      <c r="F965" s="9">
        <v>45321</v>
      </c>
      <c r="G965" t="s">
        <v>40</v>
      </c>
      <c r="H965" t="s">
        <v>75</v>
      </c>
      <c r="I965" t="s">
        <v>41</v>
      </c>
      <c r="J965" s="7">
        <v>1720032</v>
      </c>
      <c r="K965" t="s">
        <v>43</v>
      </c>
      <c r="L965" t="s">
        <v>23</v>
      </c>
      <c r="M965" t="s">
        <v>78</v>
      </c>
      <c r="N965" s="6">
        <v>3</v>
      </c>
      <c r="O965" t="s">
        <v>2531</v>
      </c>
      <c r="P965">
        <f t="shared" si="15"/>
        <v>44</v>
      </c>
    </row>
    <row r="966" spans="1:16" x14ac:dyDescent="0.2">
      <c r="A966" t="s">
        <v>1403</v>
      </c>
      <c r="B966" t="s">
        <v>27</v>
      </c>
      <c r="C966" t="s">
        <v>92</v>
      </c>
      <c r="D966" s="4">
        <v>35770</v>
      </c>
      <c r="E966" s="4">
        <v>45352</v>
      </c>
      <c r="F966" s="9">
        <v>45361</v>
      </c>
      <c r="G966" t="s">
        <v>40</v>
      </c>
      <c r="H966" t="s">
        <v>75</v>
      </c>
      <c r="I966" t="s">
        <v>67</v>
      </c>
      <c r="J966" s="7">
        <v>1599328</v>
      </c>
      <c r="K966" t="s">
        <v>48</v>
      </c>
      <c r="L966" t="s">
        <v>2527</v>
      </c>
      <c r="M966" t="s">
        <v>35</v>
      </c>
      <c r="N966" s="6">
        <v>9</v>
      </c>
      <c r="O966" t="s">
        <v>2531</v>
      </c>
      <c r="P966">
        <f t="shared" si="15"/>
        <v>27</v>
      </c>
    </row>
    <row r="967" spans="1:16" x14ac:dyDescent="0.2">
      <c r="A967" t="s">
        <v>1405</v>
      </c>
      <c r="B967" t="s">
        <v>27</v>
      </c>
      <c r="C967" t="s">
        <v>28</v>
      </c>
      <c r="D967" s="4">
        <v>37866</v>
      </c>
      <c r="E967" s="4">
        <v>45421</v>
      </c>
      <c r="F967" s="9">
        <v>45426</v>
      </c>
      <c r="G967" t="s">
        <v>18</v>
      </c>
      <c r="H967" t="s">
        <v>2529</v>
      </c>
      <c r="I967" t="s">
        <v>2535</v>
      </c>
      <c r="J967" s="7">
        <v>5239308</v>
      </c>
      <c r="K967" t="s">
        <v>48</v>
      </c>
      <c r="L967" t="s">
        <v>2527</v>
      </c>
      <c r="M967" t="s">
        <v>78</v>
      </c>
      <c r="N967" s="6">
        <v>5</v>
      </c>
      <c r="O967" t="s">
        <v>2531</v>
      </c>
      <c r="P967">
        <f t="shared" si="15"/>
        <v>21</v>
      </c>
    </row>
    <row r="968" spans="1:16" x14ac:dyDescent="0.2">
      <c r="A968" t="s">
        <v>2366</v>
      </c>
      <c r="B968" t="s">
        <v>80</v>
      </c>
      <c r="C968" t="s">
        <v>28</v>
      </c>
      <c r="D968" s="4">
        <v>39721</v>
      </c>
      <c r="E968" s="4">
        <v>45315</v>
      </c>
      <c r="F968" s="9">
        <v>45319</v>
      </c>
      <c r="G968" t="s">
        <v>100</v>
      </c>
      <c r="H968" t="s">
        <v>61</v>
      </c>
      <c r="I968" t="s">
        <v>2533</v>
      </c>
      <c r="J968" s="7">
        <v>1889772</v>
      </c>
      <c r="K968" t="s">
        <v>48</v>
      </c>
      <c r="L968" t="s">
        <v>2527</v>
      </c>
      <c r="M968" t="s">
        <v>78</v>
      </c>
      <c r="N968" s="6">
        <v>4</v>
      </c>
      <c r="O968" t="s">
        <v>2531</v>
      </c>
      <c r="P968">
        <f t="shared" si="15"/>
        <v>16</v>
      </c>
    </row>
    <row r="969" spans="1:16" x14ac:dyDescent="0.2">
      <c r="A969" t="s">
        <v>1408</v>
      </c>
      <c r="B969" t="s">
        <v>114</v>
      </c>
      <c r="C969" t="s">
        <v>28</v>
      </c>
      <c r="D969" s="4">
        <v>38266</v>
      </c>
      <c r="E969" s="4">
        <v>45390</v>
      </c>
      <c r="F969" s="9">
        <v>45400</v>
      </c>
      <c r="G969" t="s">
        <v>40</v>
      </c>
      <c r="H969" t="s">
        <v>75</v>
      </c>
      <c r="I969" t="s">
        <v>2534</v>
      </c>
      <c r="J969" s="7">
        <v>1565380</v>
      </c>
      <c r="K969" t="s">
        <v>48</v>
      </c>
      <c r="L969" t="s">
        <v>23</v>
      </c>
      <c r="M969" t="s">
        <v>78</v>
      </c>
      <c r="N969" s="6">
        <v>10</v>
      </c>
      <c r="O969" t="s">
        <v>2531</v>
      </c>
      <c r="P969">
        <f t="shared" si="15"/>
        <v>20</v>
      </c>
    </row>
    <row r="970" spans="1:16" x14ac:dyDescent="0.2">
      <c r="A970" t="s">
        <v>2367</v>
      </c>
      <c r="B970" t="s">
        <v>59</v>
      </c>
      <c r="C970" t="s">
        <v>28</v>
      </c>
      <c r="D970" s="4">
        <v>35447</v>
      </c>
      <c r="E970" s="4">
        <v>45394</v>
      </c>
      <c r="F970" s="9">
        <v>45407</v>
      </c>
      <c r="G970" t="s">
        <v>83</v>
      </c>
      <c r="H970" t="s">
        <v>66</v>
      </c>
      <c r="I970" t="s">
        <v>2534</v>
      </c>
      <c r="J970" s="7">
        <v>2455572</v>
      </c>
      <c r="K970" t="s">
        <v>48</v>
      </c>
      <c r="L970" t="s">
        <v>2527</v>
      </c>
      <c r="M970" t="s">
        <v>78</v>
      </c>
      <c r="N970" s="6">
        <v>13</v>
      </c>
      <c r="O970" t="s">
        <v>2531</v>
      </c>
      <c r="P970">
        <f t="shared" si="15"/>
        <v>27</v>
      </c>
    </row>
    <row r="971" spans="1:16" x14ac:dyDescent="0.2">
      <c r="A971" t="s">
        <v>2368</v>
      </c>
      <c r="B971" t="s">
        <v>119</v>
      </c>
      <c r="C971" t="s">
        <v>92</v>
      </c>
      <c r="D971" s="4">
        <v>19267</v>
      </c>
      <c r="E971" s="4">
        <v>45334</v>
      </c>
      <c r="F971" s="9">
        <v>45337</v>
      </c>
      <c r="G971" t="s">
        <v>83</v>
      </c>
      <c r="H971" t="s">
        <v>66</v>
      </c>
      <c r="I971" t="s">
        <v>2533</v>
      </c>
      <c r="J971" s="7">
        <v>1784156</v>
      </c>
      <c r="K971" t="s">
        <v>71</v>
      </c>
      <c r="L971" t="s">
        <v>2527</v>
      </c>
      <c r="M971" t="s">
        <v>35</v>
      </c>
      <c r="N971" s="6">
        <v>3</v>
      </c>
      <c r="O971" t="s">
        <v>2531</v>
      </c>
      <c r="P971">
        <f t="shared" si="15"/>
        <v>72</v>
      </c>
    </row>
    <row r="972" spans="1:16" x14ac:dyDescent="0.2">
      <c r="A972" t="s">
        <v>2369</v>
      </c>
      <c r="B972" t="s">
        <v>140</v>
      </c>
      <c r="C972" t="s">
        <v>28</v>
      </c>
      <c r="D972" s="4">
        <v>26345</v>
      </c>
      <c r="E972" s="4">
        <v>45466</v>
      </c>
      <c r="F972" s="9">
        <v>45480</v>
      </c>
      <c r="G972" t="s">
        <v>50</v>
      </c>
      <c r="H972" t="s">
        <v>2528</v>
      </c>
      <c r="I972" t="s">
        <v>2535</v>
      </c>
      <c r="J972" s="7">
        <v>1088500</v>
      </c>
      <c r="K972" t="s">
        <v>71</v>
      </c>
      <c r="L972" t="s">
        <v>23</v>
      </c>
      <c r="M972" t="s">
        <v>78</v>
      </c>
      <c r="N972" s="6">
        <v>14</v>
      </c>
      <c r="O972" t="s">
        <v>2531</v>
      </c>
      <c r="P972">
        <f t="shared" si="15"/>
        <v>52</v>
      </c>
    </row>
    <row r="973" spans="1:16" x14ac:dyDescent="0.2">
      <c r="A973" t="s">
        <v>2370</v>
      </c>
      <c r="B973" t="s">
        <v>140</v>
      </c>
      <c r="C973" t="s">
        <v>92</v>
      </c>
      <c r="D973" s="4">
        <v>29335</v>
      </c>
      <c r="E973" s="4">
        <v>45337</v>
      </c>
      <c r="F973" s="9">
        <v>45347</v>
      </c>
      <c r="G973" t="s">
        <v>29</v>
      </c>
      <c r="H973" t="s">
        <v>19</v>
      </c>
      <c r="I973" t="s">
        <v>67</v>
      </c>
      <c r="J973" s="7">
        <v>1942500</v>
      </c>
      <c r="K973" t="s">
        <v>43</v>
      </c>
      <c r="L973" t="s">
        <v>2527</v>
      </c>
      <c r="M973" t="s">
        <v>35</v>
      </c>
      <c r="N973" s="6">
        <v>10</v>
      </c>
      <c r="O973" t="s">
        <v>2531</v>
      </c>
      <c r="P973">
        <f t="shared" si="15"/>
        <v>44</v>
      </c>
    </row>
    <row r="974" spans="1:16" x14ac:dyDescent="0.2">
      <c r="A974" t="s">
        <v>1414</v>
      </c>
      <c r="B974" t="s">
        <v>27</v>
      </c>
      <c r="C974" t="s">
        <v>28</v>
      </c>
      <c r="D974" s="4">
        <v>31083</v>
      </c>
      <c r="E974" s="4">
        <v>45385</v>
      </c>
      <c r="F974" s="9">
        <v>45393</v>
      </c>
      <c r="G974" t="s">
        <v>29</v>
      </c>
      <c r="H974" t="s">
        <v>19</v>
      </c>
      <c r="I974" t="s">
        <v>2535</v>
      </c>
      <c r="J974" s="7">
        <v>2881808</v>
      </c>
      <c r="K974" t="s">
        <v>43</v>
      </c>
      <c r="L974" t="s">
        <v>2527</v>
      </c>
      <c r="M974" t="s">
        <v>78</v>
      </c>
      <c r="N974" s="6">
        <v>8</v>
      </c>
      <c r="O974" t="s">
        <v>36</v>
      </c>
      <c r="P974">
        <f t="shared" si="15"/>
        <v>39</v>
      </c>
    </row>
    <row r="975" spans="1:16" x14ac:dyDescent="0.2">
      <c r="A975" t="s">
        <v>1416</v>
      </c>
      <c r="B975" t="s">
        <v>64</v>
      </c>
      <c r="C975" t="s">
        <v>28</v>
      </c>
      <c r="D975" s="4">
        <v>28311</v>
      </c>
      <c r="E975" s="4">
        <v>45464</v>
      </c>
      <c r="F975" s="9">
        <v>45466</v>
      </c>
      <c r="G975" t="s">
        <v>18</v>
      </c>
      <c r="H975" t="s">
        <v>2529</v>
      </c>
      <c r="I975" t="s">
        <v>67</v>
      </c>
      <c r="J975" s="7">
        <v>739312</v>
      </c>
      <c r="K975" t="s">
        <v>43</v>
      </c>
      <c r="L975" t="s">
        <v>2527</v>
      </c>
      <c r="M975" t="s">
        <v>24</v>
      </c>
      <c r="N975" s="6">
        <v>2</v>
      </c>
      <c r="O975" t="s">
        <v>25</v>
      </c>
      <c r="P975">
        <f t="shared" si="15"/>
        <v>47</v>
      </c>
    </row>
    <row r="976" spans="1:16" x14ac:dyDescent="0.2">
      <c r="A976" t="s">
        <v>1418</v>
      </c>
      <c r="B976" t="s">
        <v>102</v>
      </c>
      <c r="C976" t="s">
        <v>28</v>
      </c>
      <c r="D976" s="4">
        <v>31191</v>
      </c>
      <c r="E976" s="4">
        <v>45314</v>
      </c>
      <c r="F976" s="9">
        <v>45316</v>
      </c>
      <c r="G976" t="s">
        <v>83</v>
      </c>
      <c r="H976" t="s">
        <v>66</v>
      </c>
      <c r="I976" t="s">
        <v>67</v>
      </c>
      <c r="J976" s="7">
        <v>2048196</v>
      </c>
      <c r="K976" t="s">
        <v>48</v>
      </c>
      <c r="L976" t="s">
        <v>23</v>
      </c>
      <c r="M976" t="s">
        <v>78</v>
      </c>
      <c r="N976" s="6">
        <v>2</v>
      </c>
      <c r="O976" t="s">
        <v>2531</v>
      </c>
      <c r="P976">
        <f t="shared" si="15"/>
        <v>39</v>
      </c>
    </row>
    <row r="977" spans="1:16" x14ac:dyDescent="0.2">
      <c r="A977" t="s">
        <v>1420</v>
      </c>
      <c r="B977" t="s">
        <v>91</v>
      </c>
      <c r="C977" t="s">
        <v>39</v>
      </c>
      <c r="D977" s="4">
        <v>32231</v>
      </c>
      <c r="E977" s="4">
        <v>45373</v>
      </c>
      <c r="F977" s="9" t="s">
        <v>2536</v>
      </c>
      <c r="G977" t="s">
        <v>18</v>
      </c>
      <c r="H977" t="s">
        <v>2529</v>
      </c>
      <c r="I977" t="s">
        <v>41</v>
      </c>
      <c r="J977" s="7">
        <v>1531432</v>
      </c>
      <c r="K977" t="s">
        <v>48</v>
      </c>
      <c r="L977" t="s">
        <v>34</v>
      </c>
      <c r="M977" t="s">
        <v>35</v>
      </c>
      <c r="N977" s="6" t="s">
        <v>2525</v>
      </c>
      <c r="O977" t="s">
        <v>36</v>
      </c>
      <c r="P977">
        <f t="shared" si="15"/>
        <v>36</v>
      </c>
    </row>
    <row r="978" spans="1:16" x14ac:dyDescent="0.2">
      <c r="A978" t="s">
        <v>2371</v>
      </c>
      <c r="B978" t="s">
        <v>85</v>
      </c>
      <c r="C978" t="s">
        <v>92</v>
      </c>
      <c r="D978" s="4">
        <v>22262</v>
      </c>
      <c r="E978" s="4">
        <v>45435</v>
      </c>
      <c r="F978" s="9">
        <v>45449</v>
      </c>
      <c r="G978" t="s">
        <v>100</v>
      </c>
      <c r="H978" t="s">
        <v>61</v>
      </c>
      <c r="I978" t="s">
        <v>2533</v>
      </c>
      <c r="J978" s="7">
        <v>3164708</v>
      </c>
      <c r="K978" t="s">
        <v>48</v>
      </c>
      <c r="L978" t="s">
        <v>2527</v>
      </c>
      <c r="M978" t="s">
        <v>78</v>
      </c>
      <c r="N978" s="6">
        <v>14</v>
      </c>
      <c r="O978" t="s">
        <v>25</v>
      </c>
      <c r="P978">
        <f t="shared" si="15"/>
        <v>64</v>
      </c>
    </row>
    <row r="979" spans="1:16" x14ac:dyDescent="0.2">
      <c r="A979" t="s">
        <v>2372</v>
      </c>
      <c r="B979" t="s">
        <v>27</v>
      </c>
      <c r="C979" t="s">
        <v>39</v>
      </c>
      <c r="D979" s="4">
        <v>32293</v>
      </c>
      <c r="E979" s="4">
        <v>45306</v>
      </c>
      <c r="F979" s="9">
        <v>45316</v>
      </c>
      <c r="G979" t="s">
        <v>100</v>
      </c>
      <c r="H979" t="s">
        <v>61</v>
      </c>
      <c r="I979" t="s">
        <v>2533</v>
      </c>
      <c r="J979" s="7">
        <v>2352000</v>
      </c>
      <c r="K979" t="s">
        <v>48</v>
      </c>
      <c r="L979" t="s">
        <v>23</v>
      </c>
      <c r="M979" t="s">
        <v>78</v>
      </c>
      <c r="N979" s="6">
        <v>10</v>
      </c>
      <c r="O979" t="s">
        <v>36</v>
      </c>
      <c r="P979">
        <f t="shared" si="15"/>
        <v>36</v>
      </c>
    </row>
    <row r="980" spans="1:16" x14ac:dyDescent="0.2">
      <c r="A980" t="s">
        <v>2373</v>
      </c>
      <c r="B980" t="s">
        <v>38</v>
      </c>
      <c r="C980" t="s">
        <v>92</v>
      </c>
      <c r="D980" s="4">
        <v>38979</v>
      </c>
      <c r="E980" s="4">
        <v>45442</v>
      </c>
      <c r="F980" s="9">
        <v>45455</v>
      </c>
      <c r="G980" t="s">
        <v>18</v>
      </c>
      <c r="H980" t="s">
        <v>2529</v>
      </c>
      <c r="I980" t="s">
        <v>67</v>
      </c>
      <c r="J980" s="7">
        <v>4254816</v>
      </c>
      <c r="K980" t="s">
        <v>48</v>
      </c>
      <c r="L980" t="s">
        <v>34</v>
      </c>
      <c r="M980" t="s">
        <v>35</v>
      </c>
      <c r="N980" s="6">
        <v>13</v>
      </c>
      <c r="O980" t="s">
        <v>36</v>
      </c>
      <c r="P980">
        <f t="shared" si="15"/>
        <v>18</v>
      </c>
    </row>
    <row r="981" spans="1:16" x14ac:dyDescent="0.2">
      <c r="A981" t="s">
        <v>1426</v>
      </c>
      <c r="B981" t="s">
        <v>87</v>
      </c>
      <c r="C981" t="s">
        <v>39</v>
      </c>
      <c r="D981" s="4">
        <v>18469</v>
      </c>
      <c r="E981" s="4">
        <v>45302</v>
      </c>
      <c r="F981" s="9">
        <v>45308</v>
      </c>
      <c r="G981" t="s">
        <v>18</v>
      </c>
      <c r="H981" t="s">
        <v>2529</v>
      </c>
      <c r="I981" t="s">
        <v>67</v>
      </c>
      <c r="J981" s="7">
        <v>935456</v>
      </c>
      <c r="K981" t="s">
        <v>48</v>
      </c>
      <c r="L981" t="s">
        <v>34</v>
      </c>
      <c r="M981" t="s">
        <v>78</v>
      </c>
      <c r="N981" s="6">
        <v>6</v>
      </c>
      <c r="O981" t="s">
        <v>25</v>
      </c>
      <c r="P981">
        <f t="shared" si="15"/>
        <v>74</v>
      </c>
    </row>
    <row r="982" spans="1:16" x14ac:dyDescent="0.2">
      <c r="A982" t="s">
        <v>1428</v>
      </c>
      <c r="B982" t="s">
        <v>59</v>
      </c>
      <c r="C982" t="s">
        <v>92</v>
      </c>
      <c r="D982" s="4">
        <v>34009</v>
      </c>
      <c r="E982" s="4">
        <v>45425</v>
      </c>
      <c r="F982" s="9">
        <v>45432</v>
      </c>
      <c r="G982" t="s">
        <v>72</v>
      </c>
      <c r="H982" t="s">
        <v>2529</v>
      </c>
      <c r="I982" t="s">
        <v>2533</v>
      </c>
      <c r="J982" s="7">
        <v>2523500</v>
      </c>
      <c r="K982" t="s">
        <v>43</v>
      </c>
      <c r="L982" t="s">
        <v>2527</v>
      </c>
      <c r="M982" t="s">
        <v>78</v>
      </c>
      <c r="N982" s="6">
        <v>7</v>
      </c>
      <c r="O982" t="s">
        <v>36</v>
      </c>
      <c r="P982">
        <f t="shared" si="15"/>
        <v>31</v>
      </c>
    </row>
    <row r="983" spans="1:16" x14ac:dyDescent="0.2">
      <c r="A983" t="s">
        <v>1430</v>
      </c>
      <c r="B983" t="s">
        <v>56</v>
      </c>
      <c r="C983" t="s">
        <v>39</v>
      </c>
      <c r="D983" s="4">
        <v>25541</v>
      </c>
      <c r="E983" s="4">
        <v>45406</v>
      </c>
      <c r="F983" s="9">
        <v>45411</v>
      </c>
      <c r="G983" t="s">
        <v>46</v>
      </c>
      <c r="H983" t="s">
        <v>30</v>
      </c>
      <c r="I983" t="s">
        <v>67</v>
      </c>
      <c r="J983" s="7">
        <v>1277500</v>
      </c>
      <c r="K983" t="s">
        <v>43</v>
      </c>
      <c r="L983" t="s">
        <v>23</v>
      </c>
      <c r="M983" t="s">
        <v>78</v>
      </c>
      <c r="N983" s="6">
        <v>5</v>
      </c>
      <c r="O983" t="s">
        <v>25</v>
      </c>
      <c r="P983">
        <f t="shared" si="15"/>
        <v>55</v>
      </c>
    </row>
    <row r="984" spans="1:16" x14ac:dyDescent="0.2">
      <c r="A984" t="s">
        <v>2374</v>
      </c>
      <c r="B984" t="s">
        <v>51</v>
      </c>
      <c r="C984" t="s">
        <v>39</v>
      </c>
      <c r="D984" s="4">
        <v>23928</v>
      </c>
      <c r="E984" s="4">
        <v>45326</v>
      </c>
      <c r="F984" s="9">
        <v>45329</v>
      </c>
      <c r="G984" t="s">
        <v>18</v>
      </c>
      <c r="H984" t="s">
        <v>2529</v>
      </c>
      <c r="I984" t="s">
        <v>41</v>
      </c>
      <c r="J984" s="7">
        <v>5360012</v>
      </c>
      <c r="K984" t="s">
        <v>48</v>
      </c>
      <c r="L984" t="s">
        <v>34</v>
      </c>
      <c r="M984" t="s">
        <v>35</v>
      </c>
      <c r="N984" s="6">
        <v>3</v>
      </c>
      <c r="O984" t="s">
        <v>25</v>
      </c>
      <c r="P984">
        <f t="shared" si="15"/>
        <v>59</v>
      </c>
    </row>
    <row r="985" spans="1:16" x14ac:dyDescent="0.2">
      <c r="A985" t="s">
        <v>2375</v>
      </c>
      <c r="B985" t="s">
        <v>91</v>
      </c>
      <c r="C985" t="s">
        <v>28</v>
      </c>
      <c r="D985" s="4">
        <v>26862</v>
      </c>
      <c r="E985" s="4">
        <v>45332</v>
      </c>
      <c r="F985" s="9">
        <v>45340</v>
      </c>
      <c r="G985" t="s">
        <v>88</v>
      </c>
      <c r="H985" t="s">
        <v>66</v>
      </c>
      <c r="I985" t="s">
        <v>67</v>
      </c>
      <c r="J985" s="7">
        <v>4017180</v>
      </c>
      <c r="K985" t="s">
        <v>43</v>
      </c>
      <c r="L985" t="s">
        <v>34</v>
      </c>
      <c r="M985" t="s">
        <v>24</v>
      </c>
      <c r="N985" s="6">
        <v>8</v>
      </c>
      <c r="O985" t="s">
        <v>25</v>
      </c>
      <c r="P985">
        <f t="shared" si="15"/>
        <v>51</v>
      </c>
    </row>
    <row r="986" spans="1:16" x14ac:dyDescent="0.2">
      <c r="A986" t="s">
        <v>2376</v>
      </c>
      <c r="B986" t="s">
        <v>56</v>
      </c>
      <c r="C986" t="s">
        <v>28</v>
      </c>
      <c r="D986" s="4">
        <v>28777</v>
      </c>
      <c r="E986" s="4">
        <v>45384</v>
      </c>
      <c r="F986" s="9">
        <v>45391</v>
      </c>
      <c r="G986" t="s">
        <v>18</v>
      </c>
      <c r="H986" t="s">
        <v>2529</v>
      </c>
      <c r="I986" t="s">
        <v>2533</v>
      </c>
      <c r="J986" s="7">
        <v>1474852</v>
      </c>
      <c r="K986" t="s">
        <v>43</v>
      </c>
      <c r="L986" t="s">
        <v>2527</v>
      </c>
      <c r="M986" t="s">
        <v>78</v>
      </c>
      <c r="N986" s="6">
        <v>7</v>
      </c>
      <c r="O986" t="s">
        <v>25</v>
      </c>
      <c r="P986">
        <f t="shared" si="15"/>
        <v>46</v>
      </c>
    </row>
    <row r="987" spans="1:16" x14ac:dyDescent="0.2">
      <c r="A987" t="s">
        <v>2377</v>
      </c>
      <c r="B987" t="s">
        <v>16</v>
      </c>
      <c r="C987" t="s">
        <v>28</v>
      </c>
      <c r="D987" s="4">
        <v>20003</v>
      </c>
      <c r="E987" s="4">
        <v>45404</v>
      </c>
      <c r="F987" s="9">
        <v>45407</v>
      </c>
      <c r="G987" t="s">
        <v>100</v>
      </c>
      <c r="H987" t="s">
        <v>61</v>
      </c>
      <c r="I987" t="s">
        <v>67</v>
      </c>
      <c r="J987" s="7">
        <v>1908632</v>
      </c>
      <c r="K987" t="s">
        <v>48</v>
      </c>
      <c r="L987" t="s">
        <v>23</v>
      </c>
      <c r="M987" t="s">
        <v>35</v>
      </c>
      <c r="N987" s="6">
        <v>3</v>
      </c>
      <c r="O987" t="s">
        <v>25</v>
      </c>
      <c r="P987">
        <f t="shared" si="15"/>
        <v>70</v>
      </c>
    </row>
    <row r="988" spans="1:16" x14ac:dyDescent="0.2">
      <c r="A988" t="s">
        <v>2378</v>
      </c>
      <c r="B988" t="s">
        <v>119</v>
      </c>
      <c r="C988" t="s">
        <v>92</v>
      </c>
      <c r="D988" s="4">
        <v>25279</v>
      </c>
      <c r="E988" s="4">
        <v>45335</v>
      </c>
      <c r="F988" s="9">
        <v>45348</v>
      </c>
      <c r="G988" t="s">
        <v>72</v>
      </c>
      <c r="H988" t="s">
        <v>2529</v>
      </c>
      <c r="I988" t="s">
        <v>2535</v>
      </c>
      <c r="J988" s="7">
        <v>889000</v>
      </c>
      <c r="K988" t="s">
        <v>48</v>
      </c>
      <c r="L988" t="s">
        <v>23</v>
      </c>
      <c r="M988" t="s">
        <v>35</v>
      </c>
      <c r="N988" s="6">
        <v>13</v>
      </c>
      <c r="O988" t="s">
        <v>2531</v>
      </c>
      <c r="P988">
        <f t="shared" si="15"/>
        <v>55</v>
      </c>
    </row>
    <row r="989" spans="1:16" x14ac:dyDescent="0.2">
      <c r="A989" t="s">
        <v>2379</v>
      </c>
      <c r="B989" t="s">
        <v>91</v>
      </c>
      <c r="C989" t="s">
        <v>39</v>
      </c>
      <c r="D989" s="4">
        <v>37190</v>
      </c>
      <c r="E989" s="4">
        <v>45373</v>
      </c>
      <c r="F989" s="9">
        <v>45375</v>
      </c>
      <c r="G989" t="s">
        <v>72</v>
      </c>
      <c r="H989" t="s">
        <v>2529</v>
      </c>
      <c r="I989" t="s">
        <v>2534</v>
      </c>
      <c r="J989" s="7">
        <v>4183148</v>
      </c>
      <c r="K989" t="s">
        <v>48</v>
      </c>
      <c r="L989" t="s">
        <v>2527</v>
      </c>
      <c r="M989" t="s">
        <v>78</v>
      </c>
      <c r="N989" s="6">
        <v>2</v>
      </c>
      <c r="O989" t="s">
        <v>25</v>
      </c>
      <c r="P989">
        <f t="shared" si="15"/>
        <v>23</v>
      </c>
    </row>
    <row r="990" spans="1:16" x14ac:dyDescent="0.2">
      <c r="A990" t="s">
        <v>2380</v>
      </c>
      <c r="B990" t="s">
        <v>59</v>
      </c>
      <c r="C990" t="s">
        <v>92</v>
      </c>
      <c r="D990" s="4">
        <v>26583</v>
      </c>
      <c r="E990" s="4">
        <v>45448</v>
      </c>
      <c r="F990" s="9">
        <v>45456</v>
      </c>
      <c r="G990" t="s">
        <v>88</v>
      </c>
      <c r="H990" t="s">
        <v>66</v>
      </c>
      <c r="I990" t="s">
        <v>2535</v>
      </c>
      <c r="J990" s="7">
        <v>1723804</v>
      </c>
      <c r="K990" t="s">
        <v>48</v>
      </c>
      <c r="L990" t="s">
        <v>23</v>
      </c>
      <c r="M990" t="s">
        <v>35</v>
      </c>
      <c r="N990" s="6">
        <v>8</v>
      </c>
      <c r="O990" t="s">
        <v>2531</v>
      </c>
      <c r="P990">
        <f t="shared" si="15"/>
        <v>52</v>
      </c>
    </row>
    <row r="991" spans="1:16" x14ac:dyDescent="0.2">
      <c r="A991" t="s">
        <v>2381</v>
      </c>
      <c r="B991" t="s">
        <v>105</v>
      </c>
      <c r="C991" t="s">
        <v>28</v>
      </c>
      <c r="D991" s="4">
        <v>21950</v>
      </c>
      <c r="E991" s="4">
        <v>45417</v>
      </c>
      <c r="F991" s="9" t="s">
        <v>2536</v>
      </c>
      <c r="G991" t="s">
        <v>40</v>
      </c>
      <c r="H991" t="s">
        <v>75</v>
      </c>
      <c r="I991" t="s">
        <v>67</v>
      </c>
      <c r="J991" s="7">
        <v>1384324</v>
      </c>
      <c r="K991" t="s">
        <v>48</v>
      </c>
      <c r="L991" t="s">
        <v>34</v>
      </c>
      <c r="M991" t="s">
        <v>35</v>
      </c>
      <c r="N991" s="6" t="s">
        <v>2525</v>
      </c>
      <c r="O991" t="s">
        <v>2531</v>
      </c>
      <c r="P991">
        <f t="shared" si="15"/>
        <v>64</v>
      </c>
    </row>
    <row r="992" spans="1:16" x14ac:dyDescent="0.2">
      <c r="A992" t="s">
        <v>2382</v>
      </c>
      <c r="B992" t="s">
        <v>80</v>
      </c>
      <c r="C992" t="s">
        <v>92</v>
      </c>
      <c r="D992" s="4">
        <v>24438</v>
      </c>
      <c r="E992" s="4">
        <v>45301</v>
      </c>
      <c r="F992" s="9">
        <v>45310</v>
      </c>
      <c r="G992" t="s">
        <v>18</v>
      </c>
      <c r="H992" t="s">
        <v>2529</v>
      </c>
      <c r="I992" t="s">
        <v>2534</v>
      </c>
      <c r="J992" s="7">
        <v>3971916</v>
      </c>
      <c r="K992" t="s">
        <v>48</v>
      </c>
      <c r="L992" t="s">
        <v>23</v>
      </c>
      <c r="M992" t="s">
        <v>24</v>
      </c>
      <c r="N992" s="6">
        <v>9</v>
      </c>
      <c r="O992" t="s">
        <v>36</v>
      </c>
      <c r="P992">
        <f t="shared" si="15"/>
        <v>58</v>
      </c>
    </row>
    <row r="993" spans="1:16" x14ac:dyDescent="0.2">
      <c r="A993" t="s">
        <v>2383</v>
      </c>
      <c r="B993" t="s">
        <v>105</v>
      </c>
      <c r="C993" t="s">
        <v>92</v>
      </c>
      <c r="D993" s="4">
        <v>24314</v>
      </c>
      <c r="E993" s="4">
        <v>45455</v>
      </c>
      <c r="F993" s="9">
        <v>45468</v>
      </c>
      <c r="G993" t="s">
        <v>50</v>
      </c>
      <c r="H993" t="s">
        <v>2528</v>
      </c>
      <c r="I993" t="s">
        <v>2533</v>
      </c>
      <c r="J993" s="7">
        <v>2708296</v>
      </c>
      <c r="K993" t="s">
        <v>71</v>
      </c>
      <c r="L993" t="s">
        <v>34</v>
      </c>
      <c r="M993" t="s">
        <v>24</v>
      </c>
      <c r="N993" s="6">
        <v>13</v>
      </c>
      <c r="O993" t="s">
        <v>36</v>
      </c>
      <c r="P993">
        <f t="shared" si="15"/>
        <v>58</v>
      </c>
    </row>
    <row r="994" spans="1:16" x14ac:dyDescent="0.2">
      <c r="A994" t="s">
        <v>1444</v>
      </c>
      <c r="B994" t="s">
        <v>114</v>
      </c>
      <c r="C994" t="s">
        <v>92</v>
      </c>
      <c r="D994" s="4">
        <v>29630</v>
      </c>
      <c r="E994" s="4">
        <v>45345</v>
      </c>
      <c r="F994" s="9" t="s">
        <v>2536</v>
      </c>
      <c r="G994" t="s">
        <v>46</v>
      </c>
      <c r="H994" t="s">
        <v>30</v>
      </c>
      <c r="I994" t="s">
        <v>2535</v>
      </c>
      <c r="J994" s="7">
        <v>1547000</v>
      </c>
      <c r="K994" t="s">
        <v>48</v>
      </c>
      <c r="L994" t="s">
        <v>34</v>
      </c>
      <c r="M994" t="s">
        <v>78</v>
      </c>
      <c r="N994" s="6" t="s">
        <v>2525</v>
      </c>
      <c r="O994" t="s">
        <v>36</v>
      </c>
      <c r="P994">
        <f t="shared" si="15"/>
        <v>43</v>
      </c>
    </row>
    <row r="995" spans="1:16" x14ac:dyDescent="0.2">
      <c r="A995" t="s">
        <v>2384</v>
      </c>
      <c r="B995" t="s">
        <v>105</v>
      </c>
      <c r="C995" t="s">
        <v>28</v>
      </c>
      <c r="D995" s="4">
        <v>20121</v>
      </c>
      <c r="E995" s="4">
        <v>45293</v>
      </c>
      <c r="F995" s="9">
        <v>45295</v>
      </c>
      <c r="G995" t="s">
        <v>72</v>
      </c>
      <c r="H995" t="s">
        <v>2529</v>
      </c>
      <c r="I995" t="s">
        <v>2533</v>
      </c>
      <c r="J995" s="7">
        <v>1093880</v>
      </c>
      <c r="K995" t="s">
        <v>48</v>
      </c>
      <c r="L995" t="s">
        <v>2527</v>
      </c>
      <c r="M995" t="s">
        <v>35</v>
      </c>
      <c r="N995" s="6">
        <v>2</v>
      </c>
      <c r="O995" t="s">
        <v>25</v>
      </c>
      <c r="P995">
        <f t="shared" si="15"/>
        <v>69</v>
      </c>
    </row>
    <row r="996" spans="1:16" x14ac:dyDescent="0.2">
      <c r="A996" t="s">
        <v>1448</v>
      </c>
      <c r="B996" t="s">
        <v>51</v>
      </c>
      <c r="C996" t="s">
        <v>28</v>
      </c>
      <c r="D996" s="4">
        <v>22133</v>
      </c>
      <c r="E996" s="4">
        <v>45396</v>
      </c>
      <c r="F996" s="9">
        <v>45399</v>
      </c>
      <c r="G996" t="s">
        <v>74</v>
      </c>
      <c r="H996" t="s">
        <v>2528</v>
      </c>
      <c r="I996" t="s">
        <v>41</v>
      </c>
      <c r="J996" s="7">
        <v>5578788</v>
      </c>
      <c r="K996" t="s">
        <v>48</v>
      </c>
      <c r="L996" t="s">
        <v>34</v>
      </c>
      <c r="M996" t="s">
        <v>78</v>
      </c>
      <c r="N996" s="6">
        <v>3</v>
      </c>
      <c r="O996" t="s">
        <v>25</v>
      </c>
      <c r="P996">
        <f t="shared" si="15"/>
        <v>64</v>
      </c>
    </row>
    <row r="997" spans="1:16" x14ac:dyDescent="0.2">
      <c r="A997" t="s">
        <v>1450</v>
      </c>
      <c r="B997" t="s">
        <v>16</v>
      </c>
      <c r="C997" t="s">
        <v>92</v>
      </c>
      <c r="D997" s="4">
        <v>19309</v>
      </c>
      <c r="E997" s="4">
        <v>45326</v>
      </c>
      <c r="F997" s="9">
        <v>45341</v>
      </c>
      <c r="G997" t="s">
        <v>50</v>
      </c>
      <c r="H997" t="s">
        <v>2528</v>
      </c>
      <c r="I997" t="s">
        <v>2535</v>
      </c>
      <c r="J997" s="7">
        <v>2029336</v>
      </c>
      <c r="K997" t="s">
        <v>48</v>
      </c>
      <c r="L997" t="s">
        <v>23</v>
      </c>
      <c r="M997" t="s">
        <v>78</v>
      </c>
      <c r="N997" s="6">
        <v>15</v>
      </c>
      <c r="O997" t="s">
        <v>2531</v>
      </c>
      <c r="P997">
        <f t="shared" si="15"/>
        <v>72</v>
      </c>
    </row>
    <row r="998" spans="1:16" x14ac:dyDescent="0.2">
      <c r="A998" t="s">
        <v>1452</v>
      </c>
      <c r="B998" t="s">
        <v>140</v>
      </c>
      <c r="C998" t="s">
        <v>28</v>
      </c>
      <c r="D998" s="4">
        <v>39583</v>
      </c>
      <c r="E998" s="4">
        <v>45425</v>
      </c>
      <c r="F998" s="9" t="s">
        <v>2536</v>
      </c>
      <c r="G998" t="s">
        <v>60</v>
      </c>
      <c r="H998" t="s">
        <v>66</v>
      </c>
      <c r="I998" t="s">
        <v>67</v>
      </c>
      <c r="J998" s="7">
        <v>994000</v>
      </c>
      <c r="K998" t="s">
        <v>48</v>
      </c>
      <c r="L998" t="s">
        <v>2527</v>
      </c>
      <c r="M998" t="s">
        <v>24</v>
      </c>
      <c r="N998" s="6" t="s">
        <v>2525</v>
      </c>
      <c r="O998" t="s">
        <v>36</v>
      </c>
      <c r="P998">
        <f t="shared" si="15"/>
        <v>16</v>
      </c>
    </row>
    <row r="999" spans="1:16" x14ac:dyDescent="0.2">
      <c r="A999" t="s">
        <v>1453</v>
      </c>
      <c r="B999" t="s">
        <v>119</v>
      </c>
      <c r="C999" t="s">
        <v>28</v>
      </c>
      <c r="D999" s="4">
        <v>28967</v>
      </c>
      <c r="E999" s="4">
        <v>45330</v>
      </c>
      <c r="F999" s="9">
        <v>45331</v>
      </c>
      <c r="G999" t="s">
        <v>83</v>
      </c>
      <c r="H999" t="s">
        <v>66</v>
      </c>
      <c r="I999" t="s">
        <v>2534</v>
      </c>
      <c r="J999" s="7">
        <v>3315588</v>
      </c>
      <c r="K999" t="s">
        <v>48</v>
      </c>
      <c r="L999" t="s">
        <v>23</v>
      </c>
      <c r="M999" t="s">
        <v>24</v>
      </c>
      <c r="N999" s="6">
        <v>1</v>
      </c>
      <c r="O999" t="s">
        <v>36</v>
      </c>
      <c r="P999">
        <f t="shared" si="15"/>
        <v>45</v>
      </c>
    </row>
    <row r="1000" spans="1:16" x14ac:dyDescent="0.2">
      <c r="A1000" t="s">
        <v>1455</v>
      </c>
      <c r="B1000" t="s">
        <v>119</v>
      </c>
      <c r="C1000" t="s">
        <v>28</v>
      </c>
      <c r="D1000" s="4">
        <v>18823</v>
      </c>
      <c r="E1000" s="4">
        <v>45350</v>
      </c>
      <c r="F1000" s="9" t="s">
        <v>2536</v>
      </c>
      <c r="G1000" t="s">
        <v>60</v>
      </c>
      <c r="H1000" t="s">
        <v>66</v>
      </c>
      <c r="I1000" t="s">
        <v>2533</v>
      </c>
      <c r="J1000" s="7">
        <v>2922500</v>
      </c>
      <c r="K1000" t="s">
        <v>43</v>
      </c>
      <c r="L1000" t="s">
        <v>2527</v>
      </c>
      <c r="M1000" t="s">
        <v>78</v>
      </c>
      <c r="N1000" s="6" t="s">
        <v>2525</v>
      </c>
      <c r="O1000" t="s">
        <v>25</v>
      </c>
      <c r="P1000">
        <f t="shared" si="15"/>
        <v>73</v>
      </c>
    </row>
    <row r="1001" spans="1:16" x14ac:dyDescent="0.2">
      <c r="A1001" t="s">
        <v>1456</v>
      </c>
      <c r="B1001" t="s">
        <v>64</v>
      </c>
      <c r="C1001" t="s">
        <v>92</v>
      </c>
      <c r="D1001" s="4">
        <v>20719</v>
      </c>
      <c r="E1001" s="4">
        <v>45298</v>
      </c>
      <c r="F1001" s="9">
        <v>45313</v>
      </c>
      <c r="G1001" t="s">
        <v>29</v>
      </c>
      <c r="H1001" t="s">
        <v>19</v>
      </c>
      <c r="I1001" t="s">
        <v>2533</v>
      </c>
      <c r="J1001" s="7">
        <v>5118604</v>
      </c>
      <c r="K1001" t="s">
        <v>71</v>
      </c>
      <c r="L1001" t="s">
        <v>23</v>
      </c>
      <c r="M1001" t="s">
        <v>24</v>
      </c>
      <c r="N1001" s="6">
        <v>15</v>
      </c>
      <c r="O1001" t="s">
        <v>25</v>
      </c>
      <c r="P1001">
        <f t="shared" si="15"/>
        <v>68</v>
      </c>
    </row>
    <row r="1002" spans="1:16" x14ac:dyDescent="0.2">
      <c r="A1002" t="s">
        <v>2385</v>
      </c>
      <c r="B1002" t="s">
        <v>85</v>
      </c>
      <c r="C1002" t="s">
        <v>92</v>
      </c>
      <c r="D1002" s="4">
        <v>32783</v>
      </c>
      <c r="E1002" s="4">
        <v>45402</v>
      </c>
      <c r="F1002" s="9">
        <v>45403</v>
      </c>
      <c r="G1002" t="s">
        <v>50</v>
      </c>
      <c r="H1002" t="s">
        <v>2528</v>
      </c>
      <c r="I1002" t="s">
        <v>67</v>
      </c>
      <c r="J1002" s="7">
        <v>2549872</v>
      </c>
      <c r="K1002" t="s">
        <v>48</v>
      </c>
      <c r="L1002" t="s">
        <v>2527</v>
      </c>
      <c r="M1002" t="s">
        <v>78</v>
      </c>
      <c r="N1002" s="6">
        <v>1</v>
      </c>
      <c r="O1002" t="s">
        <v>2531</v>
      </c>
      <c r="P1002">
        <f t="shared" si="15"/>
        <v>35</v>
      </c>
    </row>
    <row r="1003" spans="1:16" x14ac:dyDescent="0.2">
      <c r="A1003" t="s">
        <v>2386</v>
      </c>
      <c r="B1003" t="s">
        <v>64</v>
      </c>
      <c r="C1003" t="s">
        <v>28</v>
      </c>
      <c r="D1003" s="4">
        <v>27617</v>
      </c>
      <c r="E1003" s="4">
        <v>45355</v>
      </c>
      <c r="F1003" s="9" t="s">
        <v>2536</v>
      </c>
      <c r="G1003" t="s">
        <v>18</v>
      </c>
      <c r="H1003" t="s">
        <v>2529</v>
      </c>
      <c r="I1003" t="s">
        <v>2533</v>
      </c>
      <c r="J1003" s="7">
        <v>4209552</v>
      </c>
      <c r="K1003" t="s">
        <v>48</v>
      </c>
      <c r="L1003" t="s">
        <v>2527</v>
      </c>
      <c r="M1003" t="s">
        <v>78</v>
      </c>
      <c r="N1003" s="6" t="s">
        <v>2525</v>
      </c>
      <c r="O1003" t="s">
        <v>36</v>
      </c>
      <c r="P1003">
        <f t="shared" si="15"/>
        <v>49</v>
      </c>
    </row>
    <row r="1004" spans="1:16" x14ac:dyDescent="0.2">
      <c r="A1004" t="s">
        <v>2387</v>
      </c>
      <c r="B1004" t="s">
        <v>102</v>
      </c>
      <c r="C1004" t="s">
        <v>92</v>
      </c>
      <c r="D1004" s="4">
        <v>27604</v>
      </c>
      <c r="E1004" s="4">
        <v>45336</v>
      </c>
      <c r="F1004" s="9">
        <v>45350</v>
      </c>
      <c r="G1004" t="s">
        <v>46</v>
      </c>
      <c r="H1004" t="s">
        <v>30</v>
      </c>
      <c r="I1004" t="s">
        <v>41</v>
      </c>
      <c r="J1004" s="7">
        <v>2316008</v>
      </c>
      <c r="K1004" t="s">
        <v>71</v>
      </c>
      <c r="L1004" t="s">
        <v>34</v>
      </c>
      <c r="M1004" t="s">
        <v>35</v>
      </c>
      <c r="N1004" s="6">
        <v>14</v>
      </c>
      <c r="O1004" t="s">
        <v>25</v>
      </c>
      <c r="P1004">
        <f t="shared" si="15"/>
        <v>49</v>
      </c>
    </row>
    <row r="1005" spans="1:16" x14ac:dyDescent="0.2">
      <c r="A1005" t="s">
        <v>1460</v>
      </c>
      <c r="B1005" t="s">
        <v>105</v>
      </c>
      <c r="C1005" t="s">
        <v>92</v>
      </c>
      <c r="D1005" s="4">
        <v>19533</v>
      </c>
      <c r="E1005" s="4">
        <v>45298</v>
      </c>
      <c r="F1005" s="9">
        <v>45300</v>
      </c>
      <c r="G1005" t="s">
        <v>29</v>
      </c>
      <c r="H1005" t="s">
        <v>19</v>
      </c>
      <c r="I1005" t="s">
        <v>41</v>
      </c>
      <c r="J1005" s="7">
        <v>1071248</v>
      </c>
      <c r="K1005" t="s">
        <v>48</v>
      </c>
      <c r="L1005" t="s">
        <v>2527</v>
      </c>
      <c r="M1005" t="s">
        <v>24</v>
      </c>
      <c r="N1005" s="6">
        <v>2</v>
      </c>
      <c r="O1005" t="s">
        <v>25</v>
      </c>
      <c r="P1005">
        <f t="shared" si="15"/>
        <v>71</v>
      </c>
    </row>
    <row r="1006" spans="1:16" x14ac:dyDescent="0.2">
      <c r="A1006" t="s">
        <v>2388</v>
      </c>
      <c r="B1006" t="s">
        <v>16</v>
      </c>
      <c r="C1006" t="s">
        <v>39</v>
      </c>
      <c r="D1006" s="4">
        <v>30265</v>
      </c>
      <c r="E1006" s="4">
        <v>45319</v>
      </c>
      <c r="F1006" s="9">
        <v>45333</v>
      </c>
      <c r="G1006" t="s">
        <v>83</v>
      </c>
      <c r="H1006" t="s">
        <v>66</v>
      </c>
      <c r="I1006" t="s">
        <v>67</v>
      </c>
      <c r="J1006" s="7">
        <v>3956828</v>
      </c>
      <c r="K1006" t="s">
        <v>48</v>
      </c>
      <c r="L1006" t="s">
        <v>34</v>
      </c>
      <c r="M1006" t="s">
        <v>78</v>
      </c>
      <c r="N1006" s="6">
        <v>14</v>
      </c>
      <c r="O1006" t="s">
        <v>25</v>
      </c>
      <c r="P1006">
        <f t="shared" si="15"/>
        <v>42</v>
      </c>
    </row>
    <row r="1007" spans="1:16" x14ac:dyDescent="0.2">
      <c r="A1007" t="s">
        <v>2389</v>
      </c>
      <c r="B1007" t="s">
        <v>91</v>
      </c>
      <c r="C1007" t="s">
        <v>92</v>
      </c>
      <c r="D1007" s="4">
        <v>20875</v>
      </c>
      <c r="E1007" s="4">
        <v>45365</v>
      </c>
      <c r="F1007" s="9">
        <v>45370</v>
      </c>
      <c r="G1007" t="s">
        <v>60</v>
      </c>
      <c r="H1007" t="s">
        <v>66</v>
      </c>
      <c r="I1007" t="s">
        <v>41</v>
      </c>
      <c r="J1007" s="7">
        <v>3470240</v>
      </c>
      <c r="K1007" t="s">
        <v>48</v>
      </c>
      <c r="L1007" t="s">
        <v>23</v>
      </c>
      <c r="M1007" t="s">
        <v>35</v>
      </c>
      <c r="N1007" s="6">
        <v>5</v>
      </c>
      <c r="O1007" t="s">
        <v>36</v>
      </c>
      <c r="P1007">
        <f t="shared" si="15"/>
        <v>67</v>
      </c>
    </row>
    <row r="1008" spans="1:16" x14ac:dyDescent="0.2">
      <c r="A1008" t="s">
        <v>1464</v>
      </c>
      <c r="B1008" t="s">
        <v>102</v>
      </c>
      <c r="C1008" t="s">
        <v>92</v>
      </c>
      <c r="D1008" s="4">
        <v>35569</v>
      </c>
      <c r="E1008" s="4">
        <v>45406</v>
      </c>
      <c r="F1008" s="9">
        <v>45416</v>
      </c>
      <c r="G1008" t="s">
        <v>100</v>
      </c>
      <c r="H1008" t="s">
        <v>61</v>
      </c>
      <c r="I1008" t="s">
        <v>67</v>
      </c>
      <c r="J1008" s="7">
        <v>1305112</v>
      </c>
      <c r="K1008" t="s">
        <v>48</v>
      </c>
      <c r="L1008" t="s">
        <v>23</v>
      </c>
      <c r="M1008" t="s">
        <v>24</v>
      </c>
      <c r="N1008" s="6">
        <v>10</v>
      </c>
      <c r="O1008" t="s">
        <v>25</v>
      </c>
      <c r="P1008">
        <f t="shared" si="15"/>
        <v>27</v>
      </c>
    </row>
    <row r="1009" spans="1:16" x14ac:dyDescent="0.2">
      <c r="A1009" t="s">
        <v>2390</v>
      </c>
      <c r="B1009" t="s">
        <v>118</v>
      </c>
      <c r="C1009" t="s">
        <v>28</v>
      </c>
      <c r="D1009" s="4">
        <v>32664</v>
      </c>
      <c r="E1009" s="4">
        <v>45403</v>
      </c>
      <c r="F1009" s="9">
        <v>45406</v>
      </c>
      <c r="G1009" t="s">
        <v>83</v>
      </c>
      <c r="H1009" t="s">
        <v>66</v>
      </c>
      <c r="I1009" t="s">
        <v>67</v>
      </c>
      <c r="J1009" s="7">
        <v>4428328</v>
      </c>
      <c r="K1009" t="s">
        <v>48</v>
      </c>
      <c r="L1009" t="s">
        <v>2527</v>
      </c>
      <c r="M1009" t="s">
        <v>35</v>
      </c>
      <c r="N1009" s="6">
        <v>3</v>
      </c>
      <c r="O1009" t="s">
        <v>36</v>
      </c>
      <c r="P1009">
        <f t="shared" si="15"/>
        <v>35</v>
      </c>
    </row>
    <row r="1010" spans="1:16" x14ac:dyDescent="0.2">
      <c r="A1010" t="s">
        <v>2391</v>
      </c>
      <c r="B1010" t="s">
        <v>82</v>
      </c>
      <c r="C1010" t="s">
        <v>28</v>
      </c>
      <c r="D1010" s="4">
        <v>21546</v>
      </c>
      <c r="E1010" s="4">
        <v>45376</v>
      </c>
      <c r="F1010" s="9">
        <v>45389</v>
      </c>
      <c r="G1010" t="s">
        <v>88</v>
      </c>
      <c r="H1010" t="s">
        <v>66</v>
      </c>
      <c r="I1010" t="s">
        <v>2535</v>
      </c>
      <c r="J1010" s="7">
        <v>4126568</v>
      </c>
      <c r="K1010" t="s">
        <v>48</v>
      </c>
      <c r="L1010" t="s">
        <v>2527</v>
      </c>
      <c r="M1010" t="s">
        <v>35</v>
      </c>
      <c r="N1010" s="6">
        <v>13</v>
      </c>
      <c r="O1010" t="s">
        <v>2531</v>
      </c>
      <c r="P1010">
        <f t="shared" si="15"/>
        <v>66</v>
      </c>
    </row>
    <row r="1011" spans="1:16" x14ac:dyDescent="0.2">
      <c r="A1011" t="s">
        <v>2392</v>
      </c>
      <c r="B1011" t="s">
        <v>119</v>
      </c>
      <c r="C1011" t="s">
        <v>28</v>
      </c>
      <c r="D1011" s="4">
        <v>36085</v>
      </c>
      <c r="E1011" s="4">
        <v>45436</v>
      </c>
      <c r="F1011" s="9">
        <v>45442</v>
      </c>
      <c r="G1011" t="s">
        <v>72</v>
      </c>
      <c r="H1011" t="s">
        <v>2529</v>
      </c>
      <c r="I1011" t="s">
        <v>67</v>
      </c>
      <c r="J1011" s="7">
        <v>2821456</v>
      </c>
      <c r="K1011" t="s">
        <v>48</v>
      </c>
      <c r="L1011" t="s">
        <v>2527</v>
      </c>
      <c r="M1011" t="s">
        <v>24</v>
      </c>
      <c r="N1011" s="6">
        <v>6</v>
      </c>
      <c r="O1011" t="s">
        <v>2531</v>
      </c>
      <c r="P1011">
        <f t="shared" si="15"/>
        <v>26</v>
      </c>
    </row>
    <row r="1012" spans="1:16" x14ac:dyDescent="0.2">
      <c r="A1012" t="s">
        <v>2393</v>
      </c>
      <c r="B1012" t="s">
        <v>85</v>
      </c>
      <c r="C1012" t="s">
        <v>39</v>
      </c>
      <c r="D1012" s="4">
        <v>34546</v>
      </c>
      <c r="E1012" s="4">
        <v>45447</v>
      </c>
      <c r="F1012" s="9">
        <v>45458</v>
      </c>
      <c r="G1012" t="s">
        <v>50</v>
      </c>
      <c r="H1012" t="s">
        <v>2528</v>
      </c>
      <c r="I1012" t="s">
        <v>2535</v>
      </c>
      <c r="J1012" s="7">
        <v>3768228</v>
      </c>
      <c r="K1012" t="s">
        <v>71</v>
      </c>
      <c r="L1012" t="s">
        <v>2527</v>
      </c>
      <c r="M1012" t="s">
        <v>24</v>
      </c>
      <c r="N1012" s="6">
        <v>11</v>
      </c>
      <c r="O1012" t="s">
        <v>25</v>
      </c>
      <c r="P1012">
        <f t="shared" si="15"/>
        <v>30</v>
      </c>
    </row>
    <row r="1013" spans="1:16" x14ac:dyDescent="0.2">
      <c r="A1013" t="s">
        <v>2394</v>
      </c>
      <c r="B1013" t="s">
        <v>118</v>
      </c>
      <c r="C1013" t="s">
        <v>92</v>
      </c>
      <c r="D1013" s="4">
        <v>23128</v>
      </c>
      <c r="E1013" s="4">
        <v>45416</v>
      </c>
      <c r="F1013" s="9">
        <v>45424</v>
      </c>
      <c r="G1013" t="s">
        <v>18</v>
      </c>
      <c r="H1013" t="s">
        <v>2529</v>
      </c>
      <c r="I1013" t="s">
        <v>67</v>
      </c>
      <c r="J1013" s="7">
        <v>2176444</v>
      </c>
      <c r="K1013" t="s">
        <v>48</v>
      </c>
      <c r="L1013" t="s">
        <v>2527</v>
      </c>
      <c r="M1013" t="s">
        <v>35</v>
      </c>
      <c r="N1013" s="6">
        <v>8</v>
      </c>
      <c r="O1013" t="s">
        <v>2531</v>
      </c>
      <c r="P1013">
        <f t="shared" si="15"/>
        <v>61</v>
      </c>
    </row>
    <row r="1014" spans="1:16" x14ac:dyDescent="0.2">
      <c r="A1014" t="s">
        <v>2395</v>
      </c>
      <c r="B1014" t="s">
        <v>119</v>
      </c>
      <c r="C1014" t="s">
        <v>92</v>
      </c>
      <c r="D1014" s="4">
        <v>27737</v>
      </c>
      <c r="E1014" s="4">
        <v>45448</v>
      </c>
      <c r="F1014" s="9">
        <v>45450</v>
      </c>
      <c r="G1014" t="s">
        <v>46</v>
      </c>
      <c r="H1014" t="s">
        <v>30</v>
      </c>
      <c r="I1014" t="s">
        <v>41</v>
      </c>
      <c r="J1014" s="7">
        <v>5476944</v>
      </c>
      <c r="K1014" t="s">
        <v>48</v>
      </c>
      <c r="L1014" t="s">
        <v>23</v>
      </c>
      <c r="M1014" t="s">
        <v>78</v>
      </c>
      <c r="N1014" s="6">
        <v>2</v>
      </c>
      <c r="O1014" t="s">
        <v>36</v>
      </c>
      <c r="P1014">
        <f t="shared" si="15"/>
        <v>49</v>
      </c>
    </row>
    <row r="1015" spans="1:16" x14ac:dyDescent="0.2">
      <c r="A1015" t="s">
        <v>2396</v>
      </c>
      <c r="B1015" t="s">
        <v>140</v>
      </c>
      <c r="C1015" t="s">
        <v>92</v>
      </c>
      <c r="D1015" s="4">
        <v>21181</v>
      </c>
      <c r="E1015" s="4">
        <v>45306</v>
      </c>
      <c r="F1015" s="9">
        <v>45317</v>
      </c>
      <c r="G1015" t="s">
        <v>72</v>
      </c>
      <c r="H1015" t="s">
        <v>2529</v>
      </c>
      <c r="I1015" t="s">
        <v>2534</v>
      </c>
      <c r="J1015" s="7">
        <v>4847500</v>
      </c>
      <c r="K1015" t="s">
        <v>48</v>
      </c>
      <c r="L1015" t="s">
        <v>34</v>
      </c>
      <c r="M1015" t="s">
        <v>35</v>
      </c>
      <c r="N1015" s="6">
        <v>11</v>
      </c>
      <c r="O1015" t="s">
        <v>2531</v>
      </c>
      <c r="P1015">
        <f t="shared" si="15"/>
        <v>67</v>
      </c>
    </row>
    <row r="1016" spans="1:16" x14ac:dyDescent="0.2">
      <c r="A1016" t="s">
        <v>2397</v>
      </c>
      <c r="B1016" t="s">
        <v>105</v>
      </c>
      <c r="C1016" t="s">
        <v>92</v>
      </c>
      <c r="D1016" s="4">
        <v>34794</v>
      </c>
      <c r="E1016" s="4">
        <v>45329</v>
      </c>
      <c r="F1016" s="9" t="s">
        <v>2536</v>
      </c>
      <c r="G1016" t="s">
        <v>100</v>
      </c>
      <c r="H1016" t="s">
        <v>61</v>
      </c>
      <c r="I1016" t="s">
        <v>2534</v>
      </c>
      <c r="J1016" s="7">
        <v>4200000</v>
      </c>
      <c r="K1016" t="s">
        <v>43</v>
      </c>
      <c r="L1016" t="s">
        <v>34</v>
      </c>
      <c r="M1016" t="s">
        <v>35</v>
      </c>
      <c r="N1016" s="6" t="s">
        <v>2525</v>
      </c>
      <c r="O1016" t="s">
        <v>36</v>
      </c>
      <c r="P1016">
        <f t="shared" si="15"/>
        <v>29</v>
      </c>
    </row>
    <row r="1017" spans="1:16" x14ac:dyDescent="0.2">
      <c r="A1017" t="s">
        <v>2398</v>
      </c>
      <c r="B1017" t="s">
        <v>45</v>
      </c>
      <c r="C1017" t="s">
        <v>92</v>
      </c>
      <c r="D1017" s="4">
        <v>22793</v>
      </c>
      <c r="E1017" s="4">
        <v>45322</v>
      </c>
      <c r="F1017" s="9">
        <v>45337</v>
      </c>
      <c r="G1017" t="s">
        <v>40</v>
      </c>
      <c r="H1017" t="s">
        <v>75</v>
      </c>
      <c r="I1017" t="s">
        <v>2534</v>
      </c>
      <c r="J1017" s="7">
        <v>2176444</v>
      </c>
      <c r="K1017" t="s">
        <v>43</v>
      </c>
      <c r="L1017" t="s">
        <v>2527</v>
      </c>
      <c r="M1017" t="s">
        <v>78</v>
      </c>
      <c r="N1017" s="6">
        <v>15</v>
      </c>
      <c r="O1017" t="s">
        <v>25</v>
      </c>
      <c r="P1017">
        <f t="shared" si="15"/>
        <v>62</v>
      </c>
    </row>
    <row r="1018" spans="1:16" x14ac:dyDescent="0.2">
      <c r="A1018" t="s">
        <v>1476</v>
      </c>
      <c r="B1018" t="s">
        <v>64</v>
      </c>
      <c r="C1018" t="s">
        <v>92</v>
      </c>
      <c r="D1018" s="4">
        <v>35961</v>
      </c>
      <c r="E1018" s="4">
        <v>45399</v>
      </c>
      <c r="F1018" s="9">
        <v>45410</v>
      </c>
      <c r="G1018" t="s">
        <v>46</v>
      </c>
      <c r="H1018" t="s">
        <v>30</v>
      </c>
      <c r="I1018" t="s">
        <v>67</v>
      </c>
      <c r="J1018" s="7">
        <v>3311816</v>
      </c>
      <c r="K1018" t="s">
        <v>48</v>
      </c>
      <c r="L1018" t="s">
        <v>2527</v>
      </c>
      <c r="M1018" t="s">
        <v>35</v>
      </c>
      <c r="N1018" s="6">
        <v>11</v>
      </c>
      <c r="O1018" t="s">
        <v>25</v>
      </c>
      <c r="P1018">
        <f t="shared" si="15"/>
        <v>26</v>
      </c>
    </row>
    <row r="1019" spans="1:16" x14ac:dyDescent="0.2">
      <c r="A1019" t="s">
        <v>1478</v>
      </c>
      <c r="B1019" t="s">
        <v>105</v>
      </c>
      <c r="C1019" t="s">
        <v>28</v>
      </c>
      <c r="D1019" s="4">
        <v>37611</v>
      </c>
      <c r="E1019" s="4">
        <v>45334</v>
      </c>
      <c r="F1019" s="9">
        <v>45343</v>
      </c>
      <c r="G1019" t="s">
        <v>100</v>
      </c>
      <c r="H1019" t="s">
        <v>61</v>
      </c>
      <c r="I1019" t="s">
        <v>41</v>
      </c>
      <c r="J1019" s="7">
        <v>3406116</v>
      </c>
      <c r="K1019" t="s">
        <v>48</v>
      </c>
      <c r="L1019" t="s">
        <v>2527</v>
      </c>
      <c r="M1019" t="s">
        <v>35</v>
      </c>
      <c r="N1019" s="6">
        <v>9</v>
      </c>
      <c r="O1019" t="s">
        <v>2531</v>
      </c>
      <c r="P1019">
        <f t="shared" si="15"/>
        <v>22</v>
      </c>
    </row>
    <row r="1020" spans="1:16" x14ac:dyDescent="0.2">
      <c r="A1020" t="s">
        <v>1479</v>
      </c>
      <c r="B1020" t="s">
        <v>38</v>
      </c>
      <c r="C1020" t="s">
        <v>39</v>
      </c>
      <c r="D1020" s="4">
        <v>21161</v>
      </c>
      <c r="E1020" s="4">
        <v>45320</v>
      </c>
      <c r="F1020" s="9">
        <v>45328</v>
      </c>
      <c r="G1020" t="s">
        <v>46</v>
      </c>
      <c r="H1020" t="s">
        <v>30</v>
      </c>
      <c r="I1020" t="s">
        <v>2533</v>
      </c>
      <c r="J1020" s="7">
        <v>5582560</v>
      </c>
      <c r="K1020" t="s">
        <v>48</v>
      </c>
      <c r="L1020" t="s">
        <v>2527</v>
      </c>
      <c r="M1020" t="s">
        <v>78</v>
      </c>
      <c r="N1020" s="6">
        <v>8</v>
      </c>
      <c r="O1020" t="s">
        <v>36</v>
      </c>
      <c r="P1020">
        <f t="shared" si="15"/>
        <v>67</v>
      </c>
    </row>
    <row r="1021" spans="1:16" x14ac:dyDescent="0.2">
      <c r="A1021" t="s">
        <v>2399</v>
      </c>
      <c r="B1021" t="s">
        <v>118</v>
      </c>
      <c r="C1021" t="s">
        <v>28</v>
      </c>
      <c r="D1021" s="4">
        <v>27860</v>
      </c>
      <c r="E1021" s="4">
        <v>45446</v>
      </c>
      <c r="F1021" s="9">
        <v>45451</v>
      </c>
      <c r="G1021" t="s">
        <v>29</v>
      </c>
      <c r="H1021" t="s">
        <v>19</v>
      </c>
      <c r="I1021" t="s">
        <v>67</v>
      </c>
      <c r="J1021" s="7">
        <v>2421624</v>
      </c>
      <c r="K1021" t="s">
        <v>48</v>
      </c>
      <c r="L1021" t="s">
        <v>2527</v>
      </c>
      <c r="M1021" t="s">
        <v>78</v>
      </c>
      <c r="N1021" s="6">
        <v>5</v>
      </c>
      <c r="O1021" t="s">
        <v>25</v>
      </c>
      <c r="P1021">
        <f t="shared" si="15"/>
        <v>48</v>
      </c>
    </row>
    <row r="1022" spans="1:16" x14ac:dyDescent="0.2">
      <c r="A1022" t="s">
        <v>2400</v>
      </c>
      <c r="B1022" t="s">
        <v>64</v>
      </c>
      <c r="C1022" t="s">
        <v>28</v>
      </c>
      <c r="D1022" s="4">
        <v>36641</v>
      </c>
      <c r="E1022" s="4">
        <v>45318</v>
      </c>
      <c r="F1022" s="9" t="s">
        <v>2536</v>
      </c>
      <c r="G1022" t="s">
        <v>83</v>
      </c>
      <c r="H1022" t="s">
        <v>66</v>
      </c>
      <c r="I1022" t="s">
        <v>41</v>
      </c>
      <c r="J1022" s="7">
        <v>2251884</v>
      </c>
      <c r="K1022" t="s">
        <v>48</v>
      </c>
      <c r="L1022" t="s">
        <v>23</v>
      </c>
      <c r="M1022" t="s">
        <v>35</v>
      </c>
      <c r="N1022" s="6" t="s">
        <v>2525</v>
      </c>
      <c r="O1022" t="s">
        <v>25</v>
      </c>
      <c r="P1022">
        <f t="shared" si="15"/>
        <v>24</v>
      </c>
    </row>
    <row r="1023" spans="1:16" x14ac:dyDescent="0.2">
      <c r="A1023" t="s">
        <v>2401</v>
      </c>
      <c r="B1023" t="s">
        <v>27</v>
      </c>
      <c r="C1023" t="s">
        <v>28</v>
      </c>
      <c r="D1023" s="4">
        <v>35719</v>
      </c>
      <c r="E1023" s="4">
        <v>45449</v>
      </c>
      <c r="F1023" s="9">
        <v>45452</v>
      </c>
      <c r="G1023" t="s">
        <v>29</v>
      </c>
      <c r="H1023" t="s">
        <v>19</v>
      </c>
      <c r="I1023" t="s">
        <v>67</v>
      </c>
      <c r="J1023" s="7">
        <v>4447188</v>
      </c>
      <c r="K1023" t="s">
        <v>43</v>
      </c>
      <c r="L1023" t="s">
        <v>34</v>
      </c>
      <c r="M1023" t="s">
        <v>78</v>
      </c>
      <c r="N1023" s="6">
        <v>3</v>
      </c>
      <c r="O1023" t="s">
        <v>25</v>
      </c>
      <c r="P1023">
        <f t="shared" si="15"/>
        <v>27</v>
      </c>
    </row>
    <row r="1024" spans="1:16" x14ac:dyDescent="0.2">
      <c r="A1024" t="s">
        <v>1482</v>
      </c>
      <c r="B1024" t="s">
        <v>45</v>
      </c>
      <c r="C1024" t="s">
        <v>92</v>
      </c>
      <c r="D1024" s="4">
        <v>25291</v>
      </c>
      <c r="E1024" s="4">
        <v>45442</v>
      </c>
      <c r="F1024" s="9">
        <v>45455</v>
      </c>
      <c r="G1024" t="s">
        <v>50</v>
      </c>
      <c r="H1024" t="s">
        <v>2528</v>
      </c>
      <c r="I1024" t="s">
        <v>2533</v>
      </c>
      <c r="J1024" s="7">
        <v>1210812</v>
      </c>
      <c r="K1024" t="s">
        <v>48</v>
      </c>
      <c r="L1024" t="s">
        <v>2527</v>
      </c>
      <c r="M1024" t="s">
        <v>24</v>
      </c>
      <c r="N1024" s="6">
        <v>13</v>
      </c>
      <c r="O1024" t="s">
        <v>36</v>
      </c>
      <c r="P1024">
        <f t="shared" si="15"/>
        <v>55</v>
      </c>
    </row>
    <row r="1025" spans="1:16" x14ac:dyDescent="0.2">
      <c r="A1025" t="s">
        <v>1484</v>
      </c>
      <c r="B1025" t="s">
        <v>91</v>
      </c>
      <c r="C1025" t="s">
        <v>92</v>
      </c>
      <c r="D1025" s="4">
        <v>26603</v>
      </c>
      <c r="E1025" s="4">
        <v>45434</v>
      </c>
      <c r="F1025" s="9">
        <v>45447</v>
      </c>
      <c r="G1025" t="s">
        <v>46</v>
      </c>
      <c r="H1025" t="s">
        <v>30</v>
      </c>
      <c r="I1025" t="s">
        <v>2533</v>
      </c>
      <c r="J1025" s="7">
        <v>2708296</v>
      </c>
      <c r="K1025" t="s">
        <v>48</v>
      </c>
      <c r="L1025" t="s">
        <v>2527</v>
      </c>
      <c r="M1025" t="s">
        <v>35</v>
      </c>
      <c r="N1025" s="6">
        <v>13</v>
      </c>
      <c r="O1025" t="s">
        <v>36</v>
      </c>
      <c r="P1025">
        <f t="shared" si="15"/>
        <v>52</v>
      </c>
    </row>
    <row r="1026" spans="1:16" x14ac:dyDescent="0.2">
      <c r="A1026" t="s">
        <v>2402</v>
      </c>
      <c r="B1026" t="s">
        <v>80</v>
      </c>
      <c r="C1026" t="s">
        <v>39</v>
      </c>
      <c r="D1026" s="4">
        <v>24596</v>
      </c>
      <c r="E1026" s="4">
        <v>45362</v>
      </c>
      <c r="F1026" s="9">
        <v>45369</v>
      </c>
      <c r="G1026" t="s">
        <v>74</v>
      </c>
      <c r="H1026" t="s">
        <v>2528</v>
      </c>
      <c r="I1026" t="s">
        <v>41</v>
      </c>
      <c r="J1026" s="7">
        <v>4115252</v>
      </c>
      <c r="K1026" t="s">
        <v>43</v>
      </c>
      <c r="L1026" t="s">
        <v>23</v>
      </c>
      <c r="M1026" t="s">
        <v>24</v>
      </c>
      <c r="N1026" s="6">
        <v>7</v>
      </c>
      <c r="O1026" t="s">
        <v>2531</v>
      </c>
      <c r="P1026">
        <f t="shared" si="15"/>
        <v>57</v>
      </c>
    </row>
    <row r="1027" spans="1:16" x14ac:dyDescent="0.2">
      <c r="A1027" t="s">
        <v>2403</v>
      </c>
      <c r="B1027" t="s">
        <v>27</v>
      </c>
      <c r="C1027" t="s">
        <v>28</v>
      </c>
      <c r="D1027" s="4">
        <v>19634</v>
      </c>
      <c r="E1027" s="4">
        <v>45394</v>
      </c>
      <c r="F1027" s="9">
        <v>45397</v>
      </c>
      <c r="G1027" t="s">
        <v>60</v>
      </c>
      <c r="H1027" t="s">
        <v>66</v>
      </c>
      <c r="I1027" t="s">
        <v>2533</v>
      </c>
      <c r="J1027" s="7">
        <v>2466888</v>
      </c>
      <c r="K1027" t="s">
        <v>43</v>
      </c>
      <c r="L1027" t="s">
        <v>34</v>
      </c>
      <c r="M1027" t="s">
        <v>35</v>
      </c>
      <c r="N1027" s="6">
        <v>3</v>
      </c>
      <c r="O1027" t="s">
        <v>25</v>
      </c>
      <c r="P1027">
        <f t="shared" ref="P1027:P1090" si="16">YEAR(E1027)-YEAR(D1027)</f>
        <v>71</v>
      </c>
    </row>
    <row r="1028" spans="1:16" x14ac:dyDescent="0.2">
      <c r="A1028" t="s">
        <v>2404</v>
      </c>
      <c r="B1028" t="s">
        <v>118</v>
      </c>
      <c r="C1028" t="s">
        <v>92</v>
      </c>
      <c r="D1028" s="4">
        <v>36152</v>
      </c>
      <c r="E1028" s="4">
        <v>45449</v>
      </c>
      <c r="F1028" s="9">
        <v>45459</v>
      </c>
      <c r="G1028" t="s">
        <v>18</v>
      </c>
      <c r="H1028" t="s">
        <v>2529</v>
      </c>
      <c r="I1028" t="s">
        <v>2533</v>
      </c>
      <c r="J1028" s="7">
        <v>2783736</v>
      </c>
      <c r="K1028" t="s">
        <v>43</v>
      </c>
      <c r="L1028" t="s">
        <v>2527</v>
      </c>
      <c r="M1028" t="s">
        <v>24</v>
      </c>
      <c r="N1028" s="6">
        <v>10</v>
      </c>
      <c r="O1028" t="s">
        <v>36</v>
      </c>
      <c r="P1028">
        <f t="shared" si="16"/>
        <v>26</v>
      </c>
    </row>
    <row r="1029" spans="1:16" x14ac:dyDescent="0.2">
      <c r="A1029" t="s">
        <v>2405</v>
      </c>
      <c r="B1029" t="s">
        <v>119</v>
      </c>
      <c r="C1029" t="s">
        <v>92</v>
      </c>
      <c r="D1029" s="4">
        <v>28538</v>
      </c>
      <c r="E1029" s="4">
        <v>45320</v>
      </c>
      <c r="F1029" s="9">
        <v>45332</v>
      </c>
      <c r="G1029" t="s">
        <v>88</v>
      </c>
      <c r="H1029" t="s">
        <v>66</v>
      </c>
      <c r="I1029" t="s">
        <v>2534</v>
      </c>
      <c r="J1029" s="7">
        <v>3773000</v>
      </c>
      <c r="K1029" t="s">
        <v>48</v>
      </c>
      <c r="L1029" t="s">
        <v>2527</v>
      </c>
      <c r="M1029" t="s">
        <v>24</v>
      </c>
      <c r="N1029" s="6">
        <v>12</v>
      </c>
      <c r="O1029" t="s">
        <v>25</v>
      </c>
      <c r="P1029">
        <f t="shared" si="16"/>
        <v>46</v>
      </c>
    </row>
    <row r="1030" spans="1:16" x14ac:dyDescent="0.2">
      <c r="A1030" t="s">
        <v>1489</v>
      </c>
      <c r="B1030" t="s">
        <v>56</v>
      </c>
      <c r="C1030" t="s">
        <v>92</v>
      </c>
      <c r="D1030" s="4">
        <v>32107</v>
      </c>
      <c r="E1030" s="4">
        <v>45350</v>
      </c>
      <c r="F1030" s="9">
        <v>45356</v>
      </c>
      <c r="G1030" t="s">
        <v>29</v>
      </c>
      <c r="H1030" t="s">
        <v>19</v>
      </c>
      <c r="I1030" t="s">
        <v>2534</v>
      </c>
      <c r="J1030" s="7">
        <v>1346604</v>
      </c>
      <c r="K1030" t="s">
        <v>43</v>
      </c>
      <c r="L1030" t="s">
        <v>2527</v>
      </c>
      <c r="M1030" t="s">
        <v>78</v>
      </c>
      <c r="N1030" s="6">
        <v>6</v>
      </c>
      <c r="O1030" t="s">
        <v>36</v>
      </c>
      <c r="P1030">
        <f t="shared" si="16"/>
        <v>37</v>
      </c>
    </row>
    <row r="1031" spans="1:16" x14ac:dyDescent="0.2">
      <c r="A1031" t="s">
        <v>2406</v>
      </c>
      <c r="B1031" t="s">
        <v>64</v>
      </c>
      <c r="C1031" t="s">
        <v>92</v>
      </c>
      <c r="D1031" s="4">
        <v>19075</v>
      </c>
      <c r="E1031" s="4">
        <v>45326</v>
      </c>
      <c r="F1031" s="9">
        <v>45336</v>
      </c>
      <c r="G1031" t="s">
        <v>46</v>
      </c>
      <c r="H1031" t="s">
        <v>30</v>
      </c>
      <c r="I1031" t="s">
        <v>2533</v>
      </c>
      <c r="J1031" s="7">
        <v>3281640</v>
      </c>
      <c r="K1031" t="s">
        <v>48</v>
      </c>
      <c r="L1031" t="s">
        <v>2527</v>
      </c>
      <c r="M1031" t="s">
        <v>78</v>
      </c>
      <c r="N1031" s="6">
        <v>10</v>
      </c>
      <c r="O1031" t="s">
        <v>36</v>
      </c>
      <c r="P1031">
        <f t="shared" si="16"/>
        <v>72</v>
      </c>
    </row>
    <row r="1032" spans="1:16" x14ac:dyDescent="0.2">
      <c r="A1032" t="s">
        <v>2407</v>
      </c>
      <c r="B1032" t="s">
        <v>38</v>
      </c>
      <c r="C1032" t="s">
        <v>28</v>
      </c>
      <c r="D1032" s="4">
        <v>18734</v>
      </c>
      <c r="E1032" s="4">
        <v>45372</v>
      </c>
      <c r="F1032" s="9">
        <v>45380</v>
      </c>
      <c r="G1032" t="s">
        <v>83</v>
      </c>
      <c r="H1032" t="s">
        <v>66</v>
      </c>
      <c r="I1032" t="s">
        <v>67</v>
      </c>
      <c r="J1032" s="7">
        <v>4786668</v>
      </c>
      <c r="K1032" t="s">
        <v>48</v>
      </c>
      <c r="L1032" t="s">
        <v>2527</v>
      </c>
      <c r="M1032" t="s">
        <v>35</v>
      </c>
      <c r="N1032" s="6">
        <v>8</v>
      </c>
      <c r="O1032" t="s">
        <v>2531</v>
      </c>
      <c r="P1032">
        <f t="shared" si="16"/>
        <v>73</v>
      </c>
    </row>
    <row r="1033" spans="1:16" x14ac:dyDescent="0.2">
      <c r="A1033" t="s">
        <v>2408</v>
      </c>
      <c r="B1033" t="s">
        <v>64</v>
      </c>
      <c r="C1033" t="s">
        <v>28</v>
      </c>
      <c r="D1033" s="4">
        <v>22551</v>
      </c>
      <c r="E1033" s="4">
        <v>45386</v>
      </c>
      <c r="F1033" s="9">
        <v>45401</v>
      </c>
      <c r="G1033" t="s">
        <v>46</v>
      </c>
      <c r="H1033" t="s">
        <v>30</v>
      </c>
      <c r="I1033" t="s">
        <v>2534</v>
      </c>
      <c r="J1033" s="7">
        <v>1799244</v>
      </c>
      <c r="K1033" t="s">
        <v>48</v>
      </c>
      <c r="L1033" t="s">
        <v>2527</v>
      </c>
      <c r="M1033" t="s">
        <v>35</v>
      </c>
      <c r="N1033" s="6">
        <v>15</v>
      </c>
      <c r="O1033" t="s">
        <v>2531</v>
      </c>
      <c r="P1033">
        <f t="shared" si="16"/>
        <v>63</v>
      </c>
    </row>
    <row r="1034" spans="1:16" x14ac:dyDescent="0.2">
      <c r="A1034" t="s">
        <v>2409</v>
      </c>
      <c r="B1034" t="s">
        <v>85</v>
      </c>
      <c r="C1034" t="s">
        <v>92</v>
      </c>
      <c r="D1034" s="4">
        <v>29635</v>
      </c>
      <c r="E1034" s="4">
        <v>45305</v>
      </c>
      <c r="F1034" s="9">
        <v>45316</v>
      </c>
      <c r="G1034" t="s">
        <v>46</v>
      </c>
      <c r="H1034" t="s">
        <v>30</v>
      </c>
      <c r="I1034" t="s">
        <v>67</v>
      </c>
      <c r="J1034" s="7">
        <v>1290024</v>
      </c>
      <c r="K1034" t="s">
        <v>48</v>
      </c>
      <c r="L1034" t="s">
        <v>2527</v>
      </c>
      <c r="M1034" t="s">
        <v>35</v>
      </c>
      <c r="N1034" s="6">
        <v>11</v>
      </c>
      <c r="O1034" t="s">
        <v>36</v>
      </c>
      <c r="P1034">
        <f t="shared" si="16"/>
        <v>43</v>
      </c>
    </row>
    <row r="1035" spans="1:16" x14ac:dyDescent="0.2">
      <c r="A1035" t="s">
        <v>2410</v>
      </c>
      <c r="B1035" t="s">
        <v>56</v>
      </c>
      <c r="C1035" t="s">
        <v>28</v>
      </c>
      <c r="D1035" s="4">
        <v>39780</v>
      </c>
      <c r="E1035" s="4">
        <v>45371</v>
      </c>
      <c r="F1035" s="9" t="s">
        <v>2536</v>
      </c>
      <c r="G1035" t="s">
        <v>83</v>
      </c>
      <c r="H1035" t="s">
        <v>66</v>
      </c>
      <c r="I1035" t="s">
        <v>67</v>
      </c>
      <c r="J1035" s="7">
        <v>3391028</v>
      </c>
      <c r="K1035" t="s">
        <v>48</v>
      </c>
      <c r="L1035" t="s">
        <v>34</v>
      </c>
      <c r="M1035" t="s">
        <v>35</v>
      </c>
      <c r="N1035" s="6" t="s">
        <v>2525</v>
      </c>
      <c r="O1035" t="s">
        <v>25</v>
      </c>
      <c r="P1035">
        <f t="shared" si="16"/>
        <v>16</v>
      </c>
    </row>
    <row r="1036" spans="1:16" x14ac:dyDescent="0.2">
      <c r="A1036" t="s">
        <v>1494</v>
      </c>
      <c r="B1036" t="s">
        <v>102</v>
      </c>
      <c r="C1036" t="s">
        <v>39</v>
      </c>
      <c r="D1036" s="4">
        <v>34758</v>
      </c>
      <c r="E1036" s="4">
        <v>45428</v>
      </c>
      <c r="F1036" s="9">
        <v>45429</v>
      </c>
      <c r="G1036" t="s">
        <v>74</v>
      </c>
      <c r="H1036" t="s">
        <v>2528</v>
      </c>
      <c r="I1036" t="s">
        <v>2535</v>
      </c>
      <c r="J1036" s="7">
        <v>4364204</v>
      </c>
      <c r="K1036" t="s">
        <v>71</v>
      </c>
      <c r="L1036" t="s">
        <v>2527</v>
      </c>
      <c r="M1036" t="s">
        <v>24</v>
      </c>
      <c r="N1036" s="6">
        <v>1</v>
      </c>
      <c r="O1036" t="s">
        <v>25</v>
      </c>
      <c r="P1036">
        <f t="shared" si="16"/>
        <v>29</v>
      </c>
    </row>
    <row r="1037" spans="1:16" x14ac:dyDescent="0.2">
      <c r="A1037" t="s">
        <v>1495</v>
      </c>
      <c r="B1037" t="s">
        <v>119</v>
      </c>
      <c r="C1037" t="s">
        <v>92</v>
      </c>
      <c r="D1037" s="4">
        <v>30006</v>
      </c>
      <c r="E1037" s="4">
        <v>45295</v>
      </c>
      <c r="F1037" s="9">
        <v>45307</v>
      </c>
      <c r="G1037" t="s">
        <v>60</v>
      </c>
      <c r="H1037" t="s">
        <v>66</v>
      </c>
      <c r="I1037" t="s">
        <v>67</v>
      </c>
      <c r="J1037" s="7">
        <v>5307204</v>
      </c>
      <c r="K1037" t="s">
        <v>48</v>
      </c>
      <c r="L1037" t="s">
        <v>23</v>
      </c>
      <c r="M1037" t="s">
        <v>24</v>
      </c>
      <c r="N1037" s="6">
        <v>12</v>
      </c>
      <c r="O1037" t="s">
        <v>25</v>
      </c>
      <c r="P1037">
        <f t="shared" si="16"/>
        <v>42</v>
      </c>
    </row>
    <row r="1038" spans="1:16" x14ac:dyDescent="0.2">
      <c r="A1038" t="s">
        <v>1496</v>
      </c>
      <c r="B1038" t="s">
        <v>51</v>
      </c>
      <c r="C1038" t="s">
        <v>92</v>
      </c>
      <c r="D1038" s="4">
        <v>26496</v>
      </c>
      <c r="E1038" s="4">
        <v>45414</v>
      </c>
      <c r="F1038" s="9">
        <v>45420</v>
      </c>
      <c r="G1038" t="s">
        <v>40</v>
      </c>
      <c r="H1038" t="s">
        <v>75</v>
      </c>
      <c r="I1038" t="s">
        <v>2533</v>
      </c>
      <c r="J1038" s="7">
        <v>4319000</v>
      </c>
      <c r="K1038" t="s">
        <v>48</v>
      </c>
      <c r="L1038" t="s">
        <v>2527</v>
      </c>
      <c r="M1038" t="s">
        <v>78</v>
      </c>
      <c r="N1038" s="6">
        <v>6</v>
      </c>
      <c r="O1038" t="s">
        <v>36</v>
      </c>
      <c r="P1038">
        <f t="shared" si="16"/>
        <v>52</v>
      </c>
    </row>
    <row r="1039" spans="1:16" x14ac:dyDescent="0.2">
      <c r="A1039" t="s">
        <v>1498</v>
      </c>
      <c r="B1039" t="s">
        <v>16</v>
      </c>
      <c r="C1039" t="s">
        <v>28</v>
      </c>
      <c r="D1039" s="4">
        <v>36531</v>
      </c>
      <c r="E1039" s="4">
        <v>45420</v>
      </c>
      <c r="F1039" s="9">
        <v>45426</v>
      </c>
      <c r="G1039" t="s">
        <v>88</v>
      </c>
      <c r="H1039" t="s">
        <v>66</v>
      </c>
      <c r="I1039" t="s">
        <v>2534</v>
      </c>
      <c r="J1039" s="7">
        <v>3426500</v>
      </c>
      <c r="K1039" t="s">
        <v>48</v>
      </c>
      <c r="L1039" t="s">
        <v>2527</v>
      </c>
      <c r="M1039" t="s">
        <v>78</v>
      </c>
      <c r="N1039" s="6">
        <v>6</v>
      </c>
      <c r="O1039" t="s">
        <v>2531</v>
      </c>
      <c r="P1039">
        <f t="shared" si="16"/>
        <v>24</v>
      </c>
    </row>
    <row r="1040" spans="1:16" x14ac:dyDescent="0.2">
      <c r="A1040" t="s">
        <v>1500</v>
      </c>
      <c r="B1040" t="s">
        <v>51</v>
      </c>
      <c r="C1040" t="s">
        <v>39</v>
      </c>
      <c r="D1040" s="4">
        <v>20777</v>
      </c>
      <c r="E1040" s="4">
        <v>45327</v>
      </c>
      <c r="F1040" s="9">
        <v>45339</v>
      </c>
      <c r="G1040" t="s">
        <v>60</v>
      </c>
      <c r="H1040" t="s">
        <v>66</v>
      </c>
      <c r="I1040" t="s">
        <v>2535</v>
      </c>
      <c r="J1040" s="7">
        <v>5126148</v>
      </c>
      <c r="K1040" t="s">
        <v>43</v>
      </c>
      <c r="L1040" t="s">
        <v>34</v>
      </c>
      <c r="M1040" t="s">
        <v>78</v>
      </c>
      <c r="N1040" s="6">
        <v>12</v>
      </c>
      <c r="O1040" t="s">
        <v>36</v>
      </c>
      <c r="P1040">
        <f t="shared" si="16"/>
        <v>68</v>
      </c>
    </row>
    <row r="1041" spans="1:16" x14ac:dyDescent="0.2">
      <c r="A1041" t="s">
        <v>1501</v>
      </c>
      <c r="B1041" t="s">
        <v>91</v>
      </c>
      <c r="C1041" t="s">
        <v>28</v>
      </c>
      <c r="D1041" s="4">
        <v>27880</v>
      </c>
      <c r="E1041" s="4">
        <v>45417</v>
      </c>
      <c r="F1041" s="9" t="s">
        <v>2536</v>
      </c>
      <c r="G1041" t="s">
        <v>40</v>
      </c>
      <c r="H1041" t="s">
        <v>75</v>
      </c>
      <c r="I1041" t="s">
        <v>2533</v>
      </c>
      <c r="J1041" s="7">
        <v>1686084</v>
      </c>
      <c r="K1041" t="s">
        <v>71</v>
      </c>
      <c r="L1041" t="s">
        <v>2527</v>
      </c>
      <c r="M1041" t="s">
        <v>24</v>
      </c>
      <c r="N1041" s="6" t="s">
        <v>2525</v>
      </c>
      <c r="O1041" t="s">
        <v>2531</v>
      </c>
      <c r="P1041">
        <f t="shared" si="16"/>
        <v>48</v>
      </c>
    </row>
    <row r="1042" spans="1:16" x14ac:dyDescent="0.2">
      <c r="A1042" t="s">
        <v>1503</v>
      </c>
      <c r="B1042" t="s">
        <v>150</v>
      </c>
      <c r="C1042" t="s">
        <v>92</v>
      </c>
      <c r="D1042" s="4">
        <v>30946</v>
      </c>
      <c r="E1042" s="4">
        <v>45302</v>
      </c>
      <c r="F1042" s="9">
        <v>45313</v>
      </c>
      <c r="G1042" t="s">
        <v>88</v>
      </c>
      <c r="H1042" t="s">
        <v>66</v>
      </c>
      <c r="I1042" t="s">
        <v>2535</v>
      </c>
      <c r="J1042" s="7">
        <v>1995000</v>
      </c>
      <c r="K1042" t="s">
        <v>43</v>
      </c>
      <c r="L1042" t="s">
        <v>23</v>
      </c>
      <c r="M1042" t="s">
        <v>78</v>
      </c>
      <c r="N1042" s="6">
        <v>11</v>
      </c>
      <c r="O1042" t="s">
        <v>36</v>
      </c>
      <c r="P1042">
        <f t="shared" si="16"/>
        <v>40</v>
      </c>
    </row>
    <row r="1043" spans="1:16" x14ac:dyDescent="0.2">
      <c r="A1043" t="s">
        <v>1505</v>
      </c>
      <c r="B1043" t="s">
        <v>45</v>
      </c>
      <c r="C1043" t="s">
        <v>92</v>
      </c>
      <c r="D1043" s="4">
        <v>19435</v>
      </c>
      <c r="E1043" s="4">
        <v>45423</v>
      </c>
      <c r="F1043" s="9">
        <v>45430</v>
      </c>
      <c r="G1043" t="s">
        <v>100</v>
      </c>
      <c r="H1043" t="s">
        <v>61</v>
      </c>
      <c r="I1043" t="s">
        <v>2533</v>
      </c>
      <c r="J1043" s="7">
        <v>4349116</v>
      </c>
      <c r="K1043" t="s">
        <v>71</v>
      </c>
      <c r="L1043" t="s">
        <v>2527</v>
      </c>
      <c r="M1043" t="s">
        <v>35</v>
      </c>
      <c r="N1043" s="6">
        <v>7</v>
      </c>
      <c r="O1043" t="s">
        <v>36</v>
      </c>
      <c r="P1043">
        <f t="shared" si="16"/>
        <v>71</v>
      </c>
    </row>
    <row r="1044" spans="1:16" x14ac:dyDescent="0.2">
      <c r="A1044" t="s">
        <v>2411</v>
      </c>
      <c r="B1044" t="s">
        <v>102</v>
      </c>
      <c r="C1044" t="s">
        <v>92</v>
      </c>
      <c r="D1044" s="4">
        <v>26845</v>
      </c>
      <c r="E1044" s="4">
        <v>45305</v>
      </c>
      <c r="F1044" s="9">
        <v>45320</v>
      </c>
      <c r="G1044" t="s">
        <v>74</v>
      </c>
      <c r="H1044" t="s">
        <v>2528</v>
      </c>
      <c r="I1044" t="s">
        <v>2535</v>
      </c>
      <c r="J1044" s="7">
        <v>5160096</v>
      </c>
      <c r="K1044" t="s">
        <v>71</v>
      </c>
      <c r="L1044" t="s">
        <v>34</v>
      </c>
      <c r="M1044" t="s">
        <v>35</v>
      </c>
      <c r="N1044" s="6">
        <v>15</v>
      </c>
      <c r="O1044" t="s">
        <v>2531</v>
      </c>
      <c r="P1044">
        <f t="shared" si="16"/>
        <v>51</v>
      </c>
    </row>
    <row r="1045" spans="1:16" x14ac:dyDescent="0.2">
      <c r="A1045" t="s">
        <v>2412</v>
      </c>
      <c r="B1045" t="s">
        <v>59</v>
      </c>
      <c r="C1045" t="s">
        <v>28</v>
      </c>
      <c r="D1045" s="4">
        <v>39355</v>
      </c>
      <c r="E1045" s="4">
        <v>45329</v>
      </c>
      <c r="F1045" s="9">
        <v>45338</v>
      </c>
      <c r="G1045" t="s">
        <v>40</v>
      </c>
      <c r="H1045" t="s">
        <v>75</v>
      </c>
      <c r="I1045" t="s">
        <v>2533</v>
      </c>
      <c r="J1045" s="7">
        <v>5182728</v>
      </c>
      <c r="K1045" t="s">
        <v>43</v>
      </c>
      <c r="L1045" t="s">
        <v>23</v>
      </c>
      <c r="M1045" t="s">
        <v>24</v>
      </c>
      <c r="N1045" s="6">
        <v>9</v>
      </c>
      <c r="O1045" t="s">
        <v>36</v>
      </c>
      <c r="P1045">
        <f t="shared" si="16"/>
        <v>17</v>
      </c>
    </row>
    <row r="1046" spans="1:16" x14ac:dyDescent="0.2">
      <c r="A1046" t="s">
        <v>2413</v>
      </c>
      <c r="B1046" t="s">
        <v>119</v>
      </c>
      <c r="C1046" t="s">
        <v>28</v>
      </c>
      <c r="D1046" s="4">
        <v>22617</v>
      </c>
      <c r="E1046" s="4">
        <v>45318</v>
      </c>
      <c r="F1046" s="9">
        <v>45329</v>
      </c>
      <c r="G1046" t="s">
        <v>60</v>
      </c>
      <c r="H1046" t="s">
        <v>66</v>
      </c>
      <c r="I1046" t="s">
        <v>67</v>
      </c>
      <c r="J1046" s="7">
        <v>656328</v>
      </c>
      <c r="K1046" t="s">
        <v>43</v>
      </c>
      <c r="L1046" t="s">
        <v>2527</v>
      </c>
      <c r="M1046" t="s">
        <v>24</v>
      </c>
      <c r="N1046" s="6">
        <v>11</v>
      </c>
      <c r="O1046" t="s">
        <v>36</v>
      </c>
      <c r="P1046">
        <f t="shared" si="16"/>
        <v>63</v>
      </c>
    </row>
    <row r="1047" spans="1:16" x14ac:dyDescent="0.2">
      <c r="A1047" t="s">
        <v>1511</v>
      </c>
      <c r="B1047" t="s">
        <v>51</v>
      </c>
      <c r="C1047" t="s">
        <v>39</v>
      </c>
      <c r="D1047" s="4">
        <v>36507</v>
      </c>
      <c r="E1047" s="4">
        <v>45443</v>
      </c>
      <c r="F1047" s="9">
        <v>45447</v>
      </c>
      <c r="G1047" t="s">
        <v>18</v>
      </c>
      <c r="H1047" t="s">
        <v>2529</v>
      </c>
      <c r="I1047" t="s">
        <v>67</v>
      </c>
      <c r="J1047" s="7">
        <v>1542748</v>
      </c>
      <c r="K1047" t="s">
        <v>43</v>
      </c>
      <c r="L1047" t="s">
        <v>2527</v>
      </c>
      <c r="M1047" t="s">
        <v>35</v>
      </c>
      <c r="N1047" s="6">
        <v>4</v>
      </c>
      <c r="O1047" t="s">
        <v>25</v>
      </c>
      <c r="P1047">
        <f t="shared" si="16"/>
        <v>25</v>
      </c>
    </row>
    <row r="1048" spans="1:16" x14ac:dyDescent="0.2">
      <c r="A1048" t="s">
        <v>2414</v>
      </c>
      <c r="B1048" t="s">
        <v>51</v>
      </c>
      <c r="C1048" t="s">
        <v>28</v>
      </c>
      <c r="D1048" s="4">
        <v>35207</v>
      </c>
      <c r="E1048" s="4">
        <v>45439</v>
      </c>
      <c r="F1048" s="9">
        <v>45441</v>
      </c>
      <c r="G1048" t="s">
        <v>74</v>
      </c>
      <c r="H1048" t="s">
        <v>2528</v>
      </c>
      <c r="I1048" t="s">
        <v>67</v>
      </c>
      <c r="J1048" s="7">
        <v>2153812</v>
      </c>
      <c r="K1048" t="s">
        <v>48</v>
      </c>
      <c r="L1048" t="s">
        <v>34</v>
      </c>
      <c r="M1048" t="s">
        <v>35</v>
      </c>
      <c r="N1048" s="6">
        <v>2</v>
      </c>
      <c r="O1048" t="s">
        <v>36</v>
      </c>
      <c r="P1048">
        <f t="shared" si="16"/>
        <v>28</v>
      </c>
    </row>
    <row r="1049" spans="1:16" x14ac:dyDescent="0.2">
      <c r="A1049" t="s">
        <v>2415</v>
      </c>
      <c r="B1049" t="s">
        <v>118</v>
      </c>
      <c r="C1049" t="s">
        <v>92</v>
      </c>
      <c r="D1049" s="4">
        <v>19748</v>
      </c>
      <c r="E1049" s="4">
        <v>45422</v>
      </c>
      <c r="F1049" s="9">
        <v>45424</v>
      </c>
      <c r="G1049" t="s">
        <v>40</v>
      </c>
      <c r="H1049" t="s">
        <v>75</v>
      </c>
      <c r="I1049" t="s">
        <v>41</v>
      </c>
      <c r="J1049" s="7">
        <v>2659260</v>
      </c>
      <c r="K1049" t="s">
        <v>48</v>
      </c>
      <c r="L1049" t="s">
        <v>2527</v>
      </c>
      <c r="M1049" t="s">
        <v>35</v>
      </c>
      <c r="N1049" s="6">
        <v>2</v>
      </c>
      <c r="O1049" t="s">
        <v>2531</v>
      </c>
      <c r="P1049">
        <f t="shared" si="16"/>
        <v>70</v>
      </c>
    </row>
    <row r="1050" spans="1:16" x14ac:dyDescent="0.2">
      <c r="A1050" t="s">
        <v>1516</v>
      </c>
      <c r="B1050" t="s">
        <v>27</v>
      </c>
      <c r="C1050" t="s">
        <v>92</v>
      </c>
      <c r="D1050" s="4">
        <v>28727</v>
      </c>
      <c r="E1050" s="4">
        <v>45456</v>
      </c>
      <c r="F1050" s="9">
        <v>45469</v>
      </c>
      <c r="G1050" t="s">
        <v>100</v>
      </c>
      <c r="H1050" t="s">
        <v>61</v>
      </c>
      <c r="I1050" t="s">
        <v>2533</v>
      </c>
      <c r="J1050" s="7">
        <v>4628244</v>
      </c>
      <c r="K1050" t="s">
        <v>48</v>
      </c>
      <c r="L1050" t="s">
        <v>2527</v>
      </c>
      <c r="M1050" t="s">
        <v>78</v>
      </c>
      <c r="N1050" s="6">
        <v>13</v>
      </c>
      <c r="O1050" t="s">
        <v>36</v>
      </c>
      <c r="P1050">
        <f t="shared" si="16"/>
        <v>46</v>
      </c>
    </row>
    <row r="1051" spans="1:16" x14ac:dyDescent="0.2">
      <c r="A1051" t="s">
        <v>2416</v>
      </c>
      <c r="B1051" t="s">
        <v>16</v>
      </c>
      <c r="C1051" t="s">
        <v>92</v>
      </c>
      <c r="D1051" s="4">
        <v>18383</v>
      </c>
      <c r="E1051" s="4">
        <v>45296</v>
      </c>
      <c r="F1051" s="9">
        <v>45303</v>
      </c>
      <c r="G1051" t="s">
        <v>88</v>
      </c>
      <c r="H1051" t="s">
        <v>66</v>
      </c>
      <c r="I1051" t="s">
        <v>41</v>
      </c>
      <c r="J1051" s="7">
        <v>2348500</v>
      </c>
      <c r="K1051" t="s">
        <v>43</v>
      </c>
      <c r="L1051" t="s">
        <v>2527</v>
      </c>
      <c r="M1051" t="s">
        <v>78</v>
      </c>
      <c r="N1051" s="6">
        <v>7</v>
      </c>
      <c r="O1051" t="s">
        <v>25</v>
      </c>
      <c r="P1051">
        <f t="shared" si="16"/>
        <v>74</v>
      </c>
    </row>
    <row r="1052" spans="1:16" x14ac:dyDescent="0.2">
      <c r="A1052" t="s">
        <v>2417</v>
      </c>
      <c r="B1052" t="s">
        <v>80</v>
      </c>
      <c r="C1052" t="s">
        <v>28</v>
      </c>
      <c r="D1052" s="4">
        <v>32447</v>
      </c>
      <c r="E1052" s="4">
        <v>45400</v>
      </c>
      <c r="F1052" s="9" t="s">
        <v>2536</v>
      </c>
      <c r="G1052" t="s">
        <v>88</v>
      </c>
      <c r="H1052" t="s">
        <v>66</v>
      </c>
      <c r="I1052" t="s">
        <v>2533</v>
      </c>
      <c r="J1052" s="7">
        <v>3006500</v>
      </c>
      <c r="K1052" t="s">
        <v>48</v>
      </c>
      <c r="L1052" t="s">
        <v>34</v>
      </c>
      <c r="M1052" t="s">
        <v>24</v>
      </c>
      <c r="N1052" s="6" t="s">
        <v>2525</v>
      </c>
      <c r="O1052" t="s">
        <v>36</v>
      </c>
      <c r="P1052">
        <f t="shared" si="16"/>
        <v>36</v>
      </c>
    </row>
    <row r="1053" spans="1:16" x14ac:dyDescent="0.2">
      <c r="A1053" t="s">
        <v>1522</v>
      </c>
      <c r="B1053" t="s">
        <v>114</v>
      </c>
      <c r="C1053" t="s">
        <v>92</v>
      </c>
      <c r="D1053" s="4">
        <v>28878</v>
      </c>
      <c r="E1053" s="4">
        <v>45394</v>
      </c>
      <c r="F1053" s="9">
        <v>45402</v>
      </c>
      <c r="G1053" t="s">
        <v>40</v>
      </c>
      <c r="H1053" t="s">
        <v>75</v>
      </c>
      <c r="I1053" t="s">
        <v>67</v>
      </c>
      <c r="J1053" s="7">
        <v>3213744</v>
      </c>
      <c r="K1053" t="s">
        <v>71</v>
      </c>
      <c r="L1053" t="s">
        <v>2527</v>
      </c>
      <c r="M1053" t="s">
        <v>24</v>
      </c>
      <c r="N1053" s="6">
        <v>8</v>
      </c>
      <c r="O1053" t="s">
        <v>2531</v>
      </c>
      <c r="P1053">
        <f t="shared" si="16"/>
        <v>45</v>
      </c>
    </row>
    <row r="1054" spans="1:16" x14ac:dyDescent="0.2">
      <c r="A1054" t="s">
        <v>1524</v>
      </c>
      <c r="B1054" t="s">
        <v>118</v>
      </c>
      <c r="C1054" t="s">
        <v>92</v>
      </c>
      <c r="D1054" s="4">
        <v>36858</v>
      </c>
      <c r="E1054" s="4">
        <v>45332</v>
      </c>
      <c r="F1054" s="9">
        <v>45345</v>
      </c>
      <c r="G1054" t="s">
        <v>40</v>
      </c>
      <c r="H1054" t="s">
        <v>75</v>
      </c>
      <c r="I1054" t="s">
        <v>2535</v>
      </c>
      <c r="J1054" s="7">
        <v>3722964</v>
      </c>
      <c r="K1054" t="s">
        <v>71</v>
      </c>
      <c r="L1054" t="s">
        <v>2527</v>
      </c>
      <c r="M1054" t="s">
        <v>24</v>
      </c>
      <c r="N1054" s="6">
        <v>13</v>
      </c>
      <c r="O1054" t="s">
        <v>25</v>
      </c>
      <c r="P1054">
        <f t="shared" si="16"/>
        <v>24</v>
      </c>
    </row>
    <row r="1055" spans="1:16" x14ac:dyDescent="0.2">
      <c r="A1055" t="s">
        <v>2418</v>
      </c>
      <c r="B1055" t="s">
        <v>119</v>
      </c>
      <c r="C1055" t="s">
        <v>28</v>
      </c>
      <c r="D1055" s="4">
        <v>24182</v>
      </c>
      <c r="E1055" s="4">
        <v>45408</v>
      </c>
      <c r="F1055" s="9">
        <v>45423</v>
      </c>
      <c r="G1055" t="s">
        <v>88</v>
      </c>
      <c r="H1055" t="s">
        <v>66</v>
      </c>
      <c r="I1055" t="s">
        <v>2535</v>
      </c>
      <c r="J1055" s="7">
        <v>2202848</v>
      </c>
      <c r="K1055" t="s">
        <v>48</v>
      </c>
      <c r="L1055" t="s">
        <v>34</v>
      </c>
      <c r="M1055" t="s">
        <v>35</v>
      </c>
      <c r="N1055" s="6">
        <v>15</v>
      </c>
      <c r="O1055" t="s">
        <v>36</v>
      </c>
      <c r="P1055">
        <f t="shared" si="16"/>
        <v>58</v>
      </c>
    </row>
    <row r="1056" spans="1:16" x14ac:dyDescent="0.2">
      <c r="A1056" t="s">
        <v>2419</v>
      </c>
      <c r="B1056" t="s">
        <v>105</v>
      </c>
      <c r="C1056" t="s">
        <v>92</v>
      </c>
      <c r="D1056" s="4">
        <v>36583</v>
      </c>
      <c r="E1056" s="4">
        <v>45389</v>
      </c>
      <c r="F1056" s="9">
        <v>45391</v>
      </c>
      <c r="G1056" t="s">
        <v>18</v>
      </c>
      <c r="H1056" t="s">
        <v>2529</v>
      </c>
      <c r="I1056" t="s">
        <v>67</v>
      </c>
      <c r="J1056" s="7">
        <v>939228</v>
      </c>
      <c r="K1056" t="s">
        <v>48</v>
      </c>
      <c r="L1056" t="s">
        <v>2527</v>
      </c>
      <c r="M1056" t="s">
        <v>24</v>
      </c>
      <c r="N1056" s="6">
        <v>2</v>
      </c>
      <c r="O1056" t="s">
        <v>36</v>
      </c>
      <c r="P1056">
        <f t="shared" si="16"/>
        <v>24</v>
      </c>
    </row>
    <row r="1057" spans="1:16" x14ac:dyDescent="0.2">
      <c r="A1057" t="s">
        <v>2420</v>
      </c>
      <c r="B1057" t="s">
        <v>114</v>
      </c>
      <c r="C1057" t="s">
        <v>92</v>
      </c>
      <c r="D1057" s="4">
        <v>21220</v>
      </c>
      <c r="E1057" s="4">
        <v>45416</v>
      </c>
      <c r="F1057" s="9">
        <v>45419</v>
      </c>
      <c r="G1057" t="s">
        <v>74</v>
      </c>
      <c r="H1057" t="s">
        <v>2528</v>
      </c>
      <c r="I1057" t="s">
        <v>2534</v>
      </c>
      <c r="J1057" s="7">
        <v>5356240</v>
      </c>
      <c r="K1057" t="s">
        <v>48</v>
      </c>
      <c r="L1057" t="s">
        <v>34</v>
      </c>
      <c r="M1057" t="s">
        <v>24</v>
      </c>
      <c r="N1057" s="6">
        <v>3</v>
      </c>
      <c r="O1057" t="s">
        <v>25</v>
      </c>
      <c r="P1057">
        <f t="shared" si="16"/>
        <v>66</v>
      </c>
    </row>
    <row r="1058" spans="1:16" x14ac:dyDescent="0.2">
      <c r="A1058" t="s">
        <v>2421</v>
      </c>
      <c r="B1058" t="s">
        <v>38</v>
      </c>
      <c r="C1058" t="s">
        <v>28</v>
      </c>
      <c r="D1058" s="4">
        <v>23595</v>
      </c>
      <c r="E1058" s="4">
        <v>45446</v>
      </c>
      <c r="F1058" s="9">
        <v>45456</v>
      </c>
      <c r="G1058" t="s">
        <v>100</v>
      </c>
      <c r="H1058" t="s">
        <v>61</v>
      </c>
      <c r="I1058" t="s">
        <v>41</v>
      </c>
      <c r="J1058" s="7">
        <v>2243500</v>
      </c>
      <c r="K1058" t="s">
        <v>48</v>
      </c>
      <c r="L1058" t="s">
        <v>23</v>
      </c>
      <c r="M1058" t="s">
        <v>35</v>
      </c>
      <c r="N1058" s="6">
        <v>10</v>
      </c>
      <c r="O1058" t="s">
        <v>2531</v>
      </c>
      <c r="P1058">
        <f t="shared" si="16"/>
        <v>60</v>
      </c>
    </row>
    <row r="1059" spans="1:16" x14ac:dyDescent="0.2">
      <c r="A1059" t="s">
        <v>2422</v>
      </c>
      <c r="B1059" t="s">
        <v>102</v>
      </c>
      <c r="C1059" t="s">
        <v>28</v>
      </c>
      <c r="D1059" s="4">
        <v>19750</v>
      </c>
      <c r="E1059" s="4">
        <v>45403</v>
      </c>
      <c r="F1059" s="9" t="s">
        <v>2536</v>
      </c>
      <c r="G1059" t="s">
        <v>18</v>
      </c>
      <c r="H1059" t="s">
        <v>2529</v>
      </c>
      <c r="I1059" t="s">
        <v>67</v>
      </c>
      <c r="J1059" s="7">
        <v>3209972</v>
      </c>
      <c r="K1059" t="s">
        <v>48</v>
      </c>
      <c r="L1059" t="s">
        <v>34</v>
      </c>
      <c r="M1059" t="s">
        <v>24</v>
      </c>
      <c r="N1059" s="6" t="s">
        <v>2525</v>
      </c>
      <c r="O1059" t="s">
        <v>2531</v>
      </c>
      <c r="P1059">
        <f t="shared" si="16"/>
        <v>70</v>
      </c>
    </row>
    <row r="1060" spans="1:16" x14ac:dyDescent="0.2">
      <c r="A1060" t="s">
        <v>2423</v>
      </c>
      <c r="B1060" t="s">
        <v>91</v>
      </c>
      <c r="C1060" t="s">
        <v>28</v>
      </c>
      <c r="D1060" s="4">
        <v>29476</v>
      </c>
      <c r="E1060" s="4">
        <v>45362</v>
      </c>
      <c r="F1060" s="9">
        <v>45366</v>
      </c>
      <c r="G1060" t="s">
        <v>60</v>
      </c>
      <c r="H1060" t="s">
        <v>66</v>
      </c>
      <c r="I1060" t="s">
        <v>41</v>
      </c>
      <c r="J1060" s="7">
        <v>4005864</v>
      </c>
      <c r="K1060" t="s">
        <v>43</v>
      </c>
      <c r="L1060" t="s">
        <v>23</v>
      </c>
      <c r="M1060" t="s">
        <v>24</v>
      </c>
      <c r="N1060" s="6">
        <v>4</v>
      </c>
      <c r="O1060" t="s">
        <v>2531</v>
      </c>
      <c r="P1060">
        <f t="shared" si="16"/>
        <v>44</v>
      </c>
    </row>
    <row r="1061" spans="1:16" x14ac:dyDescent="0.2">
      <c r="A1061" t="s">
        <v>2424</v>
      </c>
      <c r="B1061" t="s">
        <v>64</v>
      </c>
      <c r="C1061" t="s">
        <v>92</v>
      </c>
      <c r="D1061" s="4">
        <v>21179</v>
      </c>
      <c r="E1061" s="4">
        <v>45425</v>
      </c>
      <c r="F1061" s="9">
        <v>45430</v>
      </c>
      <c r="G1061" t="s">
        <v>50</v>
      </c>
      <c r="H1061" t="s">
        <v>2528</v>
      </c>
      <c r="I1061" t="s">
        <v>67</v>
      </c>
      <c r="J1061" s="7">
        <v>3617348</v>
      </c>
      <c r="K1061" t="s">
        <v>71</v>
      </c>
      <c r="L1061" t="s">
        <v>2527</v>
      </c>
      <c r="M1061" t="s">
        <v>35</v>
      </c>
      <c r="N1061" s="6">
        <v>5</v>
      </c>
      <c r="O1061" t="s">
        <v>36</v>
      </c>
      <c r="P1061">
        <f t="shared" si="16"/>
        <v>67</v>
      </c>
    </row>
    <row r="1062" spans="1:16" x14ac:dyDescent="0.2">
      <c r="A1062" t="s">
        <v>2425</v>
      </c>
      <c r="B1062" t="s">
        <v>80</v>
      </c>
      <c r="C1062" t="s">
        <v>92</v>
      </c>
      <c r="D1062" s="4">
        <v>22070</v>
      </c>
      <c r="E1062" s="4">
        <v>45292</v>
      </c>
      <c r="F1062" s="9">
        <v>45307</v>
      </c>
      <c r="G1062" t="s">
        <v>72</v>
      </c>
      <c r="H1062" t="s">
        <v>2529</v>
      </c>
      <c r="I1062" t="s">
        <v>2533</v>
      </c>
      <c r="J1062" s="7">
        <v>1810560</v>
      </c>
      <c r="K1062" t="s">
        <v>48</v>
      </c>
      <c r="L1062" t="s">
        <v>34</v>
      </c>
      <c r="M1062" t="s">
        <v>24</v>
      </c>
      <c r="N1062" s="6">
        <v>15</v>
      </c>
      <c r="O1062" t="s">
        <v>36</v>
      </c>
      <c r="P1062">
        <f t="shared" si="16"/>
        <v>64</v>
      </c>
    </row>
    <row r="1063" spans="1:16" x14ac:dyDescent="0.2">
      <c r="A1063" t="s">
        <v>1530</v>
      </c>
      <c r="B1063" t="s">
        <v>119</v>
      </c>
      <c r="C1063" t="s">
        <v>28</v>
      </c>
      <c r="D1063" s="4">
        <v>24804</v>
      </c>
      <c r="E1063" s="4">
        <v>45300</v>
      </c>
      <c r="F1063" s="9" t="s">
        <v>2536</v>
      </c>
      <c r="G1063" t="s">
        <v>29</v>
      </c>
      <c r="H1063" t="s">
        <v>19</v>
      </c>
      <c r="I1063" t="s">
        <v>2533</v>
      </c>
      <c r="J1063" s="7">
        <v>5631596</v>
      </c>
      <c r="K1063" t="s">
        <v>48</v>
      </c>
      <c r="L1063" t="s">
        <v>2527</v>
      </c>
      <c r="M1063" t="s">
        <v>78</v>
      </c>
      <c r="N1063" s="6" t="s">
        <v>2525</v>
      </c>
      <c r="O1063" t="s">
        <v>2531</v>
      </c>
      <c r="P1063">
        <f t="shared" si="16"/>
        <v>57</v>
      </c>
    </row>
    <row r="1064" spans="1:16" x14ac:dyDescent="0.2">
      <c r="A1064" t="s">
        <v>1532</v>
      </c>
      <c r="B1064" t="s">
        <v>105</v>
      </c>
      <c r="C1064" t="s">
        <v>92</v>
      </c>
      <c r="D1064" s="4">
        <v>28496</v>
      </c>
      <c r="E1064" s="4">
        <v>45470</v>
      </c>
      <c r="F1064" s="9">
        <v>45481</v>
      </c>
      <c r="G1064" t="s">
        <v>18</v>
      </c>
      <c r="H1064" t="s">
        <v>2529</v>
      </c>
      <c r="I1064" t="s">
        <v>2533</v>
      </c>
      <c r="J1064" s="7">
        <v>3568312</v>
      </c>
      <c r="K1064" t="s">
        <v>71</v>
      </c>
      <c r="L1064" t="s">
        <v>2527</v>
      </c>
      <c r="M1064" t="s">
        <v>35</v>
      </c>
      <c r="N1064" s="6">
        <v>11</v>
      </c>
      <c r="O1064" t="s">
        <v>36</v>
      </c>
      <c r="P1064">
        <f t="shared" si="16"/>
        <v>46</v>
      </c>
    </row>
    <row r="1065" spans="1:16" x14ac:dyDescent="0.2">
      <c r="A1065" t="s">
        <v>1534</v>
      </c>
      <c r="B1065" t="s">
        <v>82</v>
      </c>
      <c r="C1065" t="s">
        <v>39</v>
      </c>
      <c r="D1065" s="4">
        <v>21150</v>
      </c>
      <c r="E1065" s="4">
        <v>45413</v>
      </c>
      <c r="F1065" s="9">
        <v>45426</v>
      </c>
      <c r="G1065" t="s">
        <v>50</v>
      </c>
      <c r="H1065" t="s">
        <v>2528</v>
      </c>
      <c r="I1065" t="s">
        <v>2534</v>
      </c>
      <c r="J1065" s="7">
        <v>920368</v>
      </c>
      <c r="K1065" t="s">
        <v>48</v>
      </c>
      <c r="L1065" t="s">
        <v>2527</v>
      </c>
      <c r="M1065" t="s">
        <v>35</v>
      </c>
      <c r="N1065" s="6">
        <v>13</v>
      </c>
      <c r="O1065" t="s">
        <v>2531</v>
      </c>
      <c r="P1065">
        <f t="shared" si="16"/>
        <v>67</v>
      </c>
    </row>
    <row r="1066" spans="1:16" x14ac:dyDescent="0.2">
      <c r="A1066" t="s">
        <v>2426</v>
      </c>
      <c r="B1066" t="s">
        <v>85</v>
      </c>
      <c r="C1066" t="s">
        <v>28</v>
      </c>
      <c r="D1066" s="4">
        <v>25531</v>
      </c>
      <c r="E1066" s="4">
        <v>45309</v>
      </c>
      <c r="F1066" s="9">
        <v>45313</v>
      </c>
      <c r="G1066" t="s">
        <v>100</v>
      </c>
      <c r="H1066" t="s">
        <v>61</v>
      </c>
      <c r="I1066" t="s">
        <v>2535</v>
      </c>
      <c r="J1066" s="7">
        <v>2082500</v>
      </c>
      <c r="K1066" t="s">
        <v>48</v>
      </c>
      <c r="L1066" t="s">
        <v>2527</v>
      </c>
      <c r="M1066" t="s">
        <v>24</v>
      </c>
      <c r="N1066" s="6">
        <v>4</v>
      </c>
      <c r="O1066" t="s">
        <v>36</v>
      </c>
      <c r="P1066">
        <f t="shared" si="16"/>
        <v>55</v>
      </c>
    </row>
    <row r="1067" spans="1:16" x14ac:dyDescent="0.2">
      <c r="A1067" t="s">
        <v>2427</v>
      </c>
      <c r="B1067" t="s">
        <v>82</v>
      </c>
      <c r="C1067" t="s">
        <v>92</v>
      </c>
      <c r="D1067" s="4">
        <v>32330</v>
      </c>
      <c r="E1067" s="4">
        <v>45341</v>
      </c>
      <c r="F1067" s="9">
        <v>45346</v>
      </c>
      <c r="G1067" t="s">
        <v>40</v>
      </c>
      <c r="H1067" t="s">
        <v>75</v>
      </c>
      <c r="I1067" t="s">
        <v>67</v>
      </c>
      <c r="J1067" s="7">
        <v>4270000</v>
      </c>
      <c r="K1067" t="s">
        <v>48</v>
      </c>
      <c r="L1067" t="s">
        <v>2527</v>
      </c>
      <c r="M1067" t="s">
        <v>35</v>
      </c>
      <c r="N1067" s="6">
        <v>5</v>
      </c>
      <c r="O1067" t="s">
        <v>2531</v>
      </c>
      <c r="P1067">
        <f t="shared" si="16"/>
        <v>36</v>
      </c>
    </row>
    <row r="1068" spans="1:16" x14ac:dyDescent="0.2">
      <c r="A1068" t="s">
        <v>2428</v>
      </c>
      <c r="B1068" t="s">
        <v>118</v>
      </c>
      <c r="C1068" t="s">
        <v>28</v>
      </c>
      <c r="D1068" s="4">
        <v>35965</v>
      </c>
      <c r="E1068" s="4">
        <v>45376</v>
      </c>
      <c r="F1068" s="9" t="s">
        <v>2536</v>
      </c>
      <c r="G1068" t="s">
        <v>100</v>
      </c>
      <c r="H1068" t="s">
        <v>61</v>
      </c>
      <c r="I1068" t="s">
        <v>2534</v>
      </c>
      <c r="J1068" s="7">
        <v>761944</v>
      </c>
      <c r="K1068" t="s">
        <v>48</v>
      </c>
      <c r="L1068" t="s">
        <v>2527</v>
      </c>
      <c r="M1068" t="s">
        <v>24</v>
      </c>
      <c r="N1068" s="6" t="s">
        <v>2525</v>
      </c>
      <c r="O1068" t="s">
        <v>36</v>
      </c>
      <c r="P1068">
        <f t="shared" si="16"/>
        <v>26</v>
      </c>
    </row>
    <row r="1069" spans="1:16" x14ac:dyDescent="0.2">
      <c r="A1069" t="s">
        <v>2429</v>
      </c>
      <c r="B1069" t="s">
        <v>140</v>
      </c>
      <c r="C1069" t="s">
        <v>28</v>
      </c>
      <c r="D1069" s="4">
        <v>36763</v>
      </c>
      <c r="E1069" s="4">
        <v>45294</v>
      </c>
      <c r="F1069" s="9">
        <v>45300</v>
      </c>
      <c r="G1069" t="s">
        <v>74</v>
      </c>
      <c r="H1069" t="s">
        <v>2528</v>
      </c>
      <c r="I1069" t="s">
        <v>2533</v>
      </c>
      <c r="J1069" s="7">
        <v>4858000</v>
      </c>
      <c r="K1069" t="s">
        <v>48</v>
      </c>
      <c r="L1069" t="s">
        <v>34</v>
      </c>
      <c r="M1069" t="s">
        <v>35</v>
      </c>
      <c r="N1069" s="6">
        <v>6</v>
      </c>
      <c r="O1069" t="s">
        <v>25</v>
      </c>
      <c r="P1069">
        <f t="shared" si="16"/>
        <v>24</v>
      </c>
    </row>
    <row r="1070" spans="1:16" x14ac:dyDescent="0.2">
      <c r="A1070" t="s">
        <v>1539</v>
      </c>
      <c r="B1070" t="s">
        <v>114</v>
      </c>
      <c r="C1070" t="s">
        <v>39</v>
      </c>
      <c r="D1070" s="4">
        <v>34894</v>
      </c>
      <c r="E1070" s="4">
        <v>45316</v>
      </c>
      <c r="F1070" s="9" t="s">
        <v>2536</v>
      </c>
      <c r="G1070" t="s">
        <v>60</v>
      </c>
      <c r="H1070" t="s">
        <v>66</v>
      </c>
      <c r="I1070" t="s">
        <v>2533</v>
      </c>
      <c r="J1070" s="7">
        <v>5642912</v>
      </c>
      <c r="K1070" t="s">
        <v>48</v>
      </c>
      <c r="L1070" t="s">
        <v>23</v>
      </c>
      <c r="M1070" t="s">
        <v>35</v>
      </c>
      <c r="N1070" s="6" t="s">
        <v>2525</v>
      </c>
      <c r="O1070" t="s">
        <v>2531</v>
      </c>
      <c r="P1070">
        <f t="shared" si="16"/>
        <v>29</v>
      </c>
    </row>
    <row r="1071" spans="1:16" x14ac:dyDescent="0.2">
      <c r="A1071" t="s">
        <v>2430</v>
      </c>
      <c r="B1071" t="s">
        <v>102</v>
      </c>
      <c r="C1071" t="s">
        <v>28</v>
      </c>
      <c r="D1071" s="4">
        <v>28590</v>
      </c>
      <c r="E1071" s="4">
        <v>45470</v>
      </c>
      <c r="F1071" s="9">
        <v>45471</v>
      </c>
      <c r="G1071" t="s">
        <v>72</v>
      </c>
      <c r="H1071" t="s">
        <v>2529</v>
      </c>
      <c r="I1071" t="s">
        <v>67</v>
      </c>
      <c r="J1071" s="7">
        <v>3486000</v>
      </c>
      <c r="K1071" t="s">
        <v>43</v>
      </c>
      <c r="L1071" t="s">
        <v>2527</v>
      </c>
      <c r="M1071" t="s">
        <v>35</v>
      </c>
      <c r="N1071" s="6">
        <v>1</v>
      </c>
      <c r="O1071" t="s">
        <v>36</v>
      </c>
      <c r="P1071">
        <f t="shared" si="16"/>
        <v>46</v>
      </c>
    </row>
    <row r="1072" spans="1:16" x14ac:dyDescent="0.2">
      <c r="A1072" t="s">
        <v>2431</v>
      </c>
      <c r="B1072" t="s">
        <v>80</v>
      </c>
      <c r="C1072" t="s">
        <v>92</v>
      </c>
      <c r="D1072" s="4">
        <v>28733</v>
      </c>
      <c r="E1072" s="4">
        <v>45378</v>
      </c>
      <c r="F1072" s="9">
        <v>45393</v>
      </c>
      <c r="G1072" t="s">
        <v>83</v>
      </c>
      <c r="H1072" t="s">
        <v>66</v>
      </c>
      <c r="I1072" t="s">
        <v>2534</v>
      </c>
      <c r="J1072" s="7">
        <v>4564000</v>
      </c>
      <c r="K1072" t="s">
        <v>71</v>
      </c>
      <c r="L1072" t="s">
        <v>2527</v>
      </c>
      <c r="M1072" t="s">
        <v>35</v>
      </c>
      <c r="N1072" s="6">
        <v>15</v>
      </c>
      <c r="O1072" t="s">
        <v>36</v>
      </c>
      <c r="P1072">
        <f t="shared" si="16"/>
        <v>46</v>
      </c>
    </row>
    <row r="1073" spans="1:16" x14ac:dyDescent="0.2">
      <c r="A1073" t="s">
        <v>1544</v>
      </c>
      <c r="B1073" t="s">
        <v>114</v>
      </c>
      <c r="C1073" t="s">
        <v>28</v>
      </c>
      <c r="D1073" s="4">
        <v>24531</v>
      </c>
      <c r="E1073" s="4">
        <v>45410</v>
      </c>
      <c r="F1073" s="9">
        <v>45422</v>
      </c>
      <c r="G1073" t="s">
        <v>72</v>
      </c>
      <c r="H1073" t="s">
        <v>2529</v>
      </c>
      <c r="I1073" t="s">
        <v>67</v>
      </c>
      <c r="J1073" s="7">
        <v>5522208</v>
      </c>
      <c r="K1073" t="s">
        <v>48</v>
      </c>
      <c r="L1073" t="s">
        <v>34</v>
      </c>
      <c r="M1073" t="s">
        <v>78</v>
      </c>
      <c r="N1073" s="6">
        <v>12</v>
      </c>
      <c r="O1073" t="s">
        <v>2531</v>
      </c>
      <c r="P1073">
        <f t="shared" si="16"/>
        <v>57</v>
      </c>
    </row>
    <row r="1074" spans="1:16" x14ac:dyDescent="0.2">
      <c r="A1074" t="s">
        <v>2432</v>
      </c>
      <c r="B1074" t="s">
        <v>51</v>
      </c>
      <c r="C1074" t="s">
        <v>92</v>
      </c>
      <c r="D1074" s="4">
        <v>18663</v>
      </c>
      <c r="E1074" s="4">
        <v>45468</v>
      </c>
      <c r="F1074" s="9" t="s">
        <v>2536</v>
      </c>
      <c r="G1074" t="s">
        <v>83</v>
      </c>
      <c r="H1074" t="s">
        <v>66</v>
      </c>
      <c r="I1074" t="s">
        <v>67</v>
      </c>
      <c r="J1074" s="7">
        <v>2033108</v>
      </c>
      <c r="K1074" t="s">
        <v>48</v>
      </c>
      <c r="L1074" t="s">
        <v>2527</v>
      </c>
      <c r="M1074" t="s">
        <v>35</v>
      </c>
      <c r="N1074" s="6" t="s">
        <v>2525</v>
      </c>
      <c r="O1074" t="s">
        <v>36</v>
      </c>
      <c r="P1074">
        <f t="shared" si="16"/>
        <v>73</v>
      </c>
    </row>
    <row r="1075" spans="1:16" x14ac:dyDescent="0.2">
      <c r="A1075" t="s">
        <v>2433</v>
      </c>
      <c r="B1075" t="s">
        <v>85</v>
      </c>
      <c r="C1075" t="s">
        <v>92</v>
      </c>
      <c r="D1075" s="4">
        <v>25518</v>
      </c>
      <c r="E1075" s="4">
        <v>45449</v>
      </c>
      <c r="F1075" s="9">
        <v>45455</v>
      </c>
      <c r="G1075" t="s">
        <v>50</v>
      </c>
      <c r="H1075" t="s">
        <v>2528</v>
      </c>
      <c r="I1075" t="s">
        <v>2534</v>
      </c>
      <c r="J1075" s="7">
        <v>4413500</v>
      </c>
      <c r="K1075" t="s">
        <v>48</v>
      </c>
      <c r="L1075" t="s">
        <v>34</v>
      </c>
      <c r="M1075" t="s">
        <v>78</v>
      </c>
      <c r="N1075" s="6">
        <v>6</v>
      </c>
      <c r="O1075" t="s">
        <v>25</v>
      </c>
      <c r="P1075">
        <f t="shared" si="16"/>
        <v>55</v>
      </c>
    </row>
    <row r="1076" spans="1:16" x14ac:dyDescent="0.2">
      <c r="A1076" t="s">
        <v>2434</v>
      </c>
      <c r="B1076" t="s">
        <v>56</v>
      </c>
      <c r="C1076" t="s">
        <v>92</v>
      </c>
      <c r="D1076" s="4">
        <v>37191</v>
      </c>
      <c r="E1076" s="4">
        <v>45456</v>
      </c>
      <c r="F1076" s="9">
        <v>45463</v>
      </c>
      <c r="G1076" t="s">
        <v>74</v>
      </c>
      <c r="H1076" t="s">
        <v>2528</v>
      </c>
      <c r="I1076" t="s">
        <v>2533</v>
      </c>
      <c r="J1076" s="7">
        <v>3768228</v>
      </c>
      <c r="K1076" t="s">
        <v>48</v>
      </c>
      <c r="L1076" t="s">
        <v>34</v>
      </c>
      <c r="M1076" t="s">
        <v>24</v>
      </c>
      <c r="N1076" s="6">
        <v>7</v>
      </c>
      <c r="O1076" t="s">
        <v>2531</v>
      </c>
      <c r="P1076">
        <f t="shared" si="16"/>
        <v>23</v>
      </c>
    </row>
    <row r="1077" spans="1:16" x14ac:dyDescent="0.2">
      <c r="A1077" t="s">
        <v>2435</v>
      </c>
      <c r="B1077" t="s">
        <v>87</v>
      </c>
      <c r="C1077" t="s">
        <v>28</v>
      </c>
      <c r="D1077" s="4">
        <v>25401</v>
      </c>
      <c r="E1077" s="4">
        <v>45437</v>
      </c>
      <c r="F1077" s="9">
        <v>45449</v>
      </c>
      <c r="G1077" t="s">
        <v>50</v>
      </c>
      <c r="H1077" t="s">
        <v>2528</v>
      </c>
      <c r="I1077" t="s">
        <v>67</v>
      </c>
      <c r="J1077" s="7">
        <v>3409888</v>
      </c>
      <c r="K1077" t="s">
        <v>71</v>
      </c>
      <c r="L1077" t="s">
        <v>2527</v>
      </c>
      <c r="M1077" t="s">
        <v>35</v>
      </c>
      <c r="N1077" s="6">
        <v>12</v>
      </c>
      <c r="O1077" t="s">
        <v>25</v>
      </c>
      <c r="P1077">
        <f t="shared" si="16"/>
        <v>55</v>
      </c>
    </row>
    <row r="1078" spans="1:16" x14ac:dyDescent="0.2">
      <c r="A1078" t="s">
        <v>1549</v>
      </c>
      <c r="B1078" t="s">
        <v>102</v>
      </c>
      <c r="C1078" t="s">
        <v>39</v>
      </c>
      <c r="D1078" s="4">
        <v>18626</v>
      </c>
      <c r="E1078" s="4">
        <v>45418</v>
      </c>
      <c r="F1078" s="9">
        <v>45424</v>
      </c>
      <c r="G1078" t="s">
        <v>46</v>
      </c>
      <c r="H1078" t="s">
        <v>30</v>
      </c>
      <c r="I1078" t="s">
        <v>67</v>
      </c>
      <c r="J1078" s="7">
        <v>2583820</v>
      </c>
      <c r="K1078" t="s">
        <v>71</v>
      </c>
      <c r="L1078" t="s">
        <v>2527</v>
      </c>
      <c r="M1078" t="s">
        <v>35</v>
      </c>
      <c r="N1078" s="6">
        <v>6</v>
      </c>
      <c r="O1078" t="s">
        <v>25</v>
      </c>
      <c r="P1078">
        <f t="shared" si="16"/>
        <v>74</v>
      </c>
    </row>
    <row r="1079" spans="1:16" x14ac:dyDescent="0.2">
      <c r="A1079" t="s">
        <v>2436</v>
      </c>
      <c r="B1079" t="s">
        <v>119</v>
      </c>
      <c r="C1079" t="s">
        <v>28</v>
      </c>
      <c r="D1079" s="4">
        <v>23161</v>
      </c>
      <c r="E1079" s="4">
        <v>45348</v>
      </c>
      <c r="F1079" s="9">
        <v>45350</v>
      </c>
      <c r="G1079" t="s">
        <v>88</v>
      </c>
      <c r="H1079" t="s">
        <v>66</v>
      </c>
      <c r="I1079" t="s">
        <v>41</v>
      </c>
      <c r="J1079" s="7">
        <v>622380</v>
      </c>
      <c r="K1079" t="s">
        <v>71</v>
      </c>
      <c r="L1079" t="s">
        <v>34</v>
      </c>
      <c r="M1079" t="s">
        <v>78</v>
      </c>
      <c r="N1079" s="6">
        <v>2</v>
      </c>
      <c r="O1079" t="s">
        <v>2531</v>
      </c>
      <c r="P1079">
        <f t="shared" si="16"/>
        <v>61</v>
      </c>
    </row>
    <row r="1080" spans="1:16" x14ac:dyDescent="0.2">
      <c r="A1080" t="s">
        <v>2437</v>
      </c>
      <c r="B1080" t="s">
        <v>27</v>
      </c>
      <c r="C1080" t="s">
        <v>28</v>
      </c>
      <c r="D1080" s="4">
        <v>34989</v>
      </c>
      <c r="E1080" s="4">
        <v>45354</v>
      </c>
      <c r="F1080" s="9">
        <v>45369</v>
      </c>
      <c r="G1080" t="s">
        <v>74</v>
      </c>
      <c r="H1080" t="s">
        <v>2528</v>
      </c>
      <c r="I1080" t="s">
        <v>2533</v>
      </c>
      <c r="J1080" s="7">
        <v>3805948</v>
      </c>
      <c r="K1080" t="s">
        <v>48</v>
      </c>
      <c r="L1080" t="s">
        <v>34</v>
      </c>
      <c r="M1080" t="s">
        <v>78</v>
      </c>
      <c r="N1080" s="6">
        <v>15</v>
      </c>
      <c r="O1080" t="s">
        <v>36</v>
      </c>
      <c r="P1080">
        <f t="shared" si="16"/>
        <v>29</v>
      </c>
    </row>
    <row r="1081" spans="1:16" x14ac:dyDescent="0.2">
      <c r="A1081" t="s">
        <v>2438</v>
      </c>
      <c r="B1081" t="s">
        <v>119</v>
      </c>
      <c r="C1081" t="s">
        <v>92</v>
      </c>
      <c r="D1081" s="4">
        <v>36058</v>
      </c>
      <c r="E1081" s="4">
        <v>45374</v>
      </c>
      <c r="F1081" s="9" t="s">
        <v>2536</v>
      </c>
      <c r="G1081" t="s">
        <v>18</v>
      </c>
      <c r="H1081" t="s">
        <v>2529</v>
      </c>
      <c r="I1081" t="s">
        <v>2535</v>
      </c>
      <c r="J1081" s="7">
        <v>3384500</v>
      </c>
      <c r="K1081" t="s">
        <v>48</v>
      </c>
      <c r="L1081" t="s">
        <v>2527</v>
      </c>
      <c r="M1081" t="s">
        <v>35</v>
      </c>
      <c r="N1081" s="6" t="s">
        <v>2525</v>
      </c>
      <c r="O1081" t="s">
        <v>25</v>
      </c>
      <c r="P1081">
        <f t="shared" si="16"/>
        <v>26</v>
      </c>
    </row>
    <row r="1082" spans="1:16" x14ac:dyDescent="0.2">
      <c r="A1082" t="s">
        <v>2439</v>
      </c>
      <c r="B1082" t="s">
        <v>140</v>
      </c>
      <c r="C1082" t="s">
        <v>39</v>
      </c>
      <c r="D1082" s="4">
        <v>18541</v>
      </c>
      <c r="E1082" s="4">
        <v>45409</v>
      </c>
      <c r="F1082" s="9">
        <v>45412</v>
      </c>
      <c r="G1082" t="s">
        <v>60</v>
      </c>
      <c r="H1082" t="s">
        <v>66</v>
      </c>
      <c r="I1082" t="s">
        <v>2533</v>
      </c>
      <c r="J1082" s="7">
        <v>565800</v>
      </c>
      <c r="K1082" t="s">
        <v>48</v>
      </c>
      <c r="L1082" t="s">
        <v>2527</v>
      </c>
      <c r="M1082" t="s">
        <v>35</v>
      </c>
      <c r="N1082" s="6">
        <v>3</v>
      </c>
      <c r="O1082" t="s">
        <v>36</v>
      </c>
      <c r="P1082">
        <f t="shared" si="16"/>
        <v>74</v>
      </c>
    </row>
    <row r="1083" spans="1:16" x14ac:dyDescent="0.2">
      <c r="A1083" t="s">
        <v>1557</v>
      </c>
      <c r="B1083" t="s">
        <v>91</v>
      </c>
      <c r="C1083" t="s">
        <v>28</v>
      </c>
      <c r="D1083" s="4">
        <v>36310</v>
      </c>
      <c r="E1083" s="4">
        <v>45338</v>
      </c>
      <c r="F1083" s="9">
        <v>45341</v>
      </c>
      <c r="G1083" t="s">
        <v>72</v>
      </c>
      <c r="H1083" t="s">
        <v>2529</v>
      </c>
      <c r="I1083" t="s">
        <v>2535</v>
      </c>
      <c r="J1083" s="7">
        <v>5476944</v>
      </c>
      <c r="K1083" t="s">
        <v>48</v>
      </c>
      <c r="L1083" t="s">
        <v>2527</v>
      </c>
      <c r="M1083" t="s">
        <v>24</v>
      </c>
      <c r="N1083" s="6">
        <v>3</v>
      </c>
      <c r="O1083" t="s">
        <v>2531</v>
      </c>
      <c r="P1083">
        <f t="shared" si="16"/>
        <v>25</v>
      </c>
    </row>
    <row r="1084" spans="1:16" x14ac:dyDescent="0.2">
      <c r="A1084" t="s">
        <v>2440</v>
      </c>
      <c r="B1084" t="s">
        <v>64</v>
      </c>
      <c r="C1084" t="s">
        <v>28</v>
      </c>
      <c r="D1084" s="4">
        <v>30258</v>
      </c>
      <c r="E1084" s="4">
        <v>45403</v>
      </c>
      <c r="F1084" s="9">
        <v>45412</v>
      </c>
      <c r="G1084" t="s">
        <v>50</v>
      </c>
      <c r="H1084" t="s">
        <v>2528</v>
      </c>
      <c r="I1084" t="s">
        <v>2533</v>
      </c>
      <c r="J1084" s="7">
        <v>2942160</v>
      </c>
      <c r="K1084" t="s">
        <v>43</v>
      </c>
      <c r="L1084" t="s">
        <v>2527</v>
      </c>
      <c r="M1084" t="s">
        <v>24</v>
      </c>
      <c r="N1084" s="6">
        <v>9</v>
      </c>
      <c r="O1084" t="s">
        <v>36</v>
      </c>
      <c r="P1084">
        <f t="shared" si="16"/>
        <v>42</v>
      </c>
    </row>
    <row r="1085" spans="1:16" x14ac:dyDescent="0.2">
      <c r="A1085" t="s">
        <v>1559</v>
      </c>
      <c r="B1085" t="s">
        <v>16</v>
      </c>
      <c r="C1085" t="s">
        <v>28</v>
      </c>
      <c r="D1085" s="4">
        <v>36483</v>
      </c>
      <c r="E1085" s="4">
        <v>45473</v>
      </c>
      <c r="F1085" s="9">
        <v>45486</v>
      </c>
      <c r="G1085" t="s">
        <v>50</v>
      </c>
      <c r="H1085" t="s">
        <v>2528</v>
      </c>
      <c r="I1085" t="s">
        <v>2535</v>
      </c>
      <c r="J1085" s="7">
        <v>5039392</v>
      </c>
      <c r="K1085" t="s">
        <v>48</v>
      </c>
      <c r="L1085" t="s">
        <v>2527</v>
      </c>
      <c r="M1085" t="s">
        <v>24</v>
      </c>
      <c r="N1085" s="6">
        <v>13</v>
      </c>
      <c r="O1085" t="s">
        <v>2531</v>
      </c>
      <c r="P1085">
        <f t="shared" si="16"/>
        <v>25</v>
      </c>
    </row>
    <row r="1086" spans="1:16" x14ac:dyDescent="0.2">
      <c r="A1086" t="s">
        <v>2441</v>
      </c>
      <c r="B1086" t="s">
        <v>140</v>
      </c>
      <c r="C1086" t="s">
        <v>39</v>
      </c>
      <c r="D1086" s="4">
        <v>34945</v>
      </c>
      <c r="E1086" s="4">
        <v>45376</v>
      </c>
      <c r="F1086" s="9">
        <v>45387</v>
      </c>
      <c r="G1086" t="s">
        <v>40</v>
      </c>
      <c r="H1086" t="s">
        <v>75</v>
      </c>
      <c r="I1086" t="s">
        <v>67</v>
      </c>
      <c r="J1086" s="7">
        <v>4058672</v>
      </c>
      <c r="K1086" t="s">
        <v>48</v>
      </c>
      <c r="L1086" t="s">
        <v>34</v>
      </c>
      <c r="M1086" t="s">
        <v>35</v>
      </c>
      <c r="N1086" s="6">
        <v>11</v>
      </c>
      <c r="O1086" t="s">
        <v>36</v>
      </c>
      <c r="P1086">
        <f t="shared" si="16"/>
        <v>29</v>
      </c>
    </row>
    <row r="1087" spans="1:16" x14ac:dyDescent="0.2">
      <c r="A1087" t="s">
        <v>2442</v>
      </c>
      <c r="B1087" t="s">
        <v>87</v>
      </c>
      <c r="C1087" t="s">
        <v>28</v>
      </c>
      <c r="D1087" s="4">
        <v>25756</v>
      </c>
      <c r="E1087" s="4">
        <v>45461</v>
      </c>
      <c r="F1087" s="9" t="s">
        <v>2536</v>
      </c>
      <c r="G1087" t="s">
        <v>74</v>
      </c>
      <c r="H1087" t="s">
        <v>2528</v>
      </c>
      <c r="I1087" t="s">
        <v>2533</v>
      </c>
      <c r="J1087" s="7">
        <v>3839500</v>
      </c>
      <c r="K1087" t="s">
        <v>48</v>
      </c>
      <c r="L1087" t="s">
        <v>23</v>
      </c>
      <c r="M1087" t="s">
        <v>24</v>
      </c>
      <c r="N1087" s="6" t="s">
        <v>2525</v>
      </c>
      <c r="O1087" t="s">
        <v>25</v>
      </c>
      <c r="P1087">
        <f t="shared" si="16"/>
        <v>54</v>
      </c>
    </row>
    <row r="1088" spans="1:16" x14ac:dyDescent="0.2">
      <c r="A1088" t="s">
        <v>1564</v>
      </c>
      <c r="B1088" t="s">
        <v>82</v>
      </c>
      <c r="C1088" t="s">
        <v>92</v>
      </c>
      <c r="D1088" s="4">
        <v>37180</v>
      </c>
      <c r="E1088" s="4">
        <v>45471</v>
      </c>
      <c r="F1088" s="9">
        <v>45483</v>
      </c>
      <c r="G1088" t="s">
        <v>46</v>
      </c>
      <c r="H1088" t="s">
        <v>30</v>
      </c>
      <c r="I1088" t="s">
        <v>2534</v>
      </c>
      <c r="J1088" s="7">
        <v>1980300</v>
      </c>
      <c r="K1088" t="s">
        <v>48</v>
      </c>
      <c r="L1088" t="s">
        <v>23</v>
      </c>
      <c r="M1088" t="s">
        <v>35</v>
      </c>
      <c r="N1088" s="6">
        <v>12</v>
      </c>
      <c r="O1088" t="s">
        <v>2531</v>
      </c>
      <c r="P1088">
        <f t="shared" si="16"/>
        <v>23</v>
      </c>
    </row>
    <row r="1089" spans="1:16" x14ac:dyDescent="0.2">
      <c r="A1089" t="s">
        <v>2443</v>
      </c>
      <c r="B1089" t="s">
        <v>56</v>
      </c>
      <c r="C1089" t="s">
        <v>92</v>
      </c>
      <c r="D1089" s="4">
        <v>22431</v>
      </c>
      <c r="E1089" s="4">
        <v>45354</v>
      </c>
      <c r="F1089" s="9">
        <v>45355</v>
      </c>
      <c r="G1089" t="s">
        <v>40</v>
      </c>
      <c r="H1089" t="s">
        <v>75</v>
      </c>
      <c r="I1089" t="s">
        <v>2533</v>
      </c>
      <c r="J1089" s="7">
        <v>2968564</v>
      </c>
      <c r="K1089" t="s">
        <v>71</v>
      </c>
      <c r="L1089" t="s">
        <v>2527</v>
      </c>
      <c r="M1089" t="s">
        <v>78</v>
      </c>
      <c r="N1089" s="6">
        <v>1</v>
      </c>
      <c r="O1089" t="s">
        <v>2531</v>
      </c>
      <c r="P1089">
        <f t="shared" si="16"/>
        <v>63</v>
      </c>
    </row>
    <row r="1090" spans="1:16" x14ac:dyDescent="0.2">
      <c r="A1090" t="s">
        <v>1567</v>
      </c>
      <c r="B1090" t="s">
        <v>102</v>
      </c>
      <c r="C1090" t="s">
        <v>28</v>
      </c>
      <c r="D1090" s="4">
        <v>37756</v>
      </c>
      <c r="E1090" s="4">
        <v>45404</v>
      </c>
      <c r="F1090" s="9">
        <v>45411</v>
      </c>
      <c r="G1090" t="s">
        <v>18</v>
      </c>
      <c r="H1090" t="s">
        <v>2529</v>
      </c>
      <c r="I1090" t="s">
        <v>67</v>
      </c>
      <c r="J1090" s="7">
        <v>1395640</v>
      </c>
      <c r="K1090" t="s">
        <v>48</v>
      </c>
      <c r="L1090" t="s">
        <v>23</v>
      </c>
      <c r="M1090" t="s">
        <v>24</v>
      </c>
      <c r="N1090" s="6">
        <v>7</v>
      </c>
      <c r="O1090" t="s">
        <v>2531</v>
      </c>
      <c r="P1090">
        <f t="shared" si="16"/>
        <v>21</v>
      </c>
    </row>
    <row r="1091" spans="1:16" x14ac:dyDescent="0.2">
      <c r="A1091" t="s">
        <v>2444</v>
      </c>
      <c r="B1091" t="s">
        <v>150</v>
      </c>
      <c r="C1091" t="s">
        <v>28</v>
      </c>
      <c r="D1091" s="4">
        <v>28046</v>
      </c>
      <c r="E1091" s="4">
        <v>45447</v>
      </c>
      <c r="F1091" s="9">
        <v>45450</v>
      </c>
      <c r="G1091" t="s">
        <v>74</v>
      </c>
      <c r="H1091" t="s">
        <v>2528</v>
      </c>
      <c r="I1091" t="s">
        <v>67</v>
      </c>
      <c r="J1091" s="7">
        <v>2410308</v>
      </c>
      <c r="K1091" t="s">
        <v>43</v>
      </c>
      <c r="L1091" t="s">
        <v>2527</v>
      </c>
      <c r="M1091" t="s">
        <v>35</v>
      </c>
      <c r="N1091" s="6">
        <v>3</v>
      </c>
      <c r="O1091" t="s">
        <v>25</v>
      </c>
      <c r="P1091">
        <f t="shared" ref="P1091:P1154" si="17">YEAR(E1091)-YEAR(D1091)</f>
        <v>48</v>
      </c>
    </row>
    <row r="1092" spans="1:16" x14ac:dyDescent="0.2">
      <c r="A1092" t="s">
        <v>1570</v>
      </c>
      <c r="B1092" t="s">
        <v>119</v>
      </c>
      <c r="C1092" t="s">
        <v>92</v>
      </c>
      <c r="D1092" s="4">
        <v>24916</v>
      </c>
      <c r="E1092" s="4">
        <v>45399</v>
      </c>
      <c r="F1092" s="9" t="s">
        <v>2536</v>
      </c>
      <c r="G1092" t="s">
        <v>88</v>
      </c>
      <c r="H1092" t="s">
        <v>66</v>
      </c>
      <c r="I1092" t="s">
        <v>2533</v>
      </c>
      <c r="J1092" s="7">
        <v>4343500</v>
      </c>
      <c r="K1092" t="s">
        <v>71</v>
      </c>
      <c r="L1092" t="s">
        <v>2527</v>
      </c>
      <c r="M1092" t="s">
        <v>78</v>
      </c>
      <c r="N1092" s="6" t="s">
        <v>2525</v>
      </c>
      <c r="O1092" t="s">
        <v>25</v>
      </c>
      <c r="P1092">
        <f t="shared" si="17"/>
        <v>56</v>
      </c>
    </row>
    <row r="1093" spans="1:16" x14ac:dyDescent="0.2">
      <c r="A1093" t="s">
        <v>2445</v>
      </c>
      <c r="B1093" t="s">
        <v>91</v>
      </c>
      <c r="C1093" t="s">
        <v>28</v>
      </c>
      <c r="D1093" s="4">
        <v>31174</v>
      </c>
      <c r="E1093" s="4">
        <v>45313</v>
      </c>
      <c r="F1093" s="9">
        <v>45314</v>
      </c>
      <c r="G1093" t="s">
        <v>18</v>
      </c>
      <c r="H1093" t="s">
        <v>2529</v>
      </c>
      <c r="I1093" t="s">
        <v>41</v>
      </c>
      <c r="J1093" s="7">
        <v>2173500</v>
      </c>
      <c r="K1093" t="s">
        <v>48</v>
      </c>
      <c r="L1093" t="s">
        <v>2527</v>
      </c>
      <c r="M1093" t="s">
        <v>78</v>
      </c>
      <c r="N1093" s="6">
        <v>1</v>
      </c>
      <c r="O1093" t="s">
        <v>2531</v>
      </c>
      <c r="P1093">
        <f t="shared" si="17"/>
        <v>39</v>
      </c>
    </row>
    <row r="1094" spans="1:16" x14ac:dyDescent="0.2">
      <c r="A1094" t="s">
        <v>2446</v>
      </c>
      <c r="B1094" t="s">
        <v>85</v>
      </c>
      <c r="C1094" t="s">
        <v>39</v>
      </c>
      <c r="D1094" s="4">
        <v>24442</v>
      </c>
      <c r="E1094" s="4">
        <v>45437</v>
      </c>
      <c r="F1094" s="9">
        <v>45442</v>
      </c>
      <c r="G1094" t="s">
        <v>46</v>
      </c>
      <c r="H1094" t="s">
        <v>30</v>
      </c>
      <c r="I1094" t="s">
        <v>67</v>
      </c>
      <c r="J1094" s="7">
        <v>1376780</v>
      </c>
      <c r="K1094" t="s">
        <v>71</v>
      </c>
      <c r="L1094" t="s">
        <v>23</v>
      </c>
      <c r="M1094" t="s">
        <v>78</v>
      </c>
      <c r="N1094" s="6">
        <v>5</v>
      </c>
      <c r="O1094" t="s">
        <v>25</v>
      </c>
      <c r="P1094">
        <f t="shared" si="17"/>
        <v>58</v>
      </c>
    </row>
    <row r="1095" spans="1:16" x14ac:dyDescent="0.2">
      <c r="A1095" t="s">
        <v>2447</v>
      </c>
      <c r="B1095" t="s">
        <v>87</v>
      </c>
      <c r="C1095" t="s">
        <v>92</v>
      </c>
      <c r="D1095" s="4">
        <v>25356</v>
      </c>
      <c r="E1095" s="4">
        <v>45462</v>
      </c>
      <c r="F1095" s="9">
        <v>45474</v>
      </c>
      <c r="G1095" t="s">
        <v>72</v>
      </c>
      <c r="H1095" t="s">
        <v>2529</v>
      </c>
      <c r="I1095" t="s">
        <v>2534</v>
      </c>
      <c r="J1095" s="7">
        <v>2646000</v>
      </c>
      <c r="K1095" t="s">
        <v>48</v>
      </c>
      <c r="L1095" t="s">
        <v>34</v>
      </c>
      <c r="M1095" t="s">
        <v>24</v>
      </c>
      <c r="N1095" s="6">
        <v>12</v>
      </c>
      <c r="O1095" t="s">
        <v>2531</v>
      </c>
      <c r="P1095">
        <f t="shared" si="17"/>
        <v>55</v>
      </c>
    </row>
    <row r="1096" spans="1:16" x14ac:dyDescent="0.2">
      <c r="A1096" t="s">
        <v>1575</v>
      </c>
      <c r="B1096" t="s">
        <v>27</v>
      </c>
      <c r="C1096" t="s">
        <v>28</v>
      </c>
      <c r="D1096" s="4">
        <v>34418</v>
      </c>
      <c r="E1096" s="4">
        <v>45451</v>
      </c>
      <c r="F1096" s="9" t="s">
        <v>2536</v>
      </c>
      <c r="G1096" t="s">
        <v>50</v>
      </c>
      <c r="H1096" t="s">
        <v>2528</v>
      </c>
      <c r="I1096" t="s">
        <v>2533</v>
      </c>
      <c r="J1096" s="7">
        <v>1029756</v>
      </c>
      <c r="K1096" t="s">
        <v>48</v>
      </c>
      <c r="L1096" t="s">
        <v>23</v>
      </c>
      <c r="M1096" t="s">
        <v>35</v>
      </c>
      <c r="N1096" s="6" t="s">
        <v>2525</v>
      </c>
      <c r="O1096" t="s">
        <v>25</v>
      </c>
      <c r="P1096">
        <f t="shared" si="17"/>
        <v>30</v>
      </c>
    </row>
    <row r="1097" spans="1:16" x14ac:dyDescent="0.2">
      <c r="A1097" t="s">
        <v>1576</v>
      </c>
      <c r="B1097" t="s">
        <v>45</v>
      </c>
      <c r="C1097" t="s">
        <v>28</v>
      </c>
      <c r="D1097" s="4">
        <v>24380</v>
      </c>
      <c r="E1097" s="4">
        <v>45462</v>
      </c>
      <c r="F1097" s="9">
        <v>45466</v>
      </c>
      <c r="G1097" t="s">
        <v>50</v>
      </c>
      <c r="H1097" t="s">
        <v>2528</v>
      </c>
      <c r="I1097" t="s">
        <v>67</v>
      </c>
      <c r="J1097" s="7">
        <v>645012</v>
      </c>
      <c r="K1097" t="s">
        <v>48</v>
      </c>
      <c r="L1097" t="s">
        <v>34</v>
      </c>
      <c r="M1097" t="s">
        <v>24</v>
      </c>
      <c r="N1097" s="6">
        <v>4</v>
      </c>
      <c r="O1097" t="s">
        <v>2531</v>
      </c>
      <c r="P1097">
        <f t="shared" si="17"/>
        <v>58</v>
      </c>
    </row>
    <row r="1098" spans="1:16" x14ac:dyDescent="0.2">
      <c r="A1098" t="s">
        <v>2448</v>
      </c>
      <c r="B1098" t="s">
        <v>56</v>
      </c>
      <c r="C1098" t="s">
        <v>28</v>
      </c>
      <c r="D1098" s="4">
        <v>19181</v>
      </c>
      <c r="E1098" s="4">
        <v>45360</v>
      </c>
      <c r="F1098" s="9">
        <v>45373</v>
      </c>
      <c r="G1098" t="s">
        <v>18</v>
      </c>
      <c r="H1098" t="s">
        <v>2529</v>
      </c>
      <c r="I1098" t="s">
        <v>2533</v>
      </c>
      <c r="J1098" s="7">
        <v>3927000</v>
      </c>
      <c r="K1098" t="s">
        <v>71</v>
      </c>
      <c r="L1098" t="s">
        <v>2527</v>
      </c>
      <c r="M1098" t="s">
        <v>24</v>
      </c>
      <c r="N1098" s="6">
        <v>13</v>
      </c>
      <c r="O1098" t="s">
        <v>36</v>
      </c>
      <c r="P1098">
        <f t="shared" si="17"/>
        <v>72</v>
      </c>
    </row>
    <row r="1099" spans="1:16" x14ac:dyDescent="0.2">
      <c r="A1099" t="s">
        <v>2449</v>
      </c>
      <c r="B1099" t="s">
        <v>59</v>
      </c>
      <c r="C1099" t="s">
        <v>28</v>
      </c>
      <c r="D1099" s="4">
        <v>30076</v>
      </c>
      <c r="E1099" s="4">
        <v>45403</v>
      </c>
      <c r="F1099" s="9">
        <v>45417</v>
      </c>
      <c r="G1099" t="s">
        <v>29</v>
      </c>
      <c r="H1099" t="s">
        <v>19</v>
      </c>
      <c r="I1099" t="s">
        <v>2534</v>
      </c>
      <c r="J1099" s="7">
        <v>4967724</v>
      </c>
      <c r="K1099" t="s">
        <v>48</v>
      </c>
      <c r="L1099" t="s">
        <v>2527</v>
      </c>
      <c r="M1099" t="s">
        <v>35</v>
      </c>
      <c r="N1099" s="6">
        <v>14</v>
      </c>
      <c r="O1099" t="s">
        <v>25</v>
      </c>
      <c r="P1099">
        <f t="shared" si="17"/>
        <v>42</v>
      </c>
    </row>
    <row r="1100" spans="1:16" x14ac:dyDescent="0.2">
      <c r="A1100" t="s">
        <v>1580</v>
      </c>
      <c r="B1100" t="s">
        <v>59</v>
      </c>
      <c r="C1100" t="s">
        <v>92</v>
      </c>
      <c r="D1100" s="4">
        <v>30386</v>
      </c>
      <c r="E1100" s="4">
        <v>45429</v>
      </c>
      <c r="F1100" s="9">
        <v>45444</v>
      </c>
      <c r="G1100" t="s">
        <v>40</v>
      </c>
      <c r="H1100" t="s">
        <v>75</v>
      </c>
      <c r="I1100" t="s">
        <v>41</v>
      </c>
      <c r="J1100" s="7">
        <v>3013828</v>
      </c>
      <c r="K1100" t="s">
        <v>71</v>
      </c>
      <c r="L1100" t="s">
        <v>23</v>
      </c>
      <c r="M1100" t="s">
        <v>78</v>
      </c>
      <c r="N1100" s="6">
        <v>15</v>
      </c>
      <c r="O1100" t="s">
        <v>2531</v>
      </c>
      <c r="P1100">
        <f t="shared" si="17"/>
        <v>41</v>
      </c>
    </row>
    <row r="1101" spans="1:16" x14ac:dyDescent="0.2">
      <c r="A1101" t="s">
        <v>2450</v>
      </c>
      <c r="B1101" t="s">
        <v>118</v>
      </c>
      <c r="C1101" t="s">
        <v>92</v>
      </c>
      <c r="D1101" s="4">
        <v>32900</v>
      </c>
      <c r="E1101" s="4">
        <v>45320</v>
      </c>
      <c r="F1101" s="9" t="s">
        <v>2536</v>
      </c>
      <c r="G1101" t="s">
        <v>60</v>
      </c>
      <c r="H1101" t="s">
        <v>66</v>
      </c>
      <c r="I1101" t="s">
        <v>67</v>
      </c>
      <c r="J1101" s="7">
        <v>3217516</v>
      </c>
      <c r="K1101" t="s">
        <v>48</v>
      </c>
      <c r="L1101" t="s">
        <v>23</v>
      </c>
      <c r="M1101" t="s">
        <v>78</v>
      </c>
      <c r="N1101" s="6" t="s">
        <v>2525</v>
      </c>
      <c r="O1101" t="s">
        <v>36</v>
      </c>
      <c r="P1101">
        <f t="shared" si="17"/>
        <v>34</v>
      </c>
    </row>
    <row r="1102" spans="1:16" x14ac:dyDescent="0.2">
      <c r="A1102" t="s">
        <v>1582</v>
      </c>
      <c r="B1102" t="s">
        <v>38</v>
      </c>
      <c r="C1102" t="s">
        <v>28</v>
      </c>
      <c r="D1102" s="4">
        <v>36104</v>
      </c>
      <c r="E1102" s="4">
        <v>45355</v>
      </c>
      <c r="F1102" s="9">
        <v>45369</v>
      </c>
      <c r="G1102" t="s">
        <v>60</v>
      </c>
      <c r="H1102" t="s">
        <v>66</v>
      </c>
      <c r="I1102" t="s">
        <v>2533</v>
      </c>
      <c r="J1102" s="7">
        <v>2761104</v>
      </c>
      <c r="K1102" t="s">
        <v>48</v>
      </c>
      <c r="L1102" t="s">
        <v>2527</v>
      </c>
      <c r="M1102" t="s">
        <v>24</v>
      </c>
      <c r="N1102" s="6">
        <v>14</v>
      </c>
      <c r="O1102" t="s">
        <v>36</v>
      </c>
      <c r="P1102">
        <f t="shared" si="17"/>
        <v>26</v>
      </c>
    </row>
    <row r="1103" spans="1:16" x14ac:dyDescent="0.2">
      <c r="A1103" t="s">
        <v>1584</v>
      </c>
      <c r="B1103" t="s">
        <v>16</v>
      </c>
      <c r="C1103" t="s">
        <v>28</v>
      </c>
      <c r="D1103" s="4">
        <v>18856</v>
      </c>
      <c r="E1103" s="4">
        <v>45428</v>
      </c>
      <c r="F1103" s="9">
        <v>45437</v>
      </c>
      <c r="G1103" t="s">
        <v>46</v>
      </c>
      <c r="H1103" t="s">
        <v>30</v>
      </c>
      <c r="I1103" t="s">
        <v>67</v>
      </c>
      <c r="J1103" s="7">
        <v>917000</v>
      </c>
      <c r="K1103" t="s">
        <v>43</v>
      </c>
      <c r="L1103" t="s">
        <v>2527</v>
      </c>
      <c r="M1103" t="s">
        <v>35</v>
      </c>
      <c r="N1103" s="6">
        <v>9</v>
      </c>
      <c r="O1103" t="s">
        <v>36</v>
      </c>
      <c r="P1103">
        <f t="shared" si="17"/>
        <v>73</v>
      </c>
    </row>
    <row r="1104" spans="1:16" x14ac:dyDescent="0.2">
      <c r="A1104" t="s">
        <v>2451</v>
      </c>
      <c r="B1104" t="s">
        <v>140</v>
      </c>
      <c r="C1104" t="s">
        <v>28</v>
      </c>
      <c r="D1104" s="4">
        <v>30150</v>
      </c>
      <c r="E1104" s="4">
        <v>45337</v>
      </c>
      <c r="F1104" s="9">
        <v>45346</v>
      </c>
      <c r="G1104" t="s">
        <v>60</v>
      </c>
      <c r="H1104" t="s">
        <v>66</v>
      </c>
      <c r="I1104" t="s">
        <v>41</v>
      </c>
      <c r="J1104" s="7">
        <v>5631596</v>
      </c>
      <c r="K1104" t="s">
        <v>48</v>
      </c>
      <c r="L1104" t="s">
        <v>34</v>
      </c>
      <c r="M1104" t="s">
        <v>78</v>
      </c>
      <c r="N1104" s="6">
        <v>9</v>
      </c>
      <c r="O1104" t="s">
        <v>25</v>
      </c>
      <c r="P1104">
        <f t="shared" si="17"/>
        <v>42</v>
      </c>
    </row>
    <row r="1105" spans="1:16" x14ac:dyDescent="0.2">
      <c r="A1105" t="s">
        <v>2452</v>
      </c>
      <c r="B1105" t="s">
        <v>64</v>
      </c>
      <c r="C1105" t="s">
        <v>28</v>
      </c>
      <c r="D1105" s="4">
        <v>35599</v>
      </c>
      <c r="E1105" s="4">
        <v>45379</v>
      </c>
      <c r="F1105" s="9">
        <v>45387</v>
      </c>
      <c r="G1105" t="s">
        <v>100</v>
      </c>
      <c r="H1105" t="s">
        <v>61</v>
      </c>
      <c r="I1105" t="s">
        <v>2535</v>
      </c>
      <c r="J1105" s="7">
        <v>3696560</v>
      </c>
      <c r="K1105" t="s">
        <v>48</v>
      </c>
      <c r="L1105" t="s">
        <v>2527</v>
      </c>
      <c r="M1105" t="s">
        <v>35</v>
      </c>
      <c r="N1105" s="6">
        <v>8</v>
      </c>
      <c r="O1105" t="s">
        <v>25</v>
      </c>
      <c r="P1105">
        <f t="shared" si="17"/>
        <v>27</v>
      </c>
    </row>
    <row r="1106" spans="1:16" x14ac:dyDescent="0.2">
      <c r="A1106" t="s">
        <v>1587</v>
      </c>
      <c r="B1106" t="s">
        <v>38</v>
      </c>
      <c r="C1106" t="s">
        <v>92</v>
      </c>
      <c r="D1106" s="4">
        <v>39422</v>
      </c>
      <c r="E1106" s="4">
        <v>45453</v>
      </c>
      <c r="F1106" s="9">
        <v>45467</v>
      </c>
      <c r="G1106" t="s">
        <v>40</v>
      </c>
      <c r="H1106" t="s">
        <v>75</v>
      </c>
      <c r="I1106" t="s">
        <v>67</v>
      </c>
      <c r="J1106" s="7">
        <v>2982000</v>
      </c>
      <c r="K1106" t="s">
        <v>43</v>
      </c>
      <c r="L1106" t="s">
        <v>34</v>
      </c>
      <c r="M1106" t="s">
        <v>35</v>
      </c>
      <c r="N1106" s="6">
        <v>14</v>
      </c>
      <c r="O1106" t="s">
        <v>25</v>
      </c>
      <c r="P1106">
        <f t="shared" si="17"/>
        <v>17</v>
      </c>
    </row>
    <row r="1107" spans="1:16" x14ac:dyDescent="0.2">
      <c r="A1107" t="s">
        <v>2453</v>
      </c>
      <c r="B1107" t="s">
        <v>140</v>
      </c>
      <c r="C1107" t="s">
        <v>28</v>
      </c>
      <c r="D1107" s="4">
        <v>22459</v>
      </c>
      <c r="E1107" s="4">
        <v>45371</v>
      </c>
      <c r="F1107" s="9">
        <v>45382</v>
      </c>
      <c r="G1107" t="s">
        <v>74</v>
      </c>
      <c r="H1107" t="s">
        <v>2528</v>
      </c>
      <c r="I1107" t="s">
        <v>67</v>
      </c>
      <c r="J1107" s="7">
        <v>4679500</v>
      </c>
      <c r="K1107" t="s">
        <v>48</v>
      </c>
      <c r="L1107" t="s">
        <v>34</v>
      </c>
      <c r="M1107" t="s">
        <v>35</v>
      </c>
      <c r="N1107" s="6">
        <v>11</v>
      </c>
      <c r="O1107" t="s">
        <v>2531</v>
      </c>
      <c r="P1107">
        <f t="shared" si="17"/>
        <v>63</v>
      </c>
    </row>
    <row r="1108" spans="1:16" x14ac:dyDescent="0.2">
      <c r="A1108" t="s">
        <v>2454</v>
      </c>
      <c r="B1108" t="s">
        <v>150</v>
      </c>
      <c r="C1108" t="s">
        <v>28</v>
      </c>
      <c r="D1108" s="4">
        <v>23653</v>
      </c>
      <c r="E1108" s="4">
        <v>45342</v>
      </c>
      <c r="F1108" s="9">
        <v>45352</v>
      </c>
      <c r="G1108" t="s">
        <v>83</v>
      </c>
      <c r="H1108" t="s">
        <v>66</v>
      </c>
      <c r="I1108" t="s">
        <v>67</v>
      </c>
      <c r="J1108" s="7">
        <v>4379292</v>
      </c>
      <c r="K1108" t="s">
        <v>48</v>
      </c>
      <c r="L1108" t="s">
        <v>34</v>
      </c>
      <c r="M1108" t="s">
        <v>24</v>
      </c>
      <c r="N1108" s="6">
        <v>10</v>
      </c>
      <c r="O1108" t="s">
        <v>2531</v>
      </c>
      <c r="P1108">
        <f t="shared" si="17"/>
        <v>60</v>
      </c>
    </row>
    <row r="1109" spans="1:16" x14ac:dyDescent="0.2">
      <c r="A1109" t="s">
        <v>2455</v>
      </c>
      <c r="B1109" t="s">
        <v>56</v>
      </c>
      <c r="C1109" t="s">
        <v>39</v>
      </c>
      <c r="D1109" s="4">
        <v>26329</v>
      </c>
      <c r="E1109" s="4">
        <v>45324</v>
      </c>
      <c r="F1109" s="9">
        <v>45330</v>
      </c>
      <c r="G1109" t="s">
        <v>50</v>
      </c>
      <c r="H1109" t="s">
        <v>2528</v>
      </c>
      <c r="I1109" t="s">
        <v>67</v>
      </c>
      <c r="J1109" s="7">
        <v>1538976</v>
      </c>
      <c r="K1109" t="s">
        <v>48</v>
      </c>
      <c r="L1109" t="s">
        <v>23</v>
      </c>
      <c r="M1109" t="s">
        <v>24</v>
      </c>
      <c r="N1109" s="6">
        <v>6</v>
      </c>
      <c r="O1109" t="s">
        <v>25</v>
      </c>
      <c r="P1109">
        <f t="shared" si="17"/>
        <v>52</v>
      </c>
    </row>
    <row r="1110" spans="1:16" x14ac:dyDescent="0.2">
      <c r="A1110" t="s">
        <v>2456</v>
      </c>
      <c r="B1110" t="s">
        <v>102</v>
      </c>
      <c r="C1110" t="s">
        <v>39</v>
      </c>
      <c r="D1110" s="4">
        <v>33785</v>
      </c>
      <c r="E1110" s="4">
        <v>45382</v>
      </c>
      <c r="F1110" s="9" t="s">
        <v>2536</v>
      </c>
      <c r="G1110" t="s">
        <v>29</v>
      </c>
      <c r="H1110" t="s">
        <v>19</v>
      </c>
      <c r="I1110" t="s">
        <v>67</v>
      </c>
      <c r="J1110" s="7">
        <v>3983000</v>
      </c>
      <c r="K1110" t="s">
        <v>48</v>
      </c>
      <c r="L1110" t="s">
        <v>2527</v>
      </c>
      <c r="M1110" t="s">
        <v>78</v>
      </c>
      <c r="N1110" s="6" t="s">
        <v>2525</v>
      </c>
      <c r="O1110" t="s">
        <v>25</v>
      </c>
      <c r="P1110">
        <f t="shared" si="17"/>
        <v>32</v>
      </c>
    </row>
    <row r="1111" spans="1:16" x14ac:dyDescent="0.2">
      <c r="A1111" t="s">
        <v>2457</v>
      </c>
      <c r="B1111" t="s">
        <v>114</v>
      </c>
      <c r="C1111" t="s">
        <v>92</v>
      </c>
      <c r="D1111" s="4">
        <v>35023</v>
      </c>
      <c r="E1111" s="4">
        <v>45391</v>
      </c>
      <c r="F1111" s="9">
        <v>45393</v>
      </c>
      <c r="G1111" t="s">
        <v>50</v>
      </c>
      <c r="H1111" t="s">
        <v>2528</v>
      </c>
      <c r="I1111" t="s">
        <v>67</v>
      </c>
      <c r="J1111" s="7">
        <v>1139144</v>
      </c>
      <c r="K1111" t="s">
        <v>71</v>
      </c>
      <c r="L1111" t="s">
        <v>34</v>
      </c>
      <c r="M1111" t="s">
        <v>35</v>
      </c>
      <c r="N1111" s="6">
        <v>2</v>
      </c>
      <c r="O1111" t="s">
        <v>2531</v>
      </c>
      <c r="P1111">
        <f t="shared" si="17"/>
        <v>29</v>
      </c>
    </row>
    <row r="1112" spans="1:16" x14ac:dyDescent="0.2">
      <c r="A1112" t="s">
        <v>2458</v>
      </c>
      <c r="B1112" t="s">
        <v>91</v>
      </c>
      <c r="C1112" t="s">
        <v>92</v>
      </c>
      <c r="D1112" s="4">
        <v>36621</v>
      </c>
      <c r="E1112" s="4">
        <v>45472</v>
      </c>
      <c r="F1112" s="9">
        <v>45480</v>
      </c>
      <c r="G1112" t="s">
        <v>60</v>
      </c>
      <c r="H1112" t="s">
        <v>66</v>
      </c>
      <c r="I1112" t="s">
        <v>41</v>
      </c>
      <c r="J1112" s="7">
        <v>2368816</v>
      </c>
      <c r="K1112" t="s">
        <v>71</v>
      </c>
      <c r="L1112" t="s">
        <v>23</v>
      </c>
      <c r="M1112" t="s">
        <v>78</v>
      </c>
      <c r="N1112" s="6">
        <v>8</v>
      </c>
      <c r="O1112" t="s">
        <v>25</v>
      </c>
      <c r="P1112">
        <f t="shared" si="17"/>
        <v>24</v>
      </c>
    </row>
    <row r="1113" spans="1:16" x14ac:dyDescent="0.2">
      <c r="A1113" t="s">
        <v>1595</v>
      </c>
      <c r="B1113" t="s">
        <v>51</v>
      </c>
      <c r="C1113" t="s">
        <v>28</v>
      </c>
      <c r="D1113" s="4">
        <v>23269</v>
      </c>
      <c r="E1113" s="4">
        <v>45333</v>
      </c>
      <c r="F1113" s="9">
        <v>45346</v>
      </c>
      <c r="G1113" t="s">
        <v>60</v>
      </c>
      <c r="H1113" t="s">
        <v>66</v>
      </c>
      <c r="I1113" t="s">
        <v>2533</v>
      </c>
      <c r="J1113" s="7">
        <v>4703684</v>
      </c>
      <c r="K1113" t="s">
        <v>48</v>
      </c>
      <c r="L1113" t="s">
        <v>23</v>
      </c>
      <c r="M1113" t="s">
        <v>24</v>
      </c>
      <c r="N1113" s="6">
        <v>13</v>
      </c>
      <c r="O1113" t="s">
        <v>25</v>
      </c>
      <c r="P1113">
        <f t="shared" si="17"/>
        <v>61</v>
      </c>
    </row>
    <row r="1114" spans="1:16" x14ac:dyDescent="0.2">
      <c r="A1114" t="s">
        <v>2459</v>
      </c>
      <c r="B1114" t="s">
        <v>140</v>
      </c>
      <c r="C1114" t="s">
        <v>39</v>
      </c>
      <c r="D1114" s="4">
        <v>38512</v>
      </c>
      <c r="E1114" s="4">
        <v>45346</v>
      </c>
      <c r="F1114" s="9">
        <v>45361</v>
      </c>
      <c r="G1114" t="s">
        <v>50</v>
      </c>
      <c r="H1114" t="s">
        <v>2528</v>
      </c>
      <c r="I1114" t="s">
        <v>2534</v>
      </c>
      <c r="J1114" s="7">
        <v>4073760</v>
      </c>
      <c r="K1114" t="s">
        <v>48</v>
      </c>
      <c r="L1114" t="s">
        <v>34</v>
      </c>
      <c r="M1114" t="s">
        <v>24</v>
      </c>
      <c r="N1114" s="6">
        <v>15</v>
      </c>
      <c r="O1114" t="s">
        <v>36</v>
      </c>
      <c r="P1114">
        <f t="shared" si="17"/>
        <v>19</v>
      </c>
    </row>
    <row r="1115" spans="1:16" x14ac:dyDescent="0.2">
      <c r="A1115" t="s">
        <v>2460</v>
      </c>
      <c r="B1115" t="s">
        <v>56</v>
      </c>
      <c r="C1115" t="s">
        <v>92</v>
      </c>
      <c r="D1115" s="4">
        <v>21689</v>
      </c>
      <c r="E1115" s="4">
        <v>45293</v>
      </c>
      <c r="F1115" s="9">
        <v>45297</v>
      </c>
      <c r="G1115" t="s">
        <v>74</v>
      </c>
      <c r="H1115" t="s">
        <v>2528</v>
      </c>
      <c r="I1115" t="s">
        <v>2535</v>
      </c>
      <c r="J1115" s="7">
        <v>2878036</v>
      </c>
      <c r="K1115" t="s">
        <v>48</v>
      </c>
      <c r="L1115" t="s">
        <v>34</v>
      </c>
      <c r="M1115" t="s">
        <v>35</v>
      </c>
      <c r="N1115" s="6">
        <v>4</v>
      </c>
      <c r="O1115" t="s">
        <v>36</v>
      </c>
      <c r="P1115">
        <f t="shared" si="17"/>
        <v>65</v>
      </c>
    </row>
    <row r="1116" spans="1:16" x14ac:dyDescent="0.2">
      <c r="A1116" t="s">
        <v>2461</v>
      </c>
      <c r="B1116" t="s">
        <v>80</v>
      </c>
      <c r="C1116" t="s">
        <v>92</v>
      </c>
      <c r="D1116" s="4">
        <v>27662</v>
      </c>
      <c r="E1116" s="4">
        <v>45350</v>
      </c>
      <c r="F1116" s="9">
        <v>45357</v>
      </c>
      <c r="G1116" t="s">
        <v>83</v>
      </c>
      <c r="H1116" t="s">
        <v>66</v>
      </c>
      <c r="I1116" t="s">
        <v>2533</v>
      </c>
      <c r="J1116" s="7">
        <v>4054900</v>
      </c>
      <c r="K1116" t="s">
        <v>48</v>
      </c>
      <c r="L1116" t="s">
        <v>2527</v>
      </c>
      <c r="M1116" t="s">
        <v>78</v>
      </c>
      <c r="N1116" s="6">
        <v>7</v>
      </c>
      <c r="O1116" t="s">
        <v>25</v>
      </c>
      <c r="P1116">
        <f t="shared" si="17"/>
        <v>49</v>
      </c>
    </row>
    <row r="1117" spans="1:16" x14ac:dyDescent="0.2">
      <c r="A1117" t="s">
        <v>2462</v>
      </c>
      <c r="B1117" t="s">
        <v>150</v>
      </c>
      <c r="C1117" t="s">
        <v>92</v>
      </c>
      <c r="D1117" s="4">
        <v>21097</v>
      </c>
      <c r="E1117" s="4">
        <v>45360</v>
      </c>
      <c r="F1117" s="9" t="s">
        <v>2536</v>
      </c>
      <c r="G1117" t="s">
        <v>72</v>
      </c>
      <c r="H1117" t="s">
        <v>2529</v>
      </c>
      <c r="I1117" t="s">
        <v>2533</v>
      </c>
      <c r="J1117" s="7">
        <v>3419500</v>
      </c>
      <c r="K1117" t="s">
        <v>48</v>
      </c>
      <c r="L1117" t="s">
        <v>34</v>
      </c>
      <c r="M1117" t="s">
        <v>24</v>
      </c>
      <c r="N1117" s="6" t="s">
        <v>2525</v>
      </c>
      <c r="O1117" t="s">
        <v>25</v>
      </c>
      <c r="P1117">
        <f t="shared" si="17"/>
        <v>67</v>
      </c>
    </row>
    <row r="1118" spans="1:16" x14ac:dyDescent="0.2">
      <c r="A1118" t="s">
        <v>2463</v>
      </c>
      <c r="B1118" t="s">
        <v>59</v>
      </c>
      <c r="C1118" t="s">
        <v>28</v>
      </c>
      <c r="D1118" s="4">
        <v>36192</v>
      </c>
      <c r="E1118" s="4">
        <v>45383</v>
      </c>
      <c r="F1118" s="9" t="s">
        <v>2536</v>
      </c>
      <c r="G1118" t="s">
        <v>88</v>
      </c>
      <c r="H1118" t="s">
        <v>66</v>
      </c>
      <c r="I1118" t="s">
        <v>67</v>
      </c>
      <c r="J1118" s="7">
        <v>479500</v>
      </c>
      <c r="K1118" t="s">
        <v>48</v>
      </c>
      <c r="L1118" t="s">
        <v>2527</v>
      </c>
      <c r="M1118" t="s">
        <v>35</v>
      </c>
      <c r="N1118" s="6" t="s">
        <v>2525</v>
      </c>
      <c r="O1118" t="s">
        <v>2531</v>
      </c>
      <c r="P1118">
        <f t="shared" si="17"/>
        <v>25</v>
      </c>
    </row>
    <row r="1119" spans="1:16" x14ac:dyDescent="0.2">
      <c r="A1119" t="s">
        <v>2464</v>
      </c>
      <c r="B1119" t="s">
        <v>56</v>
      </c>
      <c r="C1119" t="s">
        <v>92</v>
      </c>
      <c r="D1119" s="4">
        <v>22718</v>
      </c>
      <c r="E1119" s="4">
        <v>45330</v>
      </c>
      <c r="F1119" s="9" t="s">
        <v>2536</v>
      </c>
      <c r="G1119" t="s">
        <v>50</v>
      </c>
      <c r="H1119" t="s">
        <v>2528</v>
      </c>
      <c r="I1119" t="s">
        <v>67</v>
      </c>
      <c r="J1119" s="7">
        <v>3696560</v>
      </c>
      <c r="K1119" t="s">
        <v>71</v>
      </c>
      <c r="L1119" t="s">
        <v>2527</v>
      </c>
      <c r="M1119" t="s">
        <v>78</v>
      </c>
      <c r="N1119" s="6" t="s">
        <v>2525</v>
      </c>
      <c r="O1119" t="s">
        <v>2531</v>
      </c>
      <c r="P1119">
        <f t="shared" si="17"/>
        <v>62</v>
      </c>
    </row>
    <row r="1120" spans="1:16" x14ac:dyDescent="0.2">
      <c r="A1120" t="s">
        <v>2465</v>
      </c>
      <c r="B1120" t="s">
        <v>51</v>
      </c>
      <c r="C1120" t="s">
        <v>92</v>
      </c>
      <c r="D1120" s="4">
        <v>23669</v>
      </c>
      <c r="E1120" s="4">
        <v>45417</v>
      </c>
      <c r="F1120" s="9">
        <v>45430</v>
      </c>
      <c r="G1120" t="s">
        <v>46</v>
      </c>
      <c r="H1120" t="s">
        <v>30</v>
      </c>
      <c r="I1120" t="s">
        <v>2534</v>
      </c>
      <c r="J1120" s="7">
        <v>3383484</v>
      </c>
      <c r="K1120" t="s">
        <v>71</v>
      </c>
      <c r="L1120" t="s">
        <v>2527</v>
      </c>
      <c r="M1120" t="s">
        <v>24</v>
      </c>
      <c r="N1120" s="6">
        <v>13</v>
      </c>
      <c r="O1120" t="s">
        <v>2531</v>
      </c>
      <c r="P1120">
        <f t="shared" si="17"/>
        <v>60</v>
      </c>
    </row>
    <row r="1121" spans="1:16" x14ac:dyDescent="0.2">
      <c r="A1121" t="s">
        <v>2466</v>
      </c>
      <c r="B1121" t="s">
        <v>56</v>
      </c>
      <c r="C1121" t="s">
        <v>28</v>
      </c>
      <c r="D1121" s="4">
        <v>36112</v>
      </c>
      <c r="E1121" s="4">
        <v>45382</v>
      </c>
      <c r="F1121" s="9">
        <v>45397</v>
      </c>
      <c r="G1121" t="s">
        <v>72</v>
      </c>
      <c r="H1121" t="s">
        <v>2529</v>
      </c>
      <c r="I1121" t="s">
        <v>2535</v>
      </c>
      <c r="J1121" s="7">
        <v>2761104</v>
      </c>
      <c r="K1121" t="s">
        <v>48</v>
      </c>
      <c r="L1121" t="s">
        <v>34</v>
      </c>
      <c r="M1121" t="s">
        <v>24</v>
      </c>
      <c r="N1121" s="6">
        <v>15</v>
      </c>
      <c r="O1121" t="s">
        <v>36</v>
      </c>
      <c r="P1121">
        <f t="shared" si="17"/>
        <v>26</v>
      </c>
    </row>
    <row r="1122" spans="1:16" x14ac:dyDescent="0.2">
      <c r="A1122" t="s">
        <v>1608</v>
      </c>
      <c r="B1122" t="s">
        <v>64</v>
      </c>
      <c r="C1122" t="s">
        <v>92</v>
      </c>
      <c r="D1122" s="4">
        <v>37211</v>
      </c>
      <c r="E1122" s="4">
        <v>45338</v>
      </c>
      <c r="F1122" s="9" t="s">
        <v>2536</v>
      </c>
      <c r="G1122" t="s">
        <v>88</v>
      </c>
      <c r="H1122" t="s">
        <v>66</v>
      </c>
      <c r="I1122" t="s">
        <v>67</v>
      </c>
      <c r="J1122" s="7">
        <v>4903600</v>
      </c>
      <c r="K1122" t="s">
        <v>48</v>
      </c>
      <c r="L1122" t="s">
        <v>34</v>
      </c>
      <c r="M1122" t="s">
        <v>78</v>
      </c>
      <c r="N1122" s="6" t="s">
        <v>2525</v>
      </c>
      <c r="O1122" t="s">
        <v>36</v>
      </c>
      <c r="P1122">
        <f t="shared" si="17"/>
        <v>23</v>
      </c>
    </row>
    <row r="1123" spans="1:16" x14ac:dyDescent="0.2">
      <c r="A1123" t="s">
        <v>2467</v>
      </c>
      <c r="B1123" t="s">
        <v>119</v>
      </c>
      <c r="C1123" t="s">
        <v>28</v>
      </c>
      <c r="D1123" s="4">
        <v>33209</v>
      </c>
      <c r="E1123" s="4">
        <v>45414</v>
      </c>
      <c r="F1123" s="9">
        <v>45415</v>
      </c>
      <c r="G1123" t="s">
        <v>29</v>
      </c>
      <c r="H1123" t="s">
        <v>19</v>
      </c>
      <c r="I1123" t="s">
        <v>2533</v>
      </c>
      <c r="J1123" s="7">
        <v>3185000</v>
      </c>
      <c r="K1123" t="s">
        <v>48</v>
      </c>
      <c r="L1123" t="s">
        <v>2527</v>
      </c>
      <c r="M1123" t="s">
        <v>78</v>
      </c>
      <c r="N1123" s="6">
        <v>1</v>
      </c>
      <c r="O1123" t="s">
        <v>36</v>
      </c>
      <c r="P1123">
        <f t="shared" si="17"/>
        <v>34</v>
      </c>
    </row>
    <row r="1124" spans="1:16" x14ac:dyDescent="0.2">
      <c r="A1124" t="s">
        <v>2468</v>
      </c>
      <c r="B1124" t="s">
        <v>114</v>
      </c>
      <c r="C1124" t="s">
        <v>92</v>
      </c>
      <c r="D1124" s="4">
        <v>21181</v>
      </c>
      <c r="E1124" s="4">
        <v>45343</v>
      </c>
      <c r="F1124" s="9">
        <v>45350</v>
      </c>
      <c r="G1124" t="s">
        <v>60</v>
      </c>
      <c r="H1124" t="s">
        <v>66</v>
      </c>
      <c r="I1124" t="s">
        <v>2533</v>
      </c>
      <c r="J1124" s="7">
        <v>629924</v>
      </c>
      <c r="K1124" t="s">
        <v>71</v>
      </c>
      <c r="L1124" t="s">
        <v>23</v>
      </c>
      <c r="M1124" t="s">
        <v>78</v>
      </c>
      <c r="N1124" s="6">
        <v>7</v>
      </c>
      <c r="O1124" t="s">
        <v>36</v>
      </c>
      <c r="P1124">
        <f t="shared" si="17"/>
        <v>67</v>
      </c>
    </row>
    <row r="1125" spans="1:16" x14ac:dyDescent="0.2">
      <c r="A1125" t="s">
        <v>1613</v>
      </c>
      <c r="B1125" t="s">
        <v>80</v>
      </c>
      <c r="C1125" t="s">
        <v>92</v>
      </c>
      <c r="D1125" s="4">
        <v>30916</v>
      </c>
      <c r="E1125" s="4">
        <v>45436</v>
      </c>
      <c r="F1125" s="9">
        <v>45444</v>
      </c>
      <c r="G1125" t="s">
        <v>74</v>
      </c>
      <c r="H1125" t="s">
        <v>2528</v>
      </c>
      <c r="I1125" t="s">
        <v>2534</v>
      </c>
      <c r="J1125" s="7">
        <v>4403000</v>
      </c>
      <c r="K1125" t="s">
        <v>48</v>
      </c>
      <c r="L1125" t="s">
        <v>2527</v>
      </c>
      <c r="M1125" t="s">
        <v>35</v>
      </c>
      <c r="N1125" s="6">
        <v>8</v>
      </c>
      <c r="O1125" t="s">
        <v>2531</v>
      </c>
      <c r="P1125">
        <f t="shared" si="17"/>
        <v>40</v>
      </c>
    </row>
    <row r="1126" spans="1:16" x14ac:dyDescent="0.2">
      <c r="A1126" t="s">
        <v>2469</v>
      </c>
      <c r="B1126" t="s">
        <v>119</v>
      </c>
      <c r="C1126" t="s">
        <v>28</v>
      </c>
      <c r="D1126" s="4">
        <v>18524</v>
      </c>
      <c r="E1126" s="4">
        <v>45386</v>
      </c>
      <c r="F1126" s="9" t="s">
        <v>2536</v>
      </c>
      <c r="G1126" t="s">
        <v>40</v>
      </c>
      <c r="H1126" t="s">
        <v>75</v>
      </c>
      <c r="I1126" t="s">
        <v>2533</v>
      </c>
      <c r="J1126" s="7">
        <v>3568312</v>
      </c>
      <c r="K1126" t="s">
        <v>71</v>
      </c>
      <c r="L1126" t="s">
        <v>2527</v>
      </c>
      <c r="M1126" t="s">
        <v>35</v>
      </c>
      <c r="N1126" s="6" t="s">
        <v>2525</v>
      </c>
      <c r="O1126" t="s">
        <v>36</v>
      </c>
      <c r="P1126">
        <f t="shared" si="17"/>
        <v>74</v>
      </c>
    </row>
    <row r="1127" spans="1:16" x14ac:dyDescent="0.2">
      <c r="A1127" t="s">
        <v>2470</v>
      </c>
      <c r="B1127" t="s">
        <v>45</v>
      </c>
      <c r="C1127" t="s">
        <v>92</v>
      </c>
      <c r="D1127" s="4">
        <v>38605</v>
      </c>
      <c r="E1127" s="4">
        <v>45448</v>
      </c>
      <c r="F1127" s="9">
        <v>45453</v>
      </c>
      <c r="G1127" t="s">
        <v>72</v>
      </c>
      <c r="H1127" t="s">
        <v>2529</v>
      </c>
      <c r="I1127" t="s">
        <v>67</v>
      </c>
      <c r="J1127" s="7">
        <v>2488500</v>
      </c>
      <c r="K1127" t="s">
        <v>48</v>
      </c>
      <c r="L1127" t="s">
        <v>2527</v>
      </c>
      <c r="M1127" t="s">
        <v>24</v>
      </c>
      <c r="N1127" s="6">
        <v>5</v>
      </c>
      <c r="O1127" t="s">
        <v>2531</v>
      </c>
      <c r="P1127">
        <f t="shared" si="17"/>
        <v>19</v>
      </c>
    </row>
    <row r="1128" spans="1:16" x14ac:dyDescent="0.2">
      <c r="A1128" t="s">
        <v>2471</v>
      </c>
      <c r="B1128" t="s">
        <v>150</v>
      </c>
      <c r="C1128" t="s">
        <v>39</v>
      </c>
      <c r="D1128" s="4">
        <v>28269</v>
      </c>
      <c r="E1128" s="4">
        <v>45393</v>
      </c>
      <c r="F1128" s="9">
        <v>45397</v>
      </c>
      <c r="G1128" t="s">
        <v>60</v>
      </c>
      <c r="H1128" t="s">
        <v>66</v>
      </c>
      <c r="I1128" t="s">
        <v>2533</v>
      </c>
      <c r="J1128" s="7">
        <v>2576276</v>
      </c>
      <c r="K1128" t="s">
        <v>43</v>
      </c>
      <c r="L1128" t="s">
        <v>2527</v>
      </c>
      <c r="M1128" t="s">
        <v>78</v>
      </c>
      <c r="N1128" s="6">
        <v>4</v>
      </c>
      <c r="O1128" t="s">
        <v>2531</v>
      </c>
      <c r="P1128">
        <f t="shared" si="17"/>
        <v>47</v>
      </c>
    </row>
    <row r="1129" spans="1:16" x14ac:dyDescent="0.2">
      <c r="A1129" t="s">
        <v>2472</v>
      </c>
      <c r="B1129" t="s">
        <v>27</v>
      </c>
      <c r="C1129" t="s">
        <v>28</v>
      </c>
      <c r="D1129" s="4">
        <v>23051</v>
      </c>
      <c r="E1129" s="4">
        <v>45304</v>
      </c>
      <c r="F1129" s="9">
        <v>45307</v>
      </c>
      <c r="G1129" t="s">
        <v>50</v>
      </c>
      <c r="H1129" t="s">
        <v>2528</v>
      </c>
      <c r="I1129" t="s">
        <v>2534</v>
      </c>
      <c r="J1129" s="7">
        <v>4168500</v>
      </c>
      <c r="K1129" t="s">
        <v>48</v>
      </c>
      <c r="L1129" t="s">
        <v>23</v>
      </c>
      <c r="M1129" t="s">
        <v>35</v>
      </c>
      <c r="N1129" s="6">
        <v>3</v>
      </c>
      <c r="O1129" t="s">
        <v>25</v>
      </c>
      <c r="P1129">
        <f t="shared" si="17"/>
        <v>61</v>
      </c>
    </row>
    <row r="1130" spans="1:16" x14ac:dyDescent="0.2">
      <c r="A1130" t="s">
        <v>2473</v>
      </c>
      <c r="B1130" t="s">
        <v>114</v>
      </c>
      <c r="C1130" t="s">
        <v>28</v>
      </c>
      <c r="D1130" s="4">
        <v>20269</v>
      </c>
      <c r="E1130" s="4">
        <v>45321</v>
      </c>
      <c r="F1130" s="9">
        <v>45329</v>
      </c>
      <c r="G1130" t="s">
        <v>60</v>
      </c>
      <c r="H1130" t="s">
        <v>66</v>
      </c>
      <c r="I1130" t="s">
        <v>2535</v>
      </c>
      <c r="J1130" s="7">
        <v>3062864</v>
      </c>
      <c r="K1130" t="s">
        <v>48</v>
      </c>
      <c r="L1130" t="s">
        <v>2527</v>
      </c>
      <c r="M1130" t="s">
        <v>78</v>
      </c>
      <c r="N1130" s="6">
        <v>8</v>
      </c>
      <c r="O1130" t="s">
        <v>2531</v>
      </c>
      <c r="P1130">
        <f t="shared" si="17"/>
        <v>69</v>
      </c>
    </row>
    <row r="1131" spans="1:16" x14ac:dyDescent="0.2">
      <c r="A1131" t="s">
        <v>1621</v>
      </c>
      <c r="B1131" t="s">
        <v>87</v>
      </c>
      <c r="C1131" t="s">
        <v>92</v>
      </c>
      <c r="D1131" s="4">
        <v>26273</v>
      </c>
      <c r="E1131" s="4">
        <v>45302</v>
      </c>
      <c r="F1131" s="9">
        <v>45309</v>
      </c>
      <c r="G1131" t="s">
        <v>29</v>
      </c>
      <c r="H1131" t="s">
        <v>19</v>
      </c>
      <c r="I1131" t="s">
        <v>67</v>
      </c>
      <c r="J1131" s="7">
        <v>5095972</v>
      </c>
      <c r="K1131" t="s">
        <v>43</v>
      </c>
      <c r="L1131" t="s">
        <v>34</v>
      </c>
      <c r="M1131" t="s">
        <v>35</v>
      </c>
      <c r="N1131" s="6">
        <v>7</v>
      </c>
      <c r="O1131" t="s">
        <v>2531</v>
      </c>
      <c r="P1131">
        <f t="shared" si="17"/>
        <v>53</v>
      </c>
    </row>
    <row r="1132" spans="1:16" x14ac:dyDescent="0.2">
      <c r="A1132" t="s">
        <v>2474</v>
      </c>
      <c r="B1132" t="s">
        <v>16</v>
      </c>
      <c r="C1132" t="s">
        <v>28</v>
      </c>
      <c r="D1132" s="4">
        <v>22025</v>
      </c>
      <c r="E1132" s="4">
        <v>45410</v>
      </c>
      <c r="F1132" s="9">
        <v>45424</v>
      </c>
      <c r="G1132" t="s">
        <v>40</v>
      </c>
      <c r="H1132" t="s">
        <v>75</v>
      </c>
      <c r="I1132" t="s">
        <v>2535</v>
      </c>
      <c r="J1132" s="7">
        <v>3402344</v>
      </c>
      <c r="K1132" t="s">
        <v>48</v>
      </c>
      <c r="L1132" t="s">
        <v>2527</v>
      </c>
      <c r="M1132" t="s">
        <v>24</v>
      </c>
      <c r="N1132" s="6">
        <v>14</v>
      </c>
      <c r="O1132" t="s">
        <v>25</v>
      </c>
      <c r="P1132">
        <f t="shared" si="17"/>
        <v>64</v>
      </c>
    </row>
    <row r="1133" spans="1:16" x14ac:dyDescent="0.2">
      <c r="A1133" t="s">
        <v>2475</v>
      </c>
      <c r="B1133" t="s">
        <v>82</v>
      </c>
      <c r="C1133" t="s">
        <v>39</v>
      </c>
      <c r="D1133" s="4">
        <v>20848</v>
      </c>
      <c r="E1133" s="4">
        <v>45309</v>
      </c>
      <c r="F1133" s="9">
        <v>45318</v>
      </c>
      <c r="G1133" t="s">
        <v>50</v>
      </c>
      <c r="H1133" t="s">
        <v>2528</v>
      </c>
      <c r="I1133" t="s">
        <v>2534</v>
      </c>
      <c r="J1133" s="7">
        <v>2904440</v>
      </c>
      <c r="K1133" t="s">
        <v>71</v>
      </c>
      <c r="L1133" t="s">
        <v>23</v>
      </c>
      <c r="M1133" t="s">
        <v>35</v>
      </c>
      <c r="N1133" s="6">
        <v>9</v>
      </c>
      <c r="O1133" t="s">
        <v>2531</v>
      </c>
      <c r="P1133">
        <f t="shared" si="17"/>
        <v>67</v>
      </c>
    </row>
    <row r="1134" spans="1:16" x14ac:dyDescent="0.2">
      <c r="A1134" t="s">
        <v>2476</v>
      </c>
      <c r="B1134" t="s">
        <v>102</v>
      </c>
      <c r="C1134" t="s">
        <v>92</v>
      </c>
      <c r="D1134" s="4">
        <v>24971</v>
      </c>
      <c r="E1134" s="4">
        <v>45338</v>
      </c>
      <c r="F1134" s="9">
        <v>45341</v>
      </c>
      <c r="G1134" t="s">
        <v>88</v>
      </c>
      <c r="H1134" t="s">
        <v>66</v>
      </c>
      <c r="I1134" t="s">
        <v>67</v>
      </c>
      <c r="J1134" s="7">
        <v>1746500</v>
      </c>
      <c r="K1134" t="s">
        <v>71</v>
      </c>
      <c r="L1134" t="s">
        <v>2527</v>
      </c>
      <c r="M1134" t="s">
        <v>35</v>
      </c>
      <c r="N1134" s="6">
        <v>3</v>
      </c>
      <c r="O1134" t="s">
        <v>25</v>
      </c>
      <c r="P1134">
        <f t="shared" si="17"/>
        <v>56</v>
      </c>
    </row>
    <row r="1135" spans="1:16" x14ac:dyDescent="0.2">
      <c r="A1135" t="s">
        <v>2477</v>
      </c>
      <c r="B1135" t="s">
        <v>16</v>
      </c>
      <c r="C1135" t="s">
        <v>92</v>
      </c>
      <c r="D1135" s="4">
        <v>28135</v>
      </c>
      <c r="E1135" s="4">
        <v>45461</v>
      </c>
      <c r="F1135" s="9">
        <v>45468</v>
      </c>
      <c r="G1135" t="s">
        <v>40</v>
      </c>
      <c r="H1135" t="s">
        <v>75</v>
      </c>
      <c r="I1135" t="s">
        <v>67</v>
      </c>
      <c r="J1135" s="7">
        <v>581000</v>
      </c>
      <c r="K1135" t="s">
        <v>48</v>
      </c>
      <c r="L1135" t="s">
        <v>2527</v>
      </c>
      <c r="M1135" t="s">
        <v>78</v>
      </c>
      <c r="N1135" s="6">
        <v>7</v>
      </c>
      <c r="O1135" t="s">
        <v>25</v>
      </c>
      <c r="P1135">
        <f t="shared" si="17"/>
        <v>47</v>
      </c>
    </row>
    <row r="1136" spans="1:16" x14ac:dyDescent="0.2">
      <c r="A1136" t="s">
        <v>2478</v>
      </c>
      <c r="B1136" t="s">
        <v>150</v>
      </c>
      <c r="C1136" t="s">
        <v>28</v>
      </c>
      <c r="D1136" s="4">
        <v>39978</v>
      </c>
      <c r="E1136" s="4">
        <v>45404</v>
      </c>
      <c r="F1136" s="9" t="s">
        <v>2536</v>
      </c>
      <c r="G1136" t="s">
        <v>60</v>
      </c>
      <c r="H1136" t="s">
        <v>66</v>
      </c>
      <c r="I1136" t="s">
        <v>67</v>
      </c>
      <c r="J1136" s="7">
        <v>2708296</v>
      </c>
      <c r="K1136" t="s">
        <v>48</v>
      </c>
      <c r="L1136" t="s">
        <v>34</v>
      </c>
      <c r="M1136" t="s">
        <v>35</v>
      </c>
      <c r="N1136" s="6" t="s">
        <v>2525</v>
      </c>
      <c r="O1136" t="s">
        <v>36</v>
      </c>
      <c r="P1136">
        <f t="shared" si="17"/>
        <v>15</v>
      </c>
    </row>
    <row r="1137" spans="1:16" x14ac:dyDescent="0.2">
      <c r="A1137" t="s">
        <v>1630</v>
      </c>
      <c r="B1137" t="s">
        <v>140</v>
      </c>
      <c r="C1137" t="s">
        <v>28</v>
      </c>
      <c r="D1137" s="4">
        <v>36584</v>
      </c>
      <c r="E1137" s="4">
        <v>45400</v>
      </c>
      <c r="F1137" s="9">
        <v>45408</v>
      </c>
      <c r="G1137" t="s">
        <v>46</v>
      </c>
      <c r="H1137" t="s">
        <v>30</v>
      </c>
      <c r="I1137" t="s">
        <v>67</v>
      </c>
      <c r="J1137" s="7">
        <v>1406956</v>
      </c>
      <c r="K1137" t="s">
        <v>43</v>
      </c>
      <c r="L1137" t="s">
        <v>23</v>
      </c>
      <c r="M1137" t="s">
        <v>35</v>
      </c>
      <c r="N1137" s="6">
        <v>8</v>
      </c>
      <c r="O1137" t="s">
        <v>25</v>
      </c>
      <c r="P1137">
        <f t="shared" si="17"/>
        <v>24</v>
      </c>
    </row>
    <row r="1138" spans="1:16" x14ac:dyDescent="0.2">
      <c r="A1138" t="s">
        <v>2479</v>
      </c>
      <c r="B1138" t="s">
        <v>118</v>
      </c>
      <c r="C1138" t="s">
        <v>92</v>
      </c>
      <c r="D1138" s="4">
        <v>21796</v>
      </c>
      <c r="E1138" s="4">
        <v>45344</v>
      </c>
      <c r="F1138" s="9">
        <v>45348</v>
      </c>
      <c r="G1138" t="s">
        <v>60</v>
      </c>
      <c r="H1138" t="s">
        <v>66</v>
      </c>
      <c r="I1138" t="s">
        <v>2533</v>
      </c>
      <c r="J1138" s="7">
        <v>3783316</v>
      </c>
      <c r="K1138" t="s">
        <v>48</v>
      </c>
      <c r="L1138" t="s">
        <v>2527</v>
      </c>
      <c r="M1138" t="s">
        <v>78</v>
      </c>
      <c r="N1138" s="6">
        <v>4</v>
      </c>
      <c r="O1138" t="s">
        <v>25</v>
      </c>
      <c r="P1138">
        <f t="shared" si="17"/>
        <v>65</v>
      </c>
    </row>
    <row r="1139" spans="1:16" x14ac:dyDescent="0.2">
      <c r="A1139" t="s">
        <v>2480</v>
      </c>
      <c r="B1139" t="s">
        <v>82</v>
      </c>
      <c r="C1139" t="s">
        <v>28</v>
      </c>
      <c r="D1139" s="4">
        <v>33939</v>
      </c>
      <c r="E1139" s="4">
        <v>45372</v>
      </c>
      <c r="F1139" s="9">
        <v>45373</v>
      </c>
      <c r="G1139" t="s">
        <v>60</v>
      </c>
      <c r="H1139" t="s">
        <v>66</v>
      </c>
      <c r="I1139" t="s">
        <v>2533</v>
      </c>
      <c r="J1139" s="7">
        <v>2002932</v>
      </c>
      <c r="K1139" t="s">
        <v>48</v>
      </c>
      <c r="L1139" t="s">
        <v>23</v>
      </c>
      <c r="M1139" t="s">
        <v>35</v>
      </c>
      <c r="N1139" s="6">
        <v>1</v>
      </c>
      <c r="O1139" t="s">
        <v>36</v>
      </c>
      <c r="P1139">
        <f t="shared" si="17"/>
        <v>32</v>
      </c>
    </row>
    <row r="1140" spans="1:16" x14ac:dyDescent="0.2">
      <c r="A1140" t="s">
        <v>2481</v>
      </c>
      <c r="B1140" t="s">
        <v>140</v>
      </c>
      <c r="C1140" t="s">
        <v>28</v>
      </c>
      <c r="D1140" s="4">
        <v>19215</v>
      </c>
      <c r="E1140" s="4">
        <v>45361</v>
      </c>
      <c r="F1140" s="9" t="s">
        <v>2536</v>
      </c>
      <c r="G1140" t="s">
        <v>40</v>
      </c>
      <c r="H1140" t="s">
        <v>75</v>
      </c>
      <c r="I1140" t="s">
        <v>2533</v>
      </c>
      <c r="J1140" s="7">
        <v>901508</v>
      </c>
      <c r="K1140" t="s">
        <v>48</v>
      </c>
      <c r="L1140" t="s">
        <v>2527</v>
      </c>
      <c r="M1140" t="s">
        <v>24</v>
      </c>
      <c r="N1140" s="6" t="s">
        <v>2525</v>
      </c>
      <c r="O1140" t="s">
        <v>25</v>
      </c>
      <c r="P1140">
        <f t="shared" si="17"/>
        <v>72</v>
      </c>
    </row>
    <row r="1141" spans="1:16" x14ac:dyDescent="0.2">
      <c r="A1141" t="s">
        <v>2482</v>
      </c>
      <c r="B1141" t="s">
        <v>87</v>
      </c>
      <c r="C1141" t="s">
        <v>92</v>
      </c>
      <c r="D1141" s="4">
        <v>19971</v>
      </c>
      <c r="E1141" s="4">
        <v>45306</v>
      </c>
      <c r="F1141" s="9">
        <v>45318</v>
      </c>
      <c r="G1141" t="s">
        <v>60</v>
      </c>
      <c r="H1141" t="s">
        <v>66</v>
      </c>
      <c r="I1141" t="s">
        <v>2535</v>
      </c>
      <c r="J1141" s="7">
        <v>3949284</v>
      </c>
      <c r="K1141" t="s">
        <v>71</v>
      </c>
      <c r="L1141" t="s">
        <v>2527</v>
      </c>
      <c r="M1141" t="s">
        <v>78</v>
      </c>
      <c r="N1141" s="6">
        <v>12</v>
      </c>
      <c r="O1141" t="s">
        <v>25</v>
      </c>
      <c r="P1141">
        <f t="shared" si="17"/>
        <v>70</v>
      </c>
    </row>
    <row r="1142" spans="1:16" x14ac:dyDescent="0.2">
      <c r="A1142" t="s">
        <v>2483</v>
      </c>
      <c r="B1142" t="s">
        <v>85</v>
      </c>
      <c r="C1142" t="s">
        <v>39</v>
      </c>
      <c r="D1142" s="4">
        <v>24256</v>
      </c>
      <c r="E1142" s="4">
        <v>45304</v>
      </c>
      <c r="F1142" s="9">
        <v>45313</v>
      </c>
      <c r="G1142" t="s">
        <v>40</v>
      </c>
      <c r="H1142" t="s">
        <v>75</v>
      </c>
      <c r="I1142" t="s">
        <v>2533</v>
      </c>
      <c r="J1142" s="7">
        <v>1565380</v>
      </c>
      <c r="K1142" t="s">
        <v>48</v>
      </c>
      <c r="L1142" t="s">
        <v>2527</v>
      </c>
      <c r="M1142" t="s">
        <v>24</v>
      </c>
      <c r="N1142" s="6">
        <v>9</v>
      </c>
      <c r="O1142" t="s">
        <v>25</v>
      </c>
      <c r="P1142">
        <f t="shared" si="17"/>
        <v>58</v>
      </c>
    </row>
    <row r="1143" spans="1:16" x14ac:dyDescent="0.2">
      <c r="A1143" t="s">
        <v>1638</v>
      </c>
      <c r="B1143" t="s">
        <v>59</v>
      </c>
      <c r="C1143" t="s">
        <v>92</v>
      </c>
      <c r="D1143" s="4">
        <v>19578</v>
      </c>
      <c r="E1143" s="4">
        <v>45390</v>
      </c>
      <c r="F1143" s="9">
        <v>45395</v>
      </c>
      <c r="G1143" t="s">
        <v>40</v>
      </c>
      <c r="H1143" t="s">
        <v>75</v>
      </c>
      <c r="I1143" t="s">
        <v>2534</v>
      </c>
      <c r="J1143" s="7">
        <v>1512572</v>
      </c>
      <c r="K1143" t="s">
        <v>71</v>
      </c>
      <c r="L1143" t="s">
        <v>23</v>
      </c>
      <c r="M1143" t="s">
        <v>24</v>
      </c>
      <c r="N1143" s="6">
        <v>5</v>
      </c>
      <c r="O1143" t="s">
        <v>2531</v>
      </c>
      <c r="P1143">
        <f t="shared" si="17"/>
        <v>71</v>
      </c>
    </row>
    <row r="1144" spans="1:16" x14ac:dyDescent="0.2">
      <c r="A1144" t="s">
        <v>1640</v>
      </c>
      <c r="B1144" t="s">
        <v>140</v>
      </c>
      <c r="C1144" t="s">
        <v>92</v>
      </c>
      <c r="D1144" s="4">
        <v>22523</v>
      </c>
      <c r="E1144" s="4">
        <v>45314</v>
      </c>
      <c r="F1144" s="9" t="s">
        <v>2536</v>
      </c>
      <c r="G1144" t="s">
        <v>100</v>
      </c>
      <c r="H1144" t="s">
        <v>61</v>
      </c>
      <c r="I1144" t="s">
        <v>67</v>
      </c>
      <c r="J1144" s="7">
        <v>2037000</v>
      </c>
      <c r="K1144" t="s">
        <v>43</v>
      </c>
      <c r="L1144" t="s">
        <v>2527</v>
      </c>
      <c r="M1144" t="s">
        <v>24</v>
      </c>
      <c r="N1144" s="6" t="s">
        <v>2525</v>
      </c>
      <c r="O1144" t="s">
        <v>25</v>
      </c>
      <c r="P1144">
        <f t="shared" si="17"/>
        <v>63</v>
      </c>
    </row>
    <row r="1145" spans="1:16" x14ac:dyDescent="0.2">
      <c r="A1145" t="s">
        <v>2484</v>
      </c>
      <c r="B1145" t="s">
        <v>80</v>
      </c>
      <c r="C1145" t="s">
        <v>39</v>
      </c>
      <c r="D1145" s="4">
        <v>34147</v>
      </c>
      <c r="E1145" s="4">
        <v>45469</v>
      </c>
      <c r="F1145" s="9">
        <v>45484</v>
      </c>
      <c r="G1145" t="s">
        <v>18</v>
      </c>
      <c r="H1145" t="s">
        <v>2529</v>
      </c>
      <c r="I1145" t="s">
        <v>2533</v>
      </c>
      <c r="J1145" s="7">
        <v>1092000</v>
      </c>
      <c r="K1145" t="s">
        <v>48</v>
      </c>
      <c r="L1145" t="s">
        <v>23</v>
      </c>
      <c r="M1145" t="s">
        <v>24</v>
      </c>
      <c r="N1145" s="6">
        <v>15</v>
      </c>
      <c r="O1145" t="s">
        <v>25</v>
      </c>
      <c r="P1145">
        <f t="shared" si="17"/>
        <v>31</v>
      </c>
    </row>
    <row r="1146" spans="1:16" x14ac:dyDescent="0.2">
      <c r="A1146" t="s">
        <v>2485</v>
      </c>
      <c r="B1146" t="s">
        <v>16</v>
      </c>
      <c r="C1146" t="s">
        <v>28</v>
      </c>
      <c r="D1146" s="4">
        <v>24014</v>
      </c>
      <c r="E1146" s="4">
        <v>45418</v>
      </c>
      <c r="F1146" s="9">
        <v>45422</v>
      </c>
      <c r="G1146" t="s">
        <v>40</v>
      </c>
      <c r="H1146" t="s">
        <v>75</v>
      </c>
      <c r="I1146" t="s">
        <v>67</v>
      </c>
      <c r="J1146" s="7">
        <v>1637048</v>
      </c>
      <c r="K1146" t="s">
        <v>48</v>
      </c>
      <c r="L1146" t="s">
        <v>2527</v>
      </c>
      <c r="M1146" t="s">
        <v>35</v>
      </c>
      <c r="N1146" s="6">
        <v>4</v>
      </c>
      <c r="O1146" t="s">
        <v>36</v>
      </c>
      <c r="P1146">
        <f t="shared" si="17"/>
        <v>59</v>
      </c>
    </row>
    <row r="1147" spans="1:16" x14ac:dyDescent="0.2">
      <c r="A1147" t="s">
        <v>1643</v>
      </c>
      <c r="B1147" t="s">
        <v>118</v>
      </c>
      <c r="C1147" t="s">
        <v>28</v>
      </c>
      <c r="D1147" s="4">
        <v>28766</v>
      </c>
      <c r="E1147" s="4">
        <v>45443</v>
      </c>
      <c r="F1147" s="9">
        <v>45447</v>
      </c>
      <c r="G1147" t="s">
        <v>88</v>
      </c>
      <c r="H1147" t="s">
        <v>66</v>
      </c>
      <c r="I1147" t="s">
        <v>2535</v>
      </c>
      <c r="J1147" s="7">
        <v>1886000</v>
      </c>
      <c r="K1147" t="s">
        <v>48</v>
      </c>
      <c r="L1147" t="s">
        <v>2527</v>
      </c>
      <c r="M1147" t="s">
        <v>78</v>
      </c>
      <c r="N1147" s="6">
        <v>4</v>
      </c>
      <c r="O1147" t="s">
        <v>25</v>
      </c>
      <c r="P1147">
        <f t="shared" si="17"/>
        <v>46</v>
      </c>
    </row>
    <row r="1148" spans="1:16" x14ac:dyDescent="0.2">
      <c r="A1148" t="s">
        <v>2486</v>
      </c>
      <c r="B1148" t="s">
        <v>105</v>
      </c>
      <c r="C1148" t="s">
        <v>39</v>
      </c>
      <c r="D1148" s="4">
        <v>35256</v>
      </c>
      <c r="E1148" s="4">
        <v>45422</v>
      </c>
      <c r="F1148" s="9" t="s">
        <v>2536</v>
      </c>
      <c r="G1148" t="s">
        <v>100</v>
      </c>
      <c r="H1148" t="s">
        <v>61</v>
      </c>
      <c r="I1148" t="s">
        <v>41</v>
      </c>
      <c r="J1148" s="7">
        <v>1659680</v>
      </c>
      <c r="K1148" t="s">
        <v>48</v>
      </c>
      <c r="L1148" t="s">
        <v>2527</v>
      </c>
      <c r="M1148" t="s">
        <v>24</v>
      </c>
      <c r="N1148" s="6" t="s">
        <v>2525</v>
      </c>
      <c r="O1148" t="s">
        <v>2531</v>
      </c>
      <c r="P1148">
        <f t="shared" si="17"/>
        <v>28</v>
      </c>
    </row>
    <row r="1149" spans="1:16" x14ac:dyDescent="0.2">
      <c r="A1149" t="s">
        <v>2487</v>
      </c>
      <c r="B1149" t="s">
        <v>51</v>
      </c>
      <c r="C1149" t="s">
        <v>39</v>
      </c>
      <c r="D1149" s="4">
        <v>32950</v>
      </c>
      <c r="E1149" s="4">
        <v>45357</v>
      </c>
      <c r="F1149" s="9">
        <v>45368</v>
      </c>
      <c r="G1149" t="s">
        <v>46</v>
      </c>
      <c r="H1149" t="s">
        <v>30</v>
      </c>
      <c r="I1149" t="s">
        <v>2534</v>
      </c>
      <c r="J1149" s="7">
        <v>2821456</v>
      </c>
      <c r="K1149" t="s">
        <v>48</v>
      </c>
      <c r="L1149" t="s">
        <v>2527</v>
      </c>
      <c r="M1149" t="s">
        <v>35</v>
      </c>
      <c r="N1149" s="6">
        <v>11</v>
      </c>
      <c r="O1149" t="s">
        <v>36</v>
      </c>
      <c r="P1149">
        <f t="shared" si="17"/>
        <v>34</v>
      </c>
    </row>
    <row r="1150" spans="1:16" x14ac:dyDescent="0.2">
      <c r="A1150" t="s">
        <v>2488</v>
      </c>
      <c r="B1150" t="s">
        <v>140</v>
      </c>
      <c r="C1150" t="s">
        <v>28</v>
      </c>
      <c r="D1150" s="4">
        <v>30017</v>
      </c>
      <c r="E1150" s="4">
        <v>45296</v>
      </c>
      <c r="F1150" s="9" t="s">
        <v>2536</v>
      </c>
      <c r="G1150" t="s">
        <v>29</v>
      </c>
      <c r="H1150" t="s">
        <v>19</v>
      </c>
      <c r="I1150" t="s">
        <v>2535</v>
      </c>
      <c r="J1150" s="7">
        <v>1022212</v>
      </c>
      <c r="K1150" t="s">
        <v>43</v>
      </c>
      <c r="L1150" t="s">
        <v>23</v>
      </c>
      <c r="M1150" t="s">
        <v>35</v>
      </c>
      <c r="N1150" s="6" t="s">
        <v>2525</v>
      </c>
      <c r="O1150" t="s">
        <v>2531</v>
      </c>
      <c r="P1150">
        <f t="shared" si="17"/>
        <v>42</v>
      </c>
    </row>
    <row r="1151" spans="1:16" x14ac:dyDescent="0.2">
      <c r="A1151" t="s">
        <v>1646</v>
      </c>
      <c r="B1151" t="s">
        <v>87</v>
      </c>
      <c r="C1151" t="s">
        <v>92</v>
      </c>
      <c r="D1151" s="4">
        <v>27630</v>
      </c>
      <c r="E1151" s="4">
        <v>45310</v>
      </c>
      <c r="F1151" s="9">
        <v>45325</v>
      </c>
      <c r="G1151" t="s">
        <v>50</v>
      </c>
      <c r="H1151" t="s">
        <v>2528</v>
      </c>
      <c r="I1151" t="s">
        <v>67</v>
      </c>
      <c r="J1151" s="7">
        <v>4588500</v>
      </c>
      <c r="K1151" t="s">
        <v>48</v>
      </c>
      <c r="L1151" t="s">
        <v>2527</v>
      </c>
      <c r="M1151" t="s">
        <v>35</v>
      </c>
      <c r="N1151" s="6">
        <v>15</v>
      </c>
      <c r="O1151" t="s">
        <v>2531</v>
      </c>
      <c r="P1151">
        <f t="shared" si="17"/>
        <v>49</v>
      </c>
    </row>
    <row r="1152" spans="1:16" x14ac:dyDescent="0.2">
      <c r="A1152" t="s">
        <v>2489</v>
      </c>
      <c r="B1152" t="s">
        <v>87</v>
      </c>
      <c r="C1152" t="s">
        <v>28</v>
      </c>
      <c r="D1152" s="4">
        <v>31653</v>
      </c>
      <c r="E1152" s="4">
        <v>45451</v>
      </c>
      <c r="F1152" s="9">
        <v>45454</v>
      </c>
      <c r="G1152" t="s">
        <v>29</v>
      </c>
      <c r="H1152" t="s">
        <v>19</v>
      </c>
      <c r="I1152" t="s">
        <v>67</v>
      </c>
      <c r="J1152" s="7">
        <v>2751000</v>
      </c>
      <c r="K1152" t="s">
        <v>43</v>
      </c>
      <c r="L1152" t="s">
        <v>34</v>
      </c>
      <c r="M1152" t="s">
        <v>24</v>
      </c>
      <c r="N1152" s="6">
        <v>3</v>
      </c>
      <c r="O1152" t="s">
        <v>25</v>
      </c>
      <c r="P1152">
        <f t="shared" si="17"/>
        <v>38</v>
      </c>
    </row>
    <row r="1153" spans="1:16" x14ac:dyDescent="0.2">
      <c r="A1153" t="s">
        <v>1650</v>
      </c>
      <c r="B1153" t="s">
        <v>51</v>
      </c>
      <c r="C1153" t="s">
        <v>28</v>
      </c>
      <c r="D1153" s="4">
        <v>21769</v>
      </c>
      <c r="E1153" s="4">
        <v>45459</v>
      </c>
      <c r="F1153" s="9" t="s">
        <v>2536</v>
      </c>
      <c r="G1153" t="s">
        <v>18</v>
      </c>
      <c r="H1153" t="s">
        <v>2529</v>
      </c>
      <c r="I1153" t="s">
        <v>41</v>
      </c>
      <c r="J1153" s="7">
        <v>2108548</v>
      </c>
      <c r="K1153" t="s">
        <v>48</v>
      </c>
      <c r="L1153" t="s">
        <v>34</v>
      </c>
      <c r="M1153" t="s">
        <v>35</v>
      </c>
      <c r="N1153" s="6" t="s">
        <v>2525</v>
      </c>
      <c r="O1153" t="s">
        <v>25</v>
      </c>
      <c r="P1153">
        <f t="shared" si="17"/>
        <v>65</v>
      </c>
    </row>
    <row r="1154" spans="1:16" x14ac:dyDescent="0.2">
      <c r="A1154" t="s">
        <v>1652</v>
      </c>
      <c r="B1154" t="s">
        <v>102</v>
      </c>
      <c r="C1154" t="s">
        <v>28</v>
      </c>
      <c r="D1154" s="4">
        <v>27965</v>
      </c>
      <c r="E1154" s="4">
        <v>45387</v>
      </c>
      <c r="F1154" s="9">
        <v>45396</v>
      </c>
      <c r="G1154" t="s">
        <v>40</v>
      </c>
      <c r="H1154" t="s">
        <v>75</v>
      </c>
      <c r="I1154" t="s">
        <v>2533</v>
      </c>
      <c r="J1154" s="7">
        <v>2678120</v>
      </c>
      <c r="K1154" t="s">
        <v>48</v>
      </c>
      <c r="L1154" t="s">
        <v>34</v>
      </c>
      <c r="M1154" t="s">
        <v>24</v>
      </c>
      <c r="N1154" s="6">
        <v>9</v>
      </c>
      <c r="O1154" t="s">
        <v>2531</v>
      </c>
      <c r="P1154">
        <f t="shared" si="17"/>
        <v>48</v>
      </c>
    </row>
    <row r="1155" spans="1:16" x14ac:dyDescent="0.2">
      <c r="A1155" t="s">
        <v>1653</v>
      </c>
      <c r="B1155" t="s">
        <v>118</v>
      </c>
      <c r="C1155" t="s">
        <v>92</v>
      </c>
      <c r="D1155" s="4">
        <v>28277</v>
      </c>
      <c r="E1155" s="4">
        <v>45464</v>
      </c>
      <c r="F1155" s="9" t="s">
        <v>2536</v>
      </c>
      <c r="G1155" t="s">
        <v>29</v>
      </c>
      <c r="H1155" t="s">
        <v>19</v>
      </c>
      <c r="I1155" t="s">
        <v>2535</v>
      </c>
      <c r="J1155" s="7">
        <v>4258588</v>
      </c>
      <c r="K1155" t="s">
        <v>71</v>
      </c>
      <c r="L1155" t="s">
        <v>2527</v>
      </c>
      <c r="M1155" t="s">
        <v>35</v>
      </c>
      <c r="N1155" s="6" t="s">
        <v>2525</v>
      </c>
      <c r="O1155" t="s">
        <v>36</v>
      </c>
      <c r="P1155">
        <f t="shared" ref="P1155:P1201" si="18">YEAR(E1155)-YEAR(D1155)</f>
        <v>47</v>
      </c>
    </row>
    <row r="1156" spans="1:16" x14ac:dyDescent="0.2">
      <c r="A1156" t="s">
        <v>2490</v>
      </c>
      <c r="B1156" t="s">
        <v>118</v>
      </c>
      <c r="C1156" t="s">
        <v>28</v>
      </c>
      <c r="D1156" s="4">
        <v>31427</v>
      </c>
      <c r="E1156" s="4">
        <v>45394</v>
      </c>
      <c r="F1156" s="9">
        <v>45396</v>
      </c>
      <c r="G1156" t="s">
        <v>46</v>
      </c>
      <c r="H1156" t="s">
        <v>30</v>
      </c>
      <c r="I1156" t="s">
        <v>2533</v>
      </c>
      <c r="J1156" s="7">
        <v>5461856</v>
      </c>
      <c r="K1156" t="s">
        <v>48</v>
      </c>
      <c r="L1156" t="s">
        <v>23</v>
      </c>
      <c r="M1156" t="s">
        <v>24</v>
      </c>
      <c r="N1156" s="6">
        <v>2</v>
      </c>
      <c r="O1156" t="s">
        <v>25</v>
      </c>
      <c r="P1156">
        <f t="shared" si="18"/>
        <v>38</v>
      </c>
    </row>
    <row r="1157" spans="1:16" x14ac:dyDescent="0.2">
      <c r="A1157" t="s">
        <v>1656</v>
      </c>
      <c r="B1157" t="s">
        <v>150</v>
      </c>
      <c r="C1157" t="s">
        <v>28</v>
      </c>
      <c r="D1157" s="4">
        <v>24261</v>
      </c>
      <c r="E1157" s="4">
        <v>45370</v>
      </c>
      <c r="F1157" s="9" t="s">
        <v>2536</v>
      </c>
      <c r="G1157" t="s">
        <v>46</v>
      </c>
      <c r="H1157" t="s">
        <v>30</v>
      </c>
      <c r="I1157" t="s">
        <v>2533</v>
      </c>
      <c r="J1157" s="7">
        <v>4484908</v>
      </c>
      <c r="K1157" t="s">
        <v>48</v>
      </c>
      <c r="L1157" t="s">
        <v>2527</v>
      </c>
      <c r="M1157" t="s">
        <v>24</v>
      </c>
      <c r="N1157" s="6" t="s">
        <v>2525</v>
      </c>
      <c r="O1157" t="s">
        <v>2531</v>
      </c>
      <c r="P1157">
        <f t="shared" si="18"/>
        <v>58</v>
      </c>
    </row>
    <row r="1158" spans="1:16" x14ac:dyDescent="0.2">
      <c r="A1158" t="s">
        <v>2491</v>
      </c>
      <c r="B1158" t="s">
        <v>16</v>
      </c>
      <c r="C1158" t="s">
        <v>92</v>
      </c>
      <c r="D1158" s="4">
        <v>33699</v>
      </c>
      <c r="E1158" s="4">
        <v>45331</v>
      </c>
      <c r="F1158" s="9">
        <v>45341</v>
      </c>
      <c r="G1158" t="s">
        <v>18</v>
      </c>
      <c r="H1158" t="s">
        <v>2529</v>
      </c>
      <c r="I1158" t="s">
        <v>2535</v>
      </c>
      <c r="J1158" s="7">
        <v>1120284</v>
      </c>
      <c r="K1158" t="s">
        <v>43</v>
      </c>
      <c r="L1158" t="s">
        <v>23</v>
      </c>
      <c r="M1158" t="s">
        <v>35</v>
      </c>
      <c r="N1158" s="6">
        <v>10</v>
      </c>
      <c r="O1158" t="s">
        <v>25</v>
      </c>
      <c r="P1158">
        <f t="shared" si="18"/>
        <v>32</v>
      </c>
    </row>
    <row r="1159" spans="1:16" x14ac:dyDescent="0.2">
      <c r="A1159" t="s">
        <v>1660</v>
      </c>
      <c r="B1159" t="s">
        <v>82</v>
      </c>
      <c r="C1159" t="s">
        <v>28</v>
      </c>
      <c r="D1159" s="4">
        <v>31693</v>
      </c>
      <c r="E1159" s="4">
        <v>45468</v>
      </c>
      <c r="F1159" s="9">
        <v>45469</v>
      </c>
      <c r="G1159" t="s">
        <v>83</v>
      </c>
      <c r="H1159" t="s">
        <v>66</v>
      </c>
      <c r="I1159" t="s">
        <v>2534</v>
      </c>
      <c r="J1159" s="7">
        <v>1505000</v>
      </c>
      <c r="K1159" t="s">
        <v>48</v>
      </c>
      <c r="L1159" t="s">
        <v>2527</v>
      </c>
      <c r="M1159" t="s">
        <v>35</v>
      </c>
      <c r="N1159" s="6">
        <v>1</v>
      </c>
      <c r="O1159" t="s">
        <v>36</v>
      </c>
      <c r="P1159">
        <f t="shared" si="18"/>
        <v>38</v>
      </c>
    </row>
    <row r="1160" spans="1:16" x14ac:dyDescent="0.2">
      <c r="A1160" t="s">
        <v>2492</v>
      </c>
      <c r="B1160" t="s">
        <v>80</v>
      </c>
      <c r="C1160" t="s">
        <v>92</v>
      </c>
      <c r="D1160" s="4">
        <v>24144</v>
      </c>
      <c r="E1160" s="4">
        <v>45354</v>
      </c>
      <c r="F1160" s="9">
        <v>45355</v>
      </c>
      <c r="G1160" t="s">
        <v>40</v>
      </c>
      <c r="H1160" t="s">
        <v>75</v>
      </c>
      <c r="I1160" t="s">
        <v>67</v>
      </c>
      <c r="J1160" s="7">
        <v>3602260</v>
      </c>
      <c r="K1160" t="s">
        <v>43</v>
      </c>
      <c r="L1160" t="s">
        <v>34</v>
      </c>
      <c r="M1160" t="s">
        <v>35</v>
      </c>
      <c r="N1160" s="6">
        <v>1</v>
      </c>
      <c r="O1160" t="s">
        <v>2531</v>
      </c>
      <c r="P1160">
        <f t="shared" si="18"/>
        <v>58</v>
      </c>
    </row>
    <row r="1161" spans="1:16" x14ac:dyDescent="0.2">
      <c r="A1161" t="s">
        <v>2493</v>
      </c>
      <c r="B1161" t="s">
        <v>140</v>
      </c>
      <c r="C1161" t="s">
        <v>39</v>
      </c>
      <c r="D1161" s="4">
        <v>33251</v>
      </c>
      <c r="E1161" s="4">
        <v>45354</v>
      </c>
      <c r="F1161" s="9">
        <v>45363</v>
      </c>
      <c r="G1161" t="s">
        <v>40</v>
      </c>
      <c r="H1161" t="s">
        <v>75</v>
      </c>
      <c r="I1161" t="s">
        <v>2533</v>
      </c>
      <c r="J1161" s="7">
        <v>5575016</v>
      </c>
      <c r="K1161" t="s">
        <v>48</v>
      </c>
      <c r="L1161" t="s">
        <v>2527</v>
      </c>
      <c r="M1161" t="s">
        <v>78</v>
      </c>
      <c r="N1161" s="6">
        <v>9</v>
      </c>
      <c r="O1161" t="s">
        <v>2531</v>
      </c>
      <c r="P1161">
        <f t="shared" si="18"/>
        <v>33</v>
      </c>
    </row>
    <row r="1162" spans="1:16" x14ac:dyDescent="0.2">
      <c r="A1162" t="s">
        <v>2494</v>
      </c>
      <c r="B1162" t="s">
        <v>16</v>
      </c>
      <c r="C1162" t="s">
        <v>28</v>
      </c>
      <c r="D1162" s="4">
        <v>36035</v>
      </c>
      <c r="E1162" s="4">
        <v>45337</v>
      </c>
      <c r="F1162" s="9">
        <v>45341</v>
      </c>
      <c r="G1162" t="s">
        <v>40</v>
      </c>
      <c r="H1162" t="s">
        <v>75</v>
      </c>
      <c r="I1162" t="s">
        <v>41</v>
      </c>
      <c r="J1162" s="7">
        <v>1214584</v>
      </c>
      <c r="K1162" t="s">
        <v>48</v>
      </c>
      <c r="L1162" t="s">
        <v>23</v>
      </c>
      <c r="M1162" t="s">
        <v>35</v>
      </c>
      <c r="N1162" s="6">
        <v>4</v>
      </c>
      <c r="O1162" t="s">
        <v>25</v>
      </c>
      <c r="P1162">
        <f t="shared" si="18"/>
        <v>26</v>
      </c>
    </row>
    <row r="1163" spans="1:16" x14ac:dyDescent="0.2">
      <c r="A1163" t="s">
        <v>1666</v>
      </c>
      <c r="B1163" t="s">
        <v>91</v>
      </c>
      <c r="C1163" t="s">
        <v>28</v>
      </c>
      <c r="D1163" s="4">
        <v>38212</v>
      </c>
      <c r="E1163" s="4">
        <v>45317</v>
      </c>
      <c r="F1163" s="9">
        <v>45320</v>
      </c>
      <c r="G1163" t="s">
        <v>18</v>
      </c>
      <c r="H1163" t="s">
        <v>2529</v>
      </c>
      <c r="I1163" t="s">
        <v>41</v>
      </c>
      <c r="J1163" s="7">
        <v>863788</v>
      </c>
      <c r="K1163" t="s">
        <v>48</v>
      </c>
      <c r="L1163" t="s">
        <v>34</v>
      </c>
      <c r="M1163" t="s">
        <v>78</v>
      </c>
      <c r="N1163" s="6">
        <v>3</v>
      </c>
      <c r="O1163" t="s">
        <v>36</v>
      </c>
      <c r="P1163">
        <f t="shared" si="18"/>
        <v>20</v>
      </c>
    </row>
    <row r="1164" spans="1:16" x14ac:dyDescent="0.2">
      <c r="A1164" t="s">
        <v>2495</v>
      </c>
      <c r="B1164" t="s">
        <v>16</v>
      </c>
      <c r="C1164" t="s">
        <v>28</v>
      </c>
      <c r="D1164" s="4">
        <v>19687</v>
      </c>
      <c r="E1164" s="4">
        <v>45453</v>
      </c>
      <c r="F1164" s="9">
        <v>45456</v>
      </c>
      <c r="G1164" t="s">
        <v>72</v>
      </c>
      <c r="H1164" t="s">
        <v>2529</v>
      </c>
      <c r="I1164" t="s">
        <v>2535</v>
      </c>
      <c r="J1164" s="7">
        <v>1067500</v>
      </c>
      <c r="K1164" t="s">
        <v>48</v>
      </c>
      <c r="L1164" t="s">
        <v>34</v>
      </c>
      <c r="M1164" t="s">
        <v>24</v>
      </c>
      <c r="N1164" s="6">
        <v>3</v>
      </c>
      <c r="O1164" t="s">
        <v>2531</v>
      </c>
      <c r="P1164">
        <f t="shared" si="18"/>
        <v>71</v>
      </c>
    </row>
    <row r="1165" spans="1:16" x14ac:dyDescent="0.2">
      <c r="A1165" t="s">
        <v>2496</v>
      </c>
      <c r="B1165" t="s">
        <v>82</v>
      </c>
      <c r="C1165" t="s">
        <v>92</v>
      </c>
      <c r="D1165" s="4">
        <v>33358</v>
      </c>
      <c r="E1165" s="4">
        <v>45382</v>
      </c>
      <c r="F1165" s="9">
        <v>45391</v>
      </c>
      <c r="G1165" t="s">
        <v>40</v>
      </c>
      <c r="H1165" t="s">
        <v>75</v>
      </c>
      <c r="I1165" t="s">
        <v>2533</v>
      </c>
      <c r="J1165" s="7">
        <v>3077952</v>
      </c>
      <c r="K1165" t="s">
        <v>48</v>
      </c>
      <c r="L1165" t="s">
        <v>34</v>
      </c>
      <c r="M1165" t="s">
        <v>24</v>
      </c>
      <c r="N1165" s="6">
        <v>9</v>
      </c>
      <c r="O1165" t="s">
        <v>2531</v>
      </c>
      <c r="P1165">
        <f t="shared" si="18"/>
        <v>33</v>
      </c>
    </row>
    <row r="1166" spans="1:16" x14ac:dyDescent="0.2">
      <c r="A1166" t="s">
        <v>2497</v>
      </c>
      <c r="B1166" t="s">
        <v>118</v>
      </c>
      <c r="C1166" t="s">
        <v>92</v>
      </c>
      <c r="D1166" s="4">
        <v>31346</v>
      </c>
      <c r="E1166" s="4">
        <v>45335</v>
      </c>
      <c r="F1166" s="9">
        <v>45337</v>
      </c>
      <c r="G1166" t="s">
        <v>83</v>
      </c>
      <c r="H1166" t="s">
        <v>66</v>
      </c>
      <c r="I1166" t="s">
        <v>67</v>
      </c>
      <c r="J1166" s="7">
        <v>2753560</v>
      </c>
      <c r="K1166" t="s">
        <v>48</v>
      </c>
      <c r="L1166" t="s">
        <v>2527</v>
      </c>
      <c r="M1166" t="s">
        <v>35</v>
      </c>
      <c r="N1166" s="6">
        <v>2</v>
      </c>
      <c r="O1166" t="s">
        <v>36</v>
      </c>
      <c r="P1166">
        <f t="shared" si="18"/>
        <v>39</v>
      </c>
    </row>
    <row r="1167" spans="1:16" x14ac:dyDescent="0.2">
      <c r="A1167" t="s">
        <v>2498</v>
      </c>
      <c r="B1167" t="s">
        <v>64</v>
      </c>
      <c r="C1167" t="s">
        <v>39</v>
      </c>
      <c r="D1167" s="4">
        <v>32824</v>
      </c>
      <c r="E1167" s="4">
        <v>45326</v>
      </c>
      <c r="F1167" s="9">
        <v>45337</v>
      </c>
      <c r="G1167" t="s">
        <v>46</v>
      </c>
      <c r="H1167" t="s">
        <v>30</v>
      </c>
      <c r="I1167" t="s">
        <v>2535</v>
      </c>
      <c r="J1167" s="7">
        <v>3556996</v>
      </c>
      <c r="K1167" t="s">
        <v>43</v>
      </c>
      <c r="L1167" t="s">
        <v>2527</v>
      </c>
      <c r="M1167" t="s">
        <v>35</v>
      </c>
      <c r="N1167" s="6">
        <v>11</v>
      </c>
      <c r="O1167" t="s">
        <v>2531</v>
      </c>
      <c r="P1167">
        <f t="shared" si="18"/>
        <v>35</v>
      </c>
    </row>
    <row r="1168" spans="1:16" x14ac:dyDescent="0.2">
      <c r="A1168" t="s">
        <v>2499</v>
      </c>
      <c r="B1168" t="s">
        <v>56</v>
      </c>
      <c r="C1168" t="s">
        <v>92</v>
      </c>
      <c r="D1168" s="4">
        <v>36693</v>
      </c>
      <c r="E1168" s="4">
        <v>45433</v>
      </c>
      <c r="F1168" s="9">
        <v>45444</v>
      </c>
      <c r="G1168" t="s">
        <v>60</v>
      </c>
      <c r="H1168" t="s">
        <v>66</v>
      </c>
      <c r="I1168" t="s">
        <v>2533</v>
      </c>
      <c r="J1168" s="7">
        <v>4777500</v>
      </c>
      <c r="K1168" t="s">
        <v>71</v>
      </c>
      <c r="L1168" t="s">
        <v>2527</v>
      </c>
      <c r="M1168" t="s">
        <v>35</v>
      </c>
      <c r="N1168" s="6">
        <v>11</v>
      </c>
      <c r="O1168" t="s">
        <v>2531</v>
      </c>
      <c r="P1168">
        <f t="shared" si="18"/>
        <v>24</v>
      </c>
    </row>
    <row r="1169" spans="1:16" x14ac:dyDescent="0.2">
      <c r="A1169" t="s">
        <v>2500</v>
      </c>
      <c r="B1169" t="s">
        <v>45</v>
      </c>
      <c r="C1169" t="s">
        <v>92</v>
      </c>
      <c r="D1169" s="4">
        <v>31730</v>
      </c>
      <c r="E1169" s="4">
        <v>45354</v>
      </c>
      <c r="F1169" s="9">
        <v>45363</v>
      </c>
      <c r="G1169" t="s">
        <v>50</v>
      </c>
      <c r="H1169" t="s">
        <v>2528</v>
      </c>
      <c r="I1169" t="s">
        <v>2534</v>
      </c>
      <c r="J1169" s="7">
        <v>4865880</v>
      </c>
      <c r="K1169" t="s">
        <v>71</v>
      </c>
      <c r="L1169" t="s">
        <v>2527</v>
      </c>
      <c r="M1169" t="s">
        <v>24</v>
      </c>
      <c r="N1169" s="6">
        <v>9</v>
      </c>
      <c r="O1169" t="s">
        <v>36</v>
      </c>
      <c r="P1169">
        <f t="shared" si="18"/>
        <v>38</v>
      </c>
    </row>
    <row r="1170" spans="1:16" x14ac:dyDescent="0.2">
      <c r="A1170" t="s">
        <v>2501</v>
      </c>
      <c r="B1170" t="s">
        <v>64</v>
      </c>
      <c r="C1170" t="s">
        <v>39</v>
      </c>
      <c r="D1170" s="4">
        <v>38086</v>
      </c>
      <c r="E1170" s="4">
        <v>45461</v>
      </c>
      <c r="F1170" s="9">
        <v>45467</v>
      </c>
      <c r="G1170" t="s">
        <v>74</v>
      </c>
      <c r="H1170" t="s">
        <v>2528</v>
      </c>
      <c r="I1170" t="s">
        <v>67</v>
      </c>
      <c r="J1170" s="7">
        <v>1640820</v>
      </c>
      <c r="K1170" t="s">
        <v>48</v>
      </c>
      <c r="L1170" t="s">
        <v>2527</v>
      </c>
      <c r="M1170" t="s">
        <v>35</v>
      </c>
      <c r="N1170" s="6">
        <v>6</v>
      </c>
      <c r="O1170" t="s">
        <v>2531</v>
      </c>
      <c r="P1170">
        <f t="shared" si="18"/>
        <v>20</v>
      </c>
    </row>
    <row r="1171" spans="1:16" x14ac:dyDescent="0.2">
      <c r="A1171" t="s">
        <v>2502</v>
      </c>
      <c r="B1171" t="s">
        <v>80</v>
      </c>
      <c r="C1171" t="s">
        <v>92</v>
      </c>
      <c r="D1171" s="4">
        <v>36101</v>
      </c>
      <c r="E1171" s="4">
        <v>45361</v>
      </c>
      <c r="F1171" s="9">
        <v>45363</v>
      </c>
      <c r="G1171" t="s">
        <v>88</v>
      </c>
      <c r="H1171" t="s">
        <v>66</v>
      </c>
      <c r="I1171" t="s">
        <v>2535</v>
      </c>
      <c r="J1171" s="7">
        <v>4801756</v>
      </c>
      <c r="K1171" t="s">
        <v>48</v>
      </c>
      <c r="L1171" t="s">
        <v>2527</v>
      </c>
      <c r="M1171" t="s">
        <v>78</v>
      </c>
      <c r="N1171" s="6">
        <v>2</v>
      </c>
      <c r="O1171" t="s">
        <v>2531</v>
      </c>
      <c r="P1171">
        <f t="shared" si="18"/>
        <v>26</v>
      </c>
    </row>
    <row r="1172" spans="1:16" x14ac:dyDescent="0.2">
      <c r="A1172" t="s">
        <v>2503</v>
      </c>
      <c r="B1172" t="s">
        <v>91</v>
      </c>
      <c r="C1172" t="s">
        <v>92</v>
      </c>
      <c r="D1172" s="4">
        <v>37761</v>
      </c>
      <c r="E1172" s="4">
        <v>45359</v>
      </c>
      <c r="F1172" s="9">
        <v>45366</v>
      </c>
      <c r="G1172" t="s">
        <v>88</v>
      </c>
      <c r="H1172" t="s">
        <v>66</v>
      </c>
      <c r="I1172" t="s">
        <v>2533</v>
      </c>
      <c r="J1172" s="7">
        <v>3236376</v>
      </c>
      <c r="K1172" t="s">
        <v>48</v>
      </c>
      <c r="L1172" t="s">
        <v>34</v>
      </c>
      <c r="M1172" t="s">
        <v>35</v>
      </c>
      <c r="N1172" s="6">
        <v>7</v>
      </c>
      <c r="O1172" t="s">
        <v>36</v>
      </c>
      <c r="P1172">
        <f t="shared" si="18"/>
        <v>21</v>
      </c>
    </row>
    <row r="1173" spans="1:16" x14ac:dyDescent="0.2">
      <c r="A1173" t="s">
        <v>2504</v>
      </c>
      <c r="B1173" t="s">
        <v>118</v>
      </c>
      <c r="C1173" t="s">
        <v>39</v>
      </c>
      <c r="D1173" s="4">
        <v>31479</v>
      </c>
      <c r="E1173" s="4">
        <v>45443</v>
      </c>
      <c r="F1173" s="9">
        <v>45444</v>
      </c>
      <c r="G1173" t="s">
        <v>29</v>
      </c>
      <c r="H1173" t="s">
        <v>19</v>
      </c>
      <c r="I1173" t="s">
        <v>67</v>
      </c>
      <c r="J1173" s="7">
        <v>4347000</v>
      </c>
      <c r="K1173" t="s">
        <v>43</v>
      </c>
      <c r="L1173" t="s">
        <v>23</v>
      </c>
      <c r="M1173" t="s">
        <v>78</v>
      </c>
      <c r="N1173" s="6">
        <v>1</v>
      </c>
      <c r="O1173" t="s">
        <v>36</v>
      </c>
      <c r="P1173">
        <f t="shared" si="18"/>
        <v>38</v>
      </c>
    </row>
    <row r="1174" spans="1:16" x14ac:dyDescent="0.2">
      <c r="A1174" t="s">
        <v>2505</v>
      </c>
      <c r="B1174" t="s">
        <v>114</v>
      </c>
      <c r="C1174" t="s">
        <v>92</v>
      </c>
      <c r="D1174" s="4">
        <v>19960</v>
      </c>
      <c r="E1174" s="4">
        <v>45296</v>
      </c>
      <c r="F1174" s="9">
        <v>45299</v>
      </c>
      <c r="G1174" t="s">
        <v>72</v>
      </c>
      <c r="H1174" t="s">
        <v>2529</v>
      </c>
      <c r="I1174" t="s">
        <v>67</v>
      </c>
      <c r="J1174" s="7">
        <v>614836</v>
      </c>
      <c r="K1174" t="s">
        <v>48</v>
      </c>
      <c r="L1174" t="s">
        <v>2527</v>
      </c>
      <c r="M1174" t="s">
        <v>78</v>
      </c>
      <c r="N1174" s="6">
        <v>3</v>
      </c>
      <c r="O1174" t="s">
        <v>25</v>
      </c>
      <c r="P1174">
        <f t="shared" si="18"/>
        <v>70</v>
      </c>
    </row>
    <row r="1175" spans="1:16" x14ac:dyDescent="0.2">
      <c r="A1175" t="s">
        <v>1679</v>
      </c>
      <c r="B1175" t="s">
        <v>38</v>
      </c>
      <c r="C1175" t="s">
        <v>92</v>
      </c>
      <c r="D1175" s="4">
        <v>28193</v>
      </c>
      <c r="E1175" s="4">
        <v>45325</v>
      </c>
      <c r="F1175" s="9">
        <v>45330</v>
      </c>
      <c r="G1175" t="s">
        <v>29</v>
      </c>
      <c r="H1175" t="s">
        <v>19</v>
      </c>
      <c r="I1175" t="s">
        <v>2533</v>
      </c>
      <c r="J1175" s="7">
        <v>3266552</v>
      </c>
      <c r="K1175" t="s">
        <v>48</v>
      </c>
      <c r="L1175" t="s">
        <v>34</v>
      </c>
      <c r="M1175" t="s">
        <v>78</v>
      </c>
      <c r="N1175" s="6">
        <v>5</v>
      </c>
      <c r="O1175" t="s">
        <v>25</v>
      </c>
      <c r="P1175">
        <f t="shared" si="18"/>
        <v>47</v>
      </c>
    </row>
    <row r="1176" spans="1:16" x14ac:dyDescent="0.2">
      <c r="A1176" t="s">
        <v>1681</v>
      </c>
      <c r="B1176" t="s">
        <v>59</v>
      </c>
      <c r="C1176" t="s">
        <v>92</v>
      </c>
      <c r="D1176" s="4">
        <v>38294</v>
      </c>
      <c r="E1176" s="4">
        <v>45414</v>
      </c>
      <c r="F1176" s="9">
        <v>45421</v>
      </c>
      <c r="G1176" t="s">
        <v>46</v>
      </c>
      <c r="H1176" t="s">
        <v>30</v>
      </c>
      <c r="I1176" t="s">
        <v>67</v>
      </c>
      <c r="J1176" s="7">
        <v>1339060</v>
      </c>
      <c r="K1176" t="s">
        <v>48</v>
      </c>
      <c r="L1176" t="s">
        <v>23</v>
      </c>
      <c r="M1176" t="s">
        <v>35</v>
      </c>
      <c r="N1176" s="6">
        <v>7</v>
      </c>
      <c r="O1176" t="s">
        <v>2531</v>
      </c>
      <c r="P1176">
        <f t="shared" si="18"/>
        <v>20</v>
      </c>
    </row>
    <row r="1177" spans="1:16" x14ac:dyDescent="0.2">
      <c r="A1177" t="s">
        <v>2506</v>
      </c>
      <c r="B1177" t="s">
        <v>114</v>
      </c>
      <c r="C1177" t="s">
        <v>39</v>
      </c>
      <c r="D1177" s="4">
        <v>19227</v>
      </c>
      <c r="E1177" s="4">
        <v>45419</v>
      </c>
      <c r="F1177" s="9">
        <v>45426</v>
      </c>
      <c r="G1177" t="s">
        <v>40</v>
      </c>
      <c r="H1177" t="s">
        <v>75</v>
      </c>
      <c r="I1177" t="s">
        <v>2534</v>
      </c>
      <c r="J1177" s="7">
        <v>2681000</v>
      </c>
      <c r="K1177" t="s">
        <v>43</v>
      </c>
      <c r="L1177" t="s">
        <v>23</v>
      </c>
      <c r="M1177" t="s">
        <v>24</v>
      </c>
      <c r="N1177" s="6">
        <v>7</v>
      </c>
      <c r="O1177" t="s">
        <v>25</v>
      </c>
      <c r="P1177">
        <f t="shared" si="18"/>
        <v>72</v>
      </c>
    </row>
    <row r="1178" spans="1:16" x14ac:dyDescent="0.2">
      <c r="A1178" t="s">
        <v>1684</v>
      </c>
      <c r="B1178" t="s">
        <v>27</v>
      </c>
      <c r="C1178" t="s">
        <v>28</v>
      </c>
      <c r="D1178" s="4">
        <v>28505</v>
      </c>
      <c r="E1178" s="4">
        <v>45417</v>
      </c>
      <c r="F1178" s="9">
        <v>45422</v>
      </c>
      <c r="G1178" t="s">
        <v>83</v>
      </c>
      <c r="H1178" t="s">
        <v>66</v>
      </c>
      <c r="I1178" t="s">
        <v>67</v>
      </c>
      <c r="J1178" s="7">
        <v>1659680</v>
      </c>
      <c r="K1178" t="s">
        <v>48</v>
      </c>
      <c r="L1178" t="s">
        <v>23</v>
      </c>
      <c r="M1178" t="s">
        <v>78</v>
      </c>
      <c r="N1178" s="6">
        <v>5</v>
      </c>
      <c r="O1178" t="s">
        <v>25</v>
      </c>
      <c r="P1178">
        <f t="shared" si="18"/>
        <v>46</v>
      </c>
    </row>
    <row r="1179" spans="1:16" x14ac:dyDescent="0.2">
      <c r="A1179" t="s">
        <v>1685</v>
      </c>
      <c r="B1179" t="s">
        <v>150</v>
      </c>
      <c r="C1179" t="s">
        <v>28</v>
      </c>
      <c r="D1179" s="4">
        <v>33740</v>
      </c>
      <c r="E1179" s="4">
        <v>45455</v>
      </c>
      <c r="F1179" s="9">
        <v>45463</v>
      </c>
      <c r="G1179" t="s">
        <v>46</v>
      </c>
      <c r="H1179" t="s">
        <v>30</v>
      </c>
      <c r="I1179" t="s">
        <v>41</v>
      </c>
      <c r="J1179" s="7">
        <v>2466888</v>
      </c>
      <c r="K1179" t="s">
        <v>43</v>
      </c>
      <c r="L1179" t="s">
        <v>2527</v>
      </c>
      <c r="M1179" t="s">
        <v>24</v>
      </c>
      <c r="N1179" s="6">
        <v>8</v>
      </c>
      <c r="O1179" t="s">
        <v>36</v>
      </c>
      <c r="P1179">
        <f t="shared" si="18"/>
        <v>32</v>
      </c>
    </row>
    <row r="1180" spans="1:16" x14ac:dyDescent="0.2">
      <c r="A1180" t="s">
        <v>2507</v>
      </c>
      <c r="B1180" t="s">
        <v>59</v>
      </c>
      <c r="C1180" t="s">
        <v>28</v>
      </c>
      <c r="D1180" s="4">
        <v>24193</v>
      </c>
      <c r="E1180" s="4">
        <v>45335</v>
      </c>
      <c r="F1180" s="9" t="s">
        <v>2536</v>
      </c>
      <c r="G1180" t="s">
        <v>83</v>
      </c>
      <c r="H1180" t="s">
        <v>66</v>
      </c>
      <c r="I1180" t="s">
        <v>2533</v>
      </c>
      <c r="J1180" s="7">
        <v>1176000</v>
      </c>
      <c r="K1180" t="s">
        <v>71</v>
      </c>
      <c r="L1180" t="s">
        <v>2527</v>
      </c>
      <c r="M1180" t="s">
        <v>24</v>
      </c>
      <c r="N1180" s="6" t="s">
        <v>2525</v>
      </c>
      <c r="O1180" t="s">
        <v>25</v>
      </c>
      <c r="P1180">
        <f t="shared" si="18"/>
        <v>58</v>
      </c>
    </row>
    <row r="1181" spans="1:16" x14ac:dyDescent="0.2">
      <c r="A1181" t="s">
        <v>1689</v>
      </c>
      <c r="B1181" t="s">
        <v>59</v>
      </c>
      <c r="C1181" t="s">
        <v>92</v>
      </c>
      <c r="D1181" s="4">
        <v>35601</v>
      </c>
      <c r="E1181" s="4">
        <v>45384</v>
      </c>
      <c r="F1181" s="9">
        <v>45389</v>
      </c>
      <c r="G1181" t="s">
        <v>100</v>
      </c>
      <c r="H1181" t="s">
        <v>61</v>
      </c>
      <c r="I1181" t="s">
        <v>2533</v>
      </c>
      <c r="J1181" s="7">
        <v>4017180</v>
      </c>
      <c r="K1181" t="s">
        <v>48</v>
      </c>
      <c r="L1181" t="s">
        <v>23</v>
      </c>
      <c r="M1181" t="s">
        <v>78</v>
      </c>
      <c r="N1181" s="6">
        <v>5</v>
      </c>
      <c r="O1181" t="s">
        <v>36</v>
      </c>
      <c r="P1181">
        <f t="shared" si="18"/>
        <v>27</v>
      </c>
    </row>
    <row r="1182" spans="1:16" x14ac:dyDescent="0.2">
      <c r="A1182" t="s">
        <v>2508</v>
      </c>
      <c r="B1182" t="s">
        <v>45</v>
      </c>
      <c r="C1182" t="s">
        <v>92</v>
      </c>
      <c r="D1182" s="4">
        <v>33378</v>
      </c>
      <c r="E1182" s="4">
        <v>45383</v>
      </c>
      <c r="F1182" s="9">
        <v>45393</v>
      </c>
      <c r="G1182" t="s">
        <v>50</v>
      </c>
      <c r="H1182" t="s">
        <v>2528</v>
      </c>
      <c r="I1182" t="s">
        <v>2533</v>
      </c>
      <c r="J1182" s="7">
        <v>5035620</v>
      </c>
      <c r="K1182" t="s">
        <v>48</v>
      </c>
      <c r="L1182" t="s">
        <v>2527</v>
      </c>
      <c r="M1182" t="s">
        <v>35</v>
      </c>
      <c r="N1182" s="6">
        <v>10</v>
      </c>
      <c r="O1182" t="s">
        <v>25</v>
      </c>
      <c r="P1182">
        <f t="shared" si="18"/>
        <v>33</v>
      </c>
    </row>
    <row r="1183" spans="1:16" x14ac:dyDescent="0.2">
      <c r="A1183" t="s">
        <v>1692</v>
      </c>
      <c r="B1183" t="s">
        <v>51</v>
      </c>
      <c r="C1183" t="s">
        <v>92</v>
      </c>
      <c r="D1183" s="4">
        <v>35626</v>
      </c>
      <c r="E1183" s="4">
        <v>45399</v>
      </c>
      <c r="F1183" s="9">
        <v>45401</v>
      </c>
      <c r="G1183" t="s">
        <v>50</v>
      </c>
      <c r="H1183" t="s">
        <v>2528</v>
      </c>
      <c r="I1183" t="s">
        <v>2534</v>
      </c>
      <c r="J1183" s="7">
        <v>4401924</v>
      </c>
      <c r="K1183" t="s">
        <v>71</v>
      </c>
      <c r="L1183" t="s">
        <v>34</v>
      </c>
      <c r="M1183" t="s">
        <v>24</v>
      </c>
      <c r="N1183" s="6">
        <v>2</v>
      </c>
      <c r="O1183" t="s">
        <v>25</v>
      </c>
      <c r="P1183">
        <f t="shared" si="18"/>
        <v>27</v>
      </c>
    </row>
    <row r="1184" spans="1:16" x14ac:dyDescent="0.2">
      <c r="A1184" t="s">
        <v>2509</v>
      </c>
      <c r="B1184" t="s">
        <v>150</v>
      </c>
      <c r="C1184" t="s">
        <v>92</v>
      </c>
      <c r="D1184" s="4">
        <v>23968</v>
      </c>
      <c r="E1184" s="4">
        <v>45431</v>
      </c>
      <c r="F1184" s="9">
        <v>45436</v>
      </c>
      <c r="G1184" t="s">
        <v>46</v>
      </c>
      <c r="H1184" t="s">
        <v>30</v>
      </c>
      <c r="I1184" t="s">
        <v>2534</v>
      </c>
      <c r="J1184" s="7">
        <v>798000</v>
      </c>
      <c r="K1184" t="s">
        <v>48</v>
      </c>
      <c r="L1184" t="s">
        <v>34</v>
      </c>
      <c r="M1184" t="s">
        <v>78</v>
      </c>
      <c r="N1184" s="6">
        <v>5</v>
      </c>
      <c r="O1184" t="s">
        <v>36</v>
      </c>
      <c r="P1184">
        <f t="shared" si="18"/>
        <v>59</v>
      </c>
    </row>
    <row r="1185" spans="1:16" x14ac:dyDescent="0.2">
      <c r="A1185" t="s">
        <v>2510</v>
      </c>
      <c r="B1185" t="s">
        <v>51</v>
      </c>
      <c r="C1185" t="s">
        <v>92</v>
      </c>
      <c r="D1185" s="4">
        <v>25683</v>
      </c>
      <c r="E1185" s="4">
        <v>45423</v>
      </c>
      <c r="F1185" s="9" t="s">
        <v>2536</v>
      </c>
      <c r="G1185" t="s">
        <v>18</v>
      </c>
      <c r="H1185" t="s">
        <v>2529</v>
      </c>
      <c r="I1185" t="s">
        <v>67</v>
      </c>
      <c r="J1185" s="7">
        <v>3126988</v>
      </c>
      <c r="K1185" t="s">
        <v>71</v>
      </c>
      <c r="L1185" t="s">
        <v>23</v>
      </c>
      <c r="M1185" t="s">
        <v>78</v>
      </c>
      <c r="N1185" s="6" t="s">
        <v>2525</v>
      </c>
      <c r="O1185" t="s">
        <v>36</v>
      </c>
      <c r="P1185">
        <f t="shared" si="18"/>
        <v>54</v>
      </c>
    </row>
    <row r="1186" spans="1:16" x14ac:dyDescent="0.2">
      <c r="A1186" t="s">
        <v>2511</v>
      </c>
      <c r="B1186" t="s">
        <v>150</v>
      </c>
      <c r="C1186" t="s">
        <v>28</v>
      </c>
      <c r="D1186" s="4">
        <v>33966</v>
      </c>
      <c r="E1186" s="4">
        <v>45388</v>
      </c>
      <c r="F1186" s="9">
        <v>45395</v>
      </c>
      <c r="G1186" t="s">
        <v>60</v>
      </c>
      <c r="H1186" t="s">
        <v>66</v>
      </c>
      <c r="I1186" t="s">
        <v>67</v>
      </c>
      <c r="J1186" s="7">
        <v>3436292</v>
      </c>
      <c r="K1186" t="s">
        <v>43</v>
      </c>
      <c r="L1186" t="s">
        <v>2527</v>
      </c>
      <c r="M1186" t="s">
        <v>78</v>
      </c>
      <c r="N1186" s="6">
        <v>7</v>
      </c>
      <c r="O1186" t="s">
        <v>36</v>
      </c>
      <c r="P1186">
        <f t="shared" si="18"/>
        <v>32</v>
      </c>
    </row>
    <row r="1187" spans="1:16" x14ac:dyDescent="0.2">
      <c r="A1187" t="s">
        <v>2512</v>
      </c>
      <c r="B1187" t="s">
        <v>80</v>
      </c>
      <c r="C1187" t="s">
        <v>92</v>
      </c>
      <c r="D1187" s="4">
        <v>37516</v>
      </c>
      <c r="E1187" s="4">
        <v>45468</v>
      </c>
      <c r="F1187" s="9" t="s">
        <v>2536</v>
      </c>
      <c r="G1187" t="s">
        <v>40</v>
      </c>
      <c r="H1187" t="s">
        <v>75</v>
      </c>
      <c r="I1187" t="s">
        <v>2535</v>
      </c>
      <c r="J1187" s="7">
        <v>3002512</v>
      </c>
      <c r="K1187" t="s">
        <v>48</v>
      </c>
      <c r="L1187" t="s">
        <v>34</v>
      </c>
      <c r="M1187" t="s">
        <v>24</v>
      </c>
      <c r="N1187" s="6" t="s">
        <v>2525</v>
      </c>
      <c r="O1187" t="s">
        <v>2531</v>
      </c>
      <c r="P1187">
        <f t="shared" si="18"/>
        <v>22</v>
      </c>
    </row>
    <row r="1188" spans="1:16" x14ac:dyDescent="0.2">
      <c r="A1188" t="s">
        <v>2513</v>
      </c>
      <c r="B1188" t="s">
        <v>59</v>
      </c>
      <c r="C1188" t="s">
        <v>28</v>
      </c>
      <c r="D1188" s="4">
        <v>21383</v>
      </c>
      <c r="E1188" s="4">
        <v>45430</v>
      </c>
      <c r="F1188" s="9">
        <v>45435</v>
      </c>
      <c r="G1188" t="s">
        <v>46</v>
      </c>
      <c r="H1188" t="s">
        <v>30</v>
      </c>
      <c r="I1188" t="s">
        <v>2533</v>
      </c>
      <c r="J1188" s="7">
        <v>3143000</v>
      </c>
      <c r="K1188" t="s">
        <v>43</v>
      </c>
      <c r="L1188" t="s">
        <v>2527</v>
      </c>
      <c r="M1188" t="s">
        <v>24</v>
      </c>
      <c r="N1188" s="6">
        <v>5</v>
      </c>
      <c r="O1188" t="s">
        <v>2531</v>
      </c>
      <c r="P1188">
        <f t="shared" si="18"/>
        <v>66</v>
      </c>
    </row>
    <row r="1189" spans="1:16" x14ac:dyDescent="0.2">
      <c r="A1189" t="s">
        <v>2514</v>
      </c>
      <c r="B1189" t="s">
        <v>114</v>
      </c>
      <c r="C1189" t="s">
        <v>92</v>
      </c>
      <c r="D1189" s="4">
        <v>30411</v>
      </c>
      <c r="E1189" s="4">
        <v>45335</v>
      </c>
      <c r="F1189" s="9">
        <v>45350</v>
      </c>
      <c r="G1189" t="s">
        <v>83</v>
      </c>
      <c r="H1189" t="s">
        <v>66</v>
      </c>
      <c r="I1189" t="s">
        <v>2534</v>
      </c>
      <c r="J1189" s="7">
        <v>4441500</v>
      </c>
      <c r="K1189" t="s">
        <v>43</v>
      </c>
      <c r="L1189" t="s">
        <v>23</v>
      </c>
      <c r="M1189" t="s">
        <v>24</v>
      </c>
      <c r="N1189" s="6">
        <v>15</v>
      </c>
      <c r="O1189" t="s">
        <v>2531</v>
      </c>
      <c r="P1189">
        <f t="shared" si="18"/>
        <v>41</v>
      </c>
    </row>
    <row r="1190" spans="1:16" x14ac:dyDescent="0.2">
      <c r="A1190" t="s">
        <v>1702</v>
      </c>
      <c r="B1190" t="s">
        <v>140</v>
      </c>
      <c r="C1190" t="s">
        <v>28</v>
      </c>
      <c r="D1190" s="4">
        <v>20605</v>
      </c>
      <c r="E1190" s="4">
        <v>45441</v>
      </c>
      <c r="F1190" s="9">
        <v>45451</v>
      </c>
      <c r="G1190" t="s">
        <v>46</v>
      </c>
      <c r="H1190" t="s">
        <v>30</v>
      </c>
      <c r="I1190" t="s">
        <v>2535</v>
      </c>
      <c r="J1190" s="7">
        <v>4549032</v>
      </c>
      <c r="K1190" t="s">
        <v>43</v>
      </c>
      <c r="L1190" t="s">
        <v>2527</v>
      </c>
      <c r="M1190" t="s">
        <v>35</v>
      </c>
      <c r="N1190" s="6">
        <v>10</v>
      </c>
      <c r="O1190" t="s">
        <v>36</v>
      </c>
      <c r="P1190">
        <f t="shared" si="18"/>
        <v>68</v>
      </c>
    </row>
    <row r="1191" spans="1:16" x14ac:dyDescent="0.2">
      <c r="A1191" t="s">
        <v>2515</v>
      </c>
      <c r="B1191" t="s">
        <v>105</v>
      </c>
      <c r="C1191" t="s">
        <v>92</v>
      </c>
      <c r="D1191" s="4">
        <v>26871</v>
      </c>
      <c r="E1191" s="4">
        <v>45317</v>
      </c>
      <c r="F1191" s="9">
        <v>45321</v>
      </c>
      <c r="G1191" t="s">
        <v>100</v>
      </c>
      <c r="H1191" t="s">
        <v>61</v>
      </c>
      <c r="I1191" t="s">
        <v>41</v>
      </c>
      <c r="J1191" s="7">
        <v>1610644</v>
      </c>
      <c r="K1191" t="s">
        <v>43</v>
      </c>
      <c r="L1191" t="s">
        <v>34</v>
      </c>
      <c r="M1191" t="s">
        <v>35</v>
      </c>
      <c r="N1191" s="6">
        <v>4</v>
      </c>
      <c r="O1191" t="s">
        <v>25</v>
      </c>
      <c r="P1191">
        <f t="shared" si="18"/>
        <v>51</v>
      </c>
    </row>
    <row r="1192" spans="1:16" x14ac:dyDescent="0.2">
      <c r="A1192" t="s">
        <v>2516</v>
      </c>
      <c r="B1192" t="s">
        <v>64</v>
      </c>
      <c r="C1192" t="s">
        <v>28</v>
      </c>
      <c r="D1192" s="4">
        <v>35570</v>
      </c>
      <c r="E1192" s="4">
        <v>45403</v>
      </c>
      <c r="F1192" s="9">
        <v>45413</v>
      </c>
      <c r="G1192" t="s">
        <v>18</v>
      </c>
      <c r="H1192" t="s">
        <v>2529</v>
      </c>
      <c r="I1192" t="s">
        <v>41</v>
      </c>
      <c r="J1192" s="7">
        <v>4537716</v>
      </c>
      <c r="K1192" t="s">
        <v>48</v>
      </c>
      <c r="L1192" t="s">
        <v>2527</v>
      </c>
      <c r="M1192" t="s">
        <v>24</v>
      </c>
      <c r="N1192" s="6">
        <v>10</v>
      </c>
      <c r="O1192" t="s">
        <v>25</v>
      </c>
      <c r="P1192">
        <f t="shared" si="18"/>
        <v>27</v>
      </c>
    </row>
    <row r="1193" spans="1:16" x14ac:dyDescent="0.2">
      <c r="A1193" t="s">
        <v>2517</v>
      </c>
      <c r="B1193" t="s">
        <v>85</v>
      </c>
      <c r="C1193" t="s">
        <v>28</v>
      </c>
      <c r="D1193" s="4">
        <v>37035</v>
      </c>
      <c r="E1193" s="4">
        <v>45318</v>
      </c>
      <c r="F1193" s="9">
        <v>45319</v>
      </c>
      <c r="G1193" t="s">
        <v>83</v>
      </c>
      <c r="H1193" t="s">
        <v>66</v>
      </c>
      <c r="I1193" t="s">
        <v>2535</v>
      </c>
      <c r="J1193" s="7">
        <v>3658840</v>
      </c>
      <c r="K1193" t="s">
        <v>43</v>
      </c>
      <c r="L1193" t="s">
        <v>23</v>
      </c>
      <c r="M1193" t="s">
        <v>35</v>
      </c>
      <c r="N1193" s="6">
        <v>1</v>
      </c>
      <c r="O1193" t="s">
        <v>25</v>
      </c>
      <c r="P1193">
        <f t="shared" si="18"/>
        <v>23</v>
      </c>
    </row>
    <row r="1194" spans="1:16" x14ac:dyDescent="0.2">
      <c r="A1194" t="s">
        <v>2518</v>
      </c>
      <c r="B1194" t="s">
        <v>59</v>
      </c>
      <c r="C1194" t="s">
        <v>28</v>
      </c>
      <c r="D1194" s="4">
        <v>34798</v>
      </c>
      <c r="E1194" s="4">
        <v>45410</v>
      </c>
      <c r="F1194" s="9">
        <v>45421</v>
      </c>
      <c r="G1194" t="s">
        <v>50</v>
      </c>
      <c r="H1194" t="s">
        <v>2528</v>
      </c>
      <c r="I1194" t="s">
        <v>2534</v>
      </c>
      <c r="J1194" s="7">
        <v>3424976</v>
      </c>
      <c r="K1194" t="s">
        <v>48</v>
      </c>
      <c r="L1194" t="s">
        <v>34</v>
      </c>
      <c r="M1194" t="s">
        <v>24</v>
      </c>
      <c r="N1194" s="6">
        <v>11</v>
      </c>
      <c r="O1194" t="s">
        <v>2531</v>
      </c>
      <c r="P1194">
        <f t="shared" si="18"/>
        <v>29</v>
      </c>
    </row>
    <row r="1195" spans="1:16" x14ac:dyDescent="0.2">
      <c r="A1195" t="s">
        <v>1710</v>
      </c>
      <c r="B1195" t="s">
        <v>64</v>
      </c>
      <c r="C1195" t="s">
        <v>28</v>
      </c>
      <c r="D1195" s="4">
        <v>35717</v>
      </c>
      <c r="E1195" s="4">
        <v>45438</v>
      </c>
      <c r="F1195" s="9">
        <v>45449</v>
      </c>
      <c r="G1195" t="s">
        <v>83</v>
      </c>
      <c r="H1195" t="s">
        <v>66</v>
      </c>
      <c r="I1195" t="s">
        <v>67</v>
      </c>
      <c r="J1195" s="7">
        <v>3670156</v>
      </c>
      <c r="K1195" t="s">
        <v>43</v>
      </c>
      <c r="L1195" t="s">
        <v>34</v>
      </c>
      <c r="M1195" t="s">
        <v>24</v>
      </c>
      <c r="N1195" s="6">
        <v>11</v>
      </c>
      <c r="O1195" t="s">
        <v>2531</v>
      </c>
      <c r="P1195">
        <f t="shared" si="18"/>
        <v>27</v>
      </c>
    </row>
    <row r="1196" spans="1:16" x14ac:dyDescent="0.2">
      <c r="A1196" t="s">
        <v>1711</v>
      </c>
      <c r="B1196" t="s">
        <v>105</v>
      </c>
      <c r="C1196" t="s">
        <v>28</v>
      </c>
      <c r="D1196" s="4">
        <v>22295</v>
      </c>
      <c r="E1196" s="4">
        <v>45364</v>
      </c>
      <c r="F1196" s="9" t="s">
        <v>2536</v>
      </c>
      <c r="G1196" t="s">
        <v>46</v>
      </c>
      <c r="H1196" t="s">
        <v>30</v>
      </c>
      <c r="I1196" t="s">
        <v>67</v>
      </c>
      <c r="J1196" s="7">
        <v>3937968</v>
      </c>
      <c r="K1196" t="s">
        <v>71</v>
      </c>
      <c r="L1196" t="s">
        <v>34</v>
      </c>
      <c r="M1196" t="s">
        <v>78</v>
      </c>
      <c r="N1196" s="6" t="s">
        <v>2525</v>
      </c>
      <c r="O1196" t="s">
        <v>2531</v>
      </c>
      <c r="P1196">
        <f t="shared" si="18"/>
        <v>63</v>
      </c>
    </row>
    <row r="1197" spans="1:16" x14ac:dyDescent="0.2">
      <c r="A1197" t="s">
        <v>2519</v>
      </c>
      <c r="B1197" t="s">
        <v>51</v>
      </c>
      <c r="C1197" t="s">
        <v>28</v>
      </c>
      <c r="D1197" s="4">
        <v>31438</v>
      </c>
      <c r="E1197" s="4">
        <v>45404</v>
      </c>
      <c r="F1197" s="9">
        <v>45410</v>
      </c>
      <c r="G1197" t="s">
        <v>18</v>
      </c>
      <c r="H1197" t="s">
        <v>2529</v>
      </c>
      <c r="I1197" t="s">
        <v>67</v>
      </c>
      <c r="J1197" s="7">
        <v>3104356</v>
      </c>
      <c r="K1197" t="s">
        <v>43</v>
      </c>
      <c r="L1197" t="s">
        <v>34</v>
      </c>
      <c r="M1197" t="s">
        <v>24</v>
      </c>
      <c r="N1197" s="6">
        <v>6</v>
      </c>
      <c r="O1197" t="s">
        <v>36</v>
      </c>
      <c r="P1197">
        <f t="shared" si="18"/>
        <v>38</v>
      </c>
    </row>
    <row r="1198" spans="1:16" x14ac:dyDescent="0.2">
      <c r="A1198" t="s">
        <v>2520</v>
      </c>
      <c r="B1198" t="s">
        <v>59</v>
      </c>
      <c r="C1198" t="s">
        <v>39</v>
      </c>
      <c r="D1198" s="4">
        <v>32360</v>
      </c>
      <c r="E1198" s="4">
        <v>45385</v>
      </c>
      <c r="F1198" s="9">
        <v>45389</v>
      </c>
      <c r="G1198" t="s">
        <v>72</v>
      </c>
      <c r="H1198" t="s">
        <v>2529</v>
      </c>
      <c r="I1198" t="s">
        <v>41</v>
      </c>
      <c r="J1198" s="7">
        <v>3357080</v>
      </c>
      <c r="K1198" t="s">
        <v>48</v>
      </c>
      <c r="L1198" t="s">
        <v>2527</v>
      </c>
      <c r="M1198" t="s">
        <v>24</v>
      </c>
      <c r="N1198" s="6">
        <v>4</v>
      </c>
      <c r="O1198" t="s">
        <v>36</v>
      </c>
      <c r="P1198">
        <f t="shared" si="18"/>
        <v>36</v>
      </c>
    </row>
    <row r="1199" spans="1:16" x14ac:dyDescent="0.2">
      <c r="A1199" t="s">
        <v>1715</v>
      </c>
      <c r="B1199" t="s">
        <v>16</v>
      </c>
      <c r="C1199" t="s">
        <v>28</v>
      </c>
      <c r="D1199" s="4">
        <v>27772</v>
      </c>
      <c r="E1199" s="4">
        <v>45392</v>
      </c>
      <c r="F1199" s="9">
        <v>45406</v>
      </c>
      <c r="G1199" t="s">
        <v>100</v>
      </c>
      <c r="H1199" t="s">
        <v>61</v>
      </c>
      <c r="I1199" t="s">
        <v>67</v>
      </c>
      <c r="J1199" s="7">
        <v>3904020</v>
      </c>
      <c r="K1199" t="s">
        <v>48</v>
      </c>
      <c r="L1199" t="s">
        <v>2527</v>
      </c>
      <c r="M1199" t="s">
        <v>24</v>
      </c>
      <c r="N1199" s="6">
        <v>14</v>
      </c>
      <c r="O1199" t="s">
        <v>36</v>
      </c>
      <c r="P1199">
        <f t="shared" si="18"/>
        <v>48</v>
      </c>
    </row>
    <row r="1200" spans="1:16" x14ac:dyDescent="0.2">
      <c r="A1200" t="s">
        <v>1717</v>
      </c>
      <c r="B1200" t="s">
        <v>45</v>
      </c>
      <c r="C1200" t="s">
        <v>28</v>
      </c>
      <c r="D1200" s="4">
        <v>35343</v>
      </c>
      <c r="E1200" s="4">
        <v>45388</v>
      </c>
      <c r="F1200" s="9">
        <v>45402</v>
      </c>
      <c r="G1200" t="s">
        <v>74</v>
      </c>
      <c r="H1200" t="s">
        <v>2528</v>
      </c>
      <c r="I1200" t="s">
        <v>67</v>
      </c>
      <c r="J1200" s="7">
        <v>5190272</v>
      </c>
      <c r="K1200" t="s">
        <v>48</v>
      </c>
      <c r="L1200" t="s">
        <v>23</v>
      </c>
      <c r="M1200" t="s">
        <v>78</v>
      </c>
      <c r="N1200" s="6">
        <v>14</v>
      </c>
      <c r="O1200" t="s">
        <v>2531</v>
      </c>
      <c r="P1200">
        <f t="shared" si="18"/>
        <v>28</v>
      </c>
    </row>
    <row r="1201" spans="1:16" x14ac:dyDescent="0.2">
      <c r="A1201" t="s">
        <v>2521</v>
      </c>
      <c r="B1201" t="s">
        <v>82</v>
      </c>
      <c r="C1201" t="s">
        <v>39</v>
      </c>
      <c r="D1201" s="4">
        <v>26967</v>
      </c>
      <c r="E1201" s="4">
        <v>45387</v>
      </c>
      <c r="F1201" s="9" t="s">
        <v>2536</v>
      </c>
      <c r="G1201" t="s">
        <v>72</v>
      </c>
      <c r="H1201" t="s">
        <v>2529</v>
      </c>
      <c r="I1201" t="s">
        <v>2535</v>
      </c>
      <c r="J1201" s="7">
        <v>384744</v>
      </c>
      <c r="K1201" t="s">
        <v>71</v>
      </c>
      <c r="L1201" t="s">
        <v>23</v>
      </c>
      <c r="M1201" t="s">
        <v>35</v>
      </c>
      <c r="N1201" s="6" t="s">
        <v>2525</v>
      </c>
      <c r="O1201" t="s">
        <v>36</v>
      </c>
      <c r="P1201">
        <f t="shared" si="18"/>
        <v>51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3C4BA-FD01-4946-8639-F2E866D42C91}">
  <dimension ref="A1:O1201"/>
  <sheetViews>
    <sheetView workbookViewId="0"/>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s="1">
        <v>27276</v>
      </c>
      <c r="E2" s="1">
        <v>45349</v>
      </c>
      <c r="F2" s="1">
        <v>45360</v>
      </c>
      <c r="G2" t="s">
        <v>18</v>
      </c>
      <c r="H2" t="s">
        <v>19</v>
      </c>
      <c r="I2" t="s">
        <v>20</v>
      </c>
      <c r="J2" t="s">
        <v>21</v>
      </c>
      <c r="K2" t="s">
        <v>22</v>
      </c>
      <c r="L2" t="s">
        <v>23</v>
      </c>
      <c r="M2" t="s">
        <v>24</v>
      </c>
      <c r="N2">
        <v>9</v>
      </c>
      <c r="O2" t="s">
        <v>25</v>
      </c>
    </row>
    <row r="3" spans="1:15" x14ac:dyDescent="0.2">
      <c r="A3" t="s">
        <v>26</v>
      </c>
      <c r="B3" t="s">
        <v>27</v>
      </c>
      <c r="C3" t="s">
        <v>28</v>
      </c>
      <c r="D3" s="1">
        <v>25487</v>
      </c>
      <c r="E3" s="1">
        <v>45442</v>
      </c>
      <c r="F3" s="1">
        <v>45443</v>
      </c>
      <c r="G3" t="s">
        <v>29</v>
      </c>
      <c r="H3" t="s">
        <v>30</v>
      </c>
      <c r="I3" t="s">
        <v>31</v>
      </c>
      <c r="J3" t="s">
        <v>32</v>
      </c>
      <c r="K3" t="s">
        <v>33</v>
      </c>
      <c r="L3" t="s">
        <v>34</v>
      </c>
      <c r="M3" t="s">
        <v>35</v>
      </c>
      <c r="N3">
        <v>6</v>
      </c>
      <c r="O3" t="s">
        <v>36</v>
      </c>
    </row>
    <row r="4" spans="1:15" x14ac:dyDescent="0.2">
      <c r="A4" t="s">
        <v>37</v>
      </c>
      <c r="B4" t="s">
        <v>38</v>
      </c>
      <c r="C4" t="s">
        <v>39</v>
      </c>
      <c r="D4" s="1">
        <v>19687</v>
      </c>
      <c r="E4" s="1">
        <v>45429</v>
      </c>
      <c r="F4" s="1">
        <v>45436</v>
      </c>
      <c r="G4" t="s">
        <v>40</v>
      </c>
      <c r="H4" t="s">
        <v>30</v>
      </c>
      <c r="I4" t="s">
        <v>41</v>
      </c>
      <c r="J4" t="s">
        <v>42</v>
      </c>
      <c r="K4" t="s">
        <v>43</v>
      </c>
      <c r="L4" t="s">
        <v>23</v>
      </c>
      <c r="M4" t="s">
        <v>24</v>
      </c>
    </row>
    <row r="5" spans="1:15" x14ac:dyDescent="0.2">
      <c r="A5" t="s">
        <v>44</v>
      </c>
      <c r="B5" t="s">
        <v>45</v>
      </c>
      <c r="C5" t="s">
        <v>17</v>
      </c>
      <c r="D5" s="1">
        <v>25892</v>
      </c>
      <c r="E5" s="1">
        <v>45389</v>
      </c>
      <c r="F5" s="1">
        <v>45403</v>
      </c>
      <c r="G5" t="s">
        <v>46</v>
      </c>
      <c r="H5" t="s">
        <v>30</v>
      </c>
      <c r="I5" t="s">
        <v>31</v>
      </c>
      <c r="J5" t="s">
        <v>47</v>
      </c>
      <c r="K5" t="s">
        <v>48</v>
      </c>
      <c r="L5" t="s">
        <v>23</v>
      </c>
      <c r="M5" t="s">
        <v>24</v>
      </c>
      <c r="N5">
        <v>3</v>
      </c>
      <c r="O5" t="s">
        <v>36</v>
      </c>
    </row>
    <row r="6" spans="1:15" x14ac:dyDescent="0.2">
      <c r="A6">
        <v>4</v>
      </c>
      <c r="B6" t="s">
        <v>38</v>
      </c>
      <c r="C6" t="s">
        <v>49</v>
      </c>
      <c r="D6" s="1">
        <v>36514</v>
      </c>
      <c r="E6" s="1">
        <v>45467</v>
      </c>
      <c r="F6" s="1">
        <v>45480</v>
      </c>
      <c r="G6" t="s">
        <v>50</v>
      </c>
      <c r="I6" t="s">
        <v>20</v>
      </c>
      <c r="J6">
        <v>746</v>
      </c>
      <c r="K6" t="s">
        <v>33</v>
      </c>
      <c r="L6" t="s">
        <v>34</v>
      </c>
      <c r="M6" t="s">
        <v>35</v>
      </c>
      <c r="N6">
        <v>10</v>
      </c>
    </row>
    <row r="7" spans="1:15" x14ac:dyDescent="0.2">
      <c r="A7">
        <v>5</v>
      </c>
      <c r="B7" t="s">
        <v>51</v>
      </c>
      <c r="C7" t="s">
        <v>49</v>
      </c>
      <c r="D7" s="1">
        <v>34622</v>
      </c>
      <c r="E7" s="1">
        <v>45456</v>
      </c>
      <c r="G7" t="s">
        <v>46</v>
      </c>
      <c r="H7" t="s">
        <v>52</v>
      </c>
      <c r="I7" t="s">
        <v>53</v>
      </c>
      <c r="J7" t="s">
        <v>54</v>
      </c>
      <c r="K7" t="s">
        <v>43</v>
      </c>
      <c r="M7" t="s">
        <v>24</v>
      </c>
      <c r="N7">
        <v>4</v>
      </c>
      <c r="O7" t="s">
        <v>25</v>
      </c>
    </row>
    <row r="8" spans="1:15" x14ac:dyDescent="0.2">
      <c r="A8" t="s">
        <v>55</v>
      </c>
      <c r="B8" t="s">
        <v>56</v>
      </c>
      <c r="C8" t="s">
        <v>17</v>
      </c>
      <c r="D8" s="1">
        <v>19807</v>
      </c>
      <c r="E8" s="1">
        <v>45331</v>
      </c>
      <c r="F8" s="1">
        <v>45338</v>
      </c>
      <c r="G8" t="s">
        <v>29</v>
      </c>
      <c r="H8" t="s">
        <v>19</v>
      </c>
      <c r="I8" t="s">
        <v>57</v>
      </c>
      <c r="J8" t="s">
        <v>58</v>
      </c>
      <c r="K8" t="s">
        <v>43</v>
      </c>
      <c r="L8" t="s">
        <v>34</v>
      </c>
      <c r="M8" t="s">
        <v>24</v>
      </c>
      <c r="N8">
        <v>11</v>
      </c>
    </row>
    <row r="9" spans="1:15" x14ac:dyDescent="0.2">
      <c r="A9">
        <v>7</v>
      </c>
      <c r="B9" t="s">
        <v>59</v>
      </c>
      <c r="C9" t="s">
        <v>17</v>
      </c>
      <c r="D9" s="1">
        <v>27881</v>
      </c>
      <c r="E9" s="1">
        <v>45332</v>
      </c>
      <c r="G9" t="s">
        <v>60</v>
      </c>
      <c r="H9" t="s">
        <v>61</v>
      </c>
      <c r="I9" t="s">
        <v>41</v>
      </c>
      <c r="J9" t="s">
        <v>62</v>
      </c>
      <c r="K9" t="s">
        <v>33</v>
      </c>
      <c r="L9" t="s">
        <v>23</v>
      </c>
      <c r="M9" t="s">
        <v>35</v>
      </c>
      <c r="N9">
        <v>3</v>
      </c>
    </row>
    <row r="10" spans="1:15" x14ac:dyDescent="0.2">
      <c r="A10" t="s">
        <v>63</v>
      </c>
      <c r="B10" t="s">
        <v>64</v>
      </c>
      <c r="C10" t="s">
        <v>65</v>
      </c>
      <c r="D10" s="1">
        <v>28885</v>
      </c>
      <c r="E10" s="1">
        <v>45296</v>
      </c>
      <c r="F10" s="1">
        <v>45311</v>
      </c>
      <c r="G10" t="s">
        <v>50</v>
      </c>
      <c r="H10" t="s">
        <v>66</v>
      </c>
      <c r="I10" t="s">
        <v>67</v>
      </c>
      <c r="J10" t="s">
        <v>68</v>
      </c>
      <c r="K10" t="s">
        <v>48</v>
      </c>
      <c r="M10" t="s">
        <v>35</v>
      </c>
      <c r="N10">
        <v>9</v>
      </c>
      <c r="O10" t="s">
        <v>25</v>
      </c>
    </row>
    <row r="11" spans="1:15" x14ac:dyDescent="0.2">
      <c r="A11" t="s">
        <v>69</v>
      </c>
      <c r="B11" t="s">
        <v>56</v>
      </c>
      <c r="C11" t="s">
        <v>65</v>
      </c>
      <c r="D11" s="1">
        <v>23674</v>
      </c>
      <c r="E11" s="1">
        <v>45427</v>
      </c>
      <c r="F11" s="1">
        <v>45442</v>
      </c>
      <c r="G11" t="s">
        <v>60</v>
      </c>
      <c r="H11" t="s">
        <v>19</v>
      </c>
      <c r="I11" t="s">
        <v>53</v>
      </c>
      <c r="J11" t="s">
        <v>70</v>
      </c>
      <c r="K11" t="s">
        <v>71</v>
      </c>
      <c r="M11" t="s">
        <v>35</v>
      </c>
      <c r="O11" t="s">
        <v>25</v>
      </c>
    </row>
    <row r="12" spans="1:15" x14ac:dyDescent="0.2">
      <c r="A12">
        <v>10</v>
      </c>
      <c r="B12" t="s">
        <v>64</v>
      </c>
      <c r="C12" t="s">
        <v>65</v>
      </c>
      <c r="D12" s="1">
        <v>36414</v>
      </c>
      <c r="E12" s="1">
        <v>45442</v>
      </c>
      <c r="G12" t="s">
        <v>72</v>
      </c>
      <c r="H12" t="s">
        <v>66</v>
      </c>
      <c r="I12" t="s">
        <v>67</v>
      </c>
      <c r="J12" t="s">
        <v>73</v>
      </c>
      <c r="K12" t="s">
        <v>33</v>
      </c>
      <c r="L12" t="s">
        <v>34</v>
      </c>
      <c r="M12" t="s">
        <v>24</v>
      </c>
    </row>
    <row r="13" spans="1:15" x14ac:dyDescent="0.2">
      <c r="A13">
        <v>11</v>
      </c>
      <c r="B13" t="s">
        <v>51</v>
      </c>
      <c r="C13" t="s">
        <v>65</v>
      </c>
      <c r="D13" s="1">
        <v>22599</v>
      </c>
      <c r="E13" s="1">
        <v>45354</v>
      </c>
      <c r="F13" s="1">
        <v>45358</v>
      </c>
      <c r="G13" t="s">
        <v>74</v>
      </c>
      <c r="H13" t="s">
        <v>75</v>
      </c>
      <c r="I13" t="s">
        <v>76</v>
      </c>
      <c r="J13">
        <v>825</v>
      </c>
      <c r="K13" t="s">
        <v>71</v>
      </c>
      <c r="M13" t="s">
        <v>24</v>
      </c>
    </row>
    <row r="14" spans="1:15" x14ac:dyDescent="0.2">
      <c r="A14" t="s">
        <v>77</v>
      </c>
      <c r="B14" t="s">
        <v>16</v>
      </c>
      <c r="C14" t="s">
        <v>17</v>
      </c>
      <c r="D14" s="1">
        <v>31457</v>
      </c>
      <c r="E14" s="1">
        <v>45319</v>
      </c>
      <c r="F14" s="1">
        <v>45328</v>
      </c>
      <c r="G14" t="s">
        <v>46</v>
      </c>
      <c r="H14" t="s">
        <v>19</v>
      </c>
      <c r="I14" t="s">
        <v>67</v>
      </c>
      <c r="J14">
        <v>670</v>
      </c>
      <c r="K14" t="s">
        <v>22</v>
      </c>
      <c r="L14" t="s">
        <v>34</v>
      </c>
      <c r="M14" t="s">
        <v>78</v>
      </c>
      <c r="N14">
        <v>14</v>
      </c>
    </row>
    <row r="15" spans="1:15" x14ac:dyDescent="0.2">
      <c r="A15" t="s">
        <v>79</v>
      </c>
      <c r="B15" t="s">
        <v>80</v>
      </c>
      <c r="C15" t="s">
        <v>49</v>
      </c>
      <c r="D15" s="1">
        <v>35977</v>
      </c>
      <c r="E15" s="1">
        <v>45315</v>
      </c>
      <c r="F15" s="1">
        <v>45323</v>
      </c>
      <c r="G15" t="s">
        <v>50</v>
      </c>
      <c r="I15" t="s">
        <v>76</v>
      </c>
      <c r="J15" t="s">
        <v>81</v>
      </c>
      <c r="K15" t="s">
        <v>71</v>
      </c>
      <c r="L15" t="s">
        <v>34</v>
      </c>
      <c r="M15" t="s">
        <v>78</v>
      </c>
      <c r="O15" t="s">
        <v>36</v>
      </c>
    </row>
    <row r="16" spans="1:15" x14ac:dyDescent="0.2">
      <c r="A16">
        <v>14</v>
      </c>
      <c r="B16" t="s">
        <v>82</v>
      </c>
      <c r="C16" t="s">
        <v>49</v>
      </c>
      <c r="D16" s="1">
        <v>36475</v>
      </c>
      <c r="E16" s="1">
        <v>45331</v>
      </c>
      <c r="F16" s="1">
        <v>45332</v>
      </c>
      <c r="G16" t="s">
        <v>83</v>
      </c>
      <c r="H16" t="s">
        <v>66</v>
      </c>
      <c r="I16" t="s">
        <v>20</v>
      </c>
      <c r="J16">
        <v>1296</v>
      </c>
      <c r="K16" t="s">
        <v>43</v>
      </c>
      <c r="L16" t="s">
        <v>23</v>
      </c>
      <c r="M16" t="s">
        <v>35</v>
      </c>
      <c r="N16">
        <v>2</v>
      </c>
      <c r="O16" t="s">
        <v>25</v>
      </c>
    </row>
    <row r="17" spans="1:15" x14ac:dyDescent="0.2">
      <c r="A17" t="s">
        <v>84</v>
      </c>
      <c r="B17" t="s">
        <v>85</v>
      </c>
      <c r="C17" t="s">
        <v>17</v>
      </c>
      <c r="D17" s="1">
        <v>25971</v>
      </c>
      <c r="E17" s="1">
        <v>45322</v>
      </c>
      <c r="F17" s="1">
        <v>45323</v>
      </c>
      <c r="G17" t="s">
        <v>29</v>
      </c>
      <c r="H17" t="s">
        <v>75</v>
      </c>
      <c r="I17" t="s">
        <v>57</v>
      </c>
      <c r="J17" t="s">
        <v>86</v>
      </c>
      <c r="K17" t="s">
        <v>33</v>
      </c>
      <c r="L17" t="s">
        <v>23</v>
      </c>
      <c r="M17" t="s">
        <v>24</v>
      </c>
      <c r="N17">
        <v>4</v>
      </c>
      <c r="O17" t="s">
        <v>36</v>
      </c>
    </row>
    <row r="18" spans="1:15" x14ac:dyDescent="0.2">
      <c r="A18">
        <v>16</v>
      </c>
      <c r="B18" t="s">
        <v>87</v>
      </c>
      <c r="C18" t="s">
        <v>49</v>
      </c>
      <c r="D18" s="1">
        <v>39415</v>
      </c>
      <c r="E18" s="1">
        <v>45409</v>
      </c>
      <c r="F18" s="1">
        <v>45424</v>
      </c>
      <c r="G18" t="s">
        <v>88</v>
      </c>
      <c r="H18" t="s">
        <v>19</v>
      </c>
      <c r="I18" t="s">
        <v>57</v>
      </c>
      <c r="J18" t="s">
        <v>89</v>
      </c>
      <c r="K18" t="s">
        <v>48</v>
      </c>
      <c r="L18" t="s">
        <v>23</v>
      </c>
      <c r="M18" t="s">
        <v>24</v>
      </c>
      <c r="O18" t="s">
        <v>36</v>
      </c>
    </row>
    <row r="19" spans="1:15" x14ac:dyDescent="0.2">
      <c r="A19" t="s">
        <v>90</v>
      </c>
      <c r="B19" t="s">
        <v>91</v>
      </c>
      <c r="C19" t="s">
        <v>92</v>
      </c>
      <c r="D19" s="1">
        <v>27602</v>
      </c>
      <c r="E19" s="1">
        <v>45404</v>
      </c>
      <c r="F19" s="1">
        <v>45417</v>
      </c>
      <c r="G19" t="s">
        <v>72</v>
      </c>
      <c r="I19" t="s">
        <v>57</v>
      </c>
      <c r="J19" t="s">
        <v>93</v>
      </c>
      <c r="K19" t="s">
        <v>22</v>
      </c>
      <c r="M19" t="s">
        <v>35</v>
      </c>
      <c r="N19">
        <v>12</v>
      </c>
    </row>
    <row r="20" spans="1:15" x14ac:dyDescent="0.2">
      <c r="A20" t="s">
        <v>94</v>
      </c>
      <c r="B20" t="s">
        <v>38</v>
      </c>
      <c r="C20" t="s">
        <v>92</v>
      </c>
      <c r="D20" s="1">
        <v>38083</v>
      </c>
      <c r="E20" s="1">
        <v>45379</v>
      </c>
      <c r="F20" s="1">
        <v>45393</v>
      </c>
      <c r="G20" t="s">
        <v>40</v>
      </c>
      <c r="H20" t="s">
        <v>19</v>
      </c>
      <c r="I20" t="s">
        <v>31</v>
      </c>
      <c r="J20" t="s">
        <v>95</v>
      </c>
      <c r="K20" t="s">
        <v>71</v>
      </c>
      <c r="M20" t="s">
        <v>35</v>
      </c>
      <c r="O20" t="s">
        <v>25</v>
      </c>
    </row>
    <row r="21" spans="1:15" x14ac:dyDescent="0.2">
      <c r="A21" t="s">
        <v>96</v>
      </c>
      <c r="B21" t="s">
        <v>38</v>
      </c>
      <c r="C21" t="s">
        <v>97</v>
      </c>
      <c r="D21" s="1">
        <v>32742</v>
      </c>
      <c r="E21" s="1">
        <v>45435</v>
      </c>
      <c r="G21" t="s">
        <v>46</v>
      </c>
      <c r="H21" t="s">
        <v>61</v>
      </c>
      <c r="I21" t="s">
        <v>20</v>
      </c>
      <c r="J21" t="s">
        <v>98</v>
      </c>
      <c r="K21" t="s">
        <v>71</v>
      </c>
      <c r="L21" t="s">
        <v>23</v>
      </c>
      <c r="M21" t="s">
        <v>35</v>
      </c>
      <c r="N21">
        <v>15</v>
      </c>
      <c r="O21" t="s">
        <v>25</v>
      </c>
    </row>
    <row r="22" spans="1:15" x14ac:dyDescent="0.2">
      <c r="A22">
        <v>20</v>
      </c>
      <c r="B22" t="s">
        <v>51</v>
      </c>
      <c r="C22" t="s">
        <v>49</v>
      </c>
      <c r="D22" s="1">
        <v>26440</v>
      </c>
      <c r="E22" s="1">
        <v>45382</v>
      </c>
      <c r="F22" s="1">
        <v>45394</v>
      </c>
      <c r="G22" t="s">
        <v>50</v>
      </c>
      <c r="I22" t="s">
        <v>67</v>
      </c>
      <c r="J22">
        <v>462</v>
      </c>
      <c r="K22" t="s">
        <v>48</v>
      </c>
      <c r="L22" t="s">
        <v>23</v>
      </c>
      <c r="M22" t="s">
        <v>24</v>
      </c>
      <c r="N22">
        <v>13</v>
      </c>
      <c r="O22" t="s">
        <v>36</v>
      </c>
    </row>
    <row r="23" spans="1:15" x14ac:dyDescent="0.2">
      <c r="A23" t="s">
        <v>99</v>
      </c>
      <c r="B23" t="s">
        <v>91</v>
      </c>
      <c r="C23" t="s">
        <v>92</v>
      </c>
      <c r="D23" s="1">
        <v>23480</v>
      </c>
      <c r="E23" s="1">
        <v>45389</v>
      </c>
      <c r="F23" s="1">
        <v>45393</v>
      </c>
      <c r="G23" t="s">
        <v>100</v>
      </c>
      <c r="H23" t="s">
        <v>30</v>
      </c>
      <c r="I23" t="s">
        <v>31</v>
      </c>
      <c r="J23" t="s">
        <v>101</v>
      </c>
      <c r="K23" t="s">
        <v>48</v>
      </c>
      <c r="L23" t="s">
        <v>23</v>
      </c>
      <c r="M23" t="s">
        <v>78</v>
      </c>
      <c r="N23">
        <v>14</v>
      </c>
      <c r="O23" t="s">
        <v>25</v>
      </c>
    </row>
    <row r="24" spans="1:15" x14ac:dyDescent="0.2">
      <c r="A24">
        <v>22</v>
      </c>
      <c r="B24" t="s">
        <v>102</v>
      </c>
      <c r="C24" t="s">
        <v>49</v>
      </c>
      <c r="D24" s="1">
        <v>34956</v>
      </c>
      <c r="E24" s="1">
        <v>45465</v>
      </c>
      <c r="F24" s="1">
        <v>45467</v>
      </c>
      <c r="G24" t="s">
        <v>46</v>
      </c>
      <c r="H24" t="s">
        <v>61</v>
      </c>
      <c r="I24" t="s">
        <v>31</v>
      </c>
      <c r="J24" t="s">
        <v>103</v>
      </c>
      <c r="K24" t="s">
        <v>43</v>
      </c>
      <c r="M24" t="s">
        <v>78</v>
      </c>
      <c r="N24">
        <v>6</v>
      </c>
      <c r="O24" t="s">
        <v>36</v>
      </c>
    </row>
    <row r="25" spans="1:15" x14ac:dyDescent="0.2">
      <c r="A25" t="s">
        <v>104</v>
      </c>
      <c r="B25" t="s">
        <v>105</v>
      </c>
      <c r="C25" t="s">
        <v>17</v>
      </c>
      <c r="D25" s="1">
        <v>30886</v>
      </c>
      <c r="E25" s="1">
        <v>45357</v>
      </c>
      <c r="F25" s="1">
        <v>45358</v>
      </c>
      <c r="G25" t="s">
        <v>83</v>
      </c>
      <c r="H25" t="s">
        <v>19</v>
      </c>
      <c r="I25" t="s">
        <v>20</v>
      </c>
      <c r="J25" t="s">
        <v>106</v>
      </c>
      <c r="K25" t="s">
        <v>43</v>
      </c>
      <c r="M25" t="s">
        <v>24</v>
      </c>
      <c r="N25">
        <v>12</v>
      </c>
      <c r="O25" t="s">
        <v>36</v>
      </c>
    </row>
    <row r="26" spans="1:15" x14ac:dyDescent="0.2">
      <c r="A26" t="s">
        <v>107</v>
      </c>
      <c r="B26" t="s">
        <v>45</v>
      </c>
      <c r="C26" t="s">
        <v>49</v>
      </c>
      <c r="D26" s="1">
        <v>31646</v>
      </c>
      <c r="E26" s="1">
        <v>45395</v>
      </c>
      <c r="F26" s="1">
        <v>45399</v>
      </c>
      <c r="G26" t="s">
        <v>72</v>
      </c>
      <c r="H26" t="s">
        <v>19</v>
      </c>
      <c r="I26" t="s">
        <v>53</v>
      </c>
      <c r="J26" t="s">
        <v>108</v>
      </c>
      <c r="K26" t="s">
        <v>71</v>
      </c>
      <c r="L26" t="s">
        <v>34</v>
      </c>
      <c r="M26" t="s">
        <v>78</v>
      </c>
      <c r="O26" t="s">
        <v>36</v>
      </c>
    </row>
    <row r="27" spans="1:15" x14ac:dyDescent="0.2">
      <c r="A27" t="s">
        <v>109</v>
      </c>
      <c r="B27" t="s">
        <v>85</v>
      </c>
      <c r="C27" t="s">
        <v>49</v>
      </c>
      <c r="D27" s="1">
        <v>28823</v>
      </c>
      <c r="E27" s="1">
        <v>45405</v>
      </c>
      <c r="F27" s="1">
        <v>45414</v>
      </c>
      <c r="G27" t="s">
        <v>46</v>
      </c>
      <c r="H27" t="s">
        <v>75</v>
      </c>
      <c r="I27" t="s">
        <v>20</v>
      </c>
      <c r="J27" t="s">
        <v>110</v>
      </c>
      <c r="K27" t="s">
        <v>48</v>
      </c>
      <c r="L27" t="s">
        <v>23</v>
      </c>
      <c r="M27" t="s">
        <v>24</v>
      </c>
      <c r="N27">
        <v>13</v>
      </c>
      <c r="O27" t="s">
        <v>25</v>
      </c>
    </row>
    <row r="28" spans="1:15" x14ac:dyDescent="0.2">
      <c r="A28" t="s">
        <v>111</v>
      </c>
      <c r="B28" t="s">
        <v>64</v>
      </c>
      <c r="C28" t="s">
        <v>17</v>
      </c>
      <c r="D28" s="1">
        <v>26287</v>
      </c>
      <c r="E28" s="1">
        <v>45448</v>
      </c>
      <c r="F28" s="1">
        <v>45463</v>
      </c>
      <c r="G28" t="s">
        <v>29</v>
      </c>
      <c r="H28" t="s">
        <v>19</v>
      </c>
      <c r="I28" t="s">
        <v>76</v>
      </c>
      <c r="J28" t="s">
        <v>112</v>
      </c>
      <c r="K28" t="s">
        <v>48</v>
      </c>
      <c r="L28" t="s">
        <v>34</v>
      </c>
      <c r="M28" t="s">
        <v>78</v>
      </c>
    </row>
    <row r="29" spans="1:15" x14ac:dyDescent="0.2">
      <c r="A29" t="s">
        <v>113</v>
      </c>
      <c r="B29" t="s">
        <v>114</v>
      </c>
      <c r="C29" t="s">
        <v>17</v>
      </c>
      <c r="D29" s="1">
        <v>36529</v>
      </c>
      <c r="E29" s="1">
        <v>45323</v>
      </c>
      <c r="G29" t="s">
        <v>100</v>
      </c>
      <c r="H29" t="s">
        <v>75</v>
      </c>
      <c r="I29" t="s">
        <v>57</v>
      </c>
      <c r="J29" t="s">
        <v>115</v>
      </c>
      <c r="K29" t="s">
        <v>71</v>
      </c>
      <c r="M29" t="s">
        <v>24</v>
      </c>
      <c r="N29">
        <v>3</v>
      </c>
    </row>
    <row r="30" spans="1:15" x14ac:dyDescent="0.2">
      <c r="A30">
        <v>28</v>
      </c>
      <c r="B30" t="s">
        <v>114</v>
      </c>
      <c r="C30" t="s">
        <v>92</v>
      </c>
      <c r="D30" s="1">
        <v>26365</v>
      </c>
      <c r="E30" s="1">
        <v>45425</v>
      </c>
      <c r="F30" s="1">
        <v>45430</v>
      </c>
      <c r="G30" t="s">
        <v>74</v>
      </c>
      <c r="H30" t="s">
        <v>75</v>
      </c>
      <c r="I30" t="s">
        <v>31</v>
      </c>
      <c r="J30" t="s">
        <v>116</v>
      </c>
      <c r="K30" t="s">
        <v>33</v>
      </c>
      <c r="M30" t="s">
        <v>24</v>
      </c>
      <c r="O30" t="s">
        <v>25</v>
      </c>
    </row>
    <row r="31" spans="1:15" x14ac:dyDescent="0.2">
      <c r="A31" t="s">
        <v>117</v>
      </c>
      <c r="B31" t="s">
        <v>118</v>
      </c>
      <c r="C31" t="s">
        <v>49</v>
      </c>
      <c r="D31" s="1">
        <v>23271</v>
      </c>
      <c r="E31" s="1">
        <v>45308</v>
      </c>
      <c r="F31" s="1">
        <v>45317</v>
      </c>
      <c r="G31" t="s">
        <v>29</v>
      </c>
      <c r="H31" t="s">
        <v>66</v>
      </c>
      <c r="I31" t="s">
        <v>67</v>
      </c>
      <c r="J31">
        <v>960</v>
      </c>
      <c r="K31" t="s">
        <v>43</v>
      </c>
      <c r="L31" t="s">
        <v>34</v>
      </c>
      <c r="M31" t="s">
        <v>24</v>
      </c>
      <c r="N31">
        <v>1</v>
      </c>
      <c r="O31" t="s">
        <v>36</v>
      </c>
    </row>
    <row r="32" spans="1:15" x14ac:dyDescent="0.2">
      <c r="A32">
        <v>30</v>
      </c>
      <c r="B32" t="s">
        <v>118</v>
      </c>
      <c r="C32" t="s">
        <v>39</v>
      </c>
      <c r="D32" s="1">
        <v>31994</v>
      </c>
      <c r="E32" s="1">
        <v>45416</v>
      </c>
      <c r="F32" s="1">
        <v>45424</v>
      </c>
      <c r="G32" t="s">
        <v>29</v>
      </c>
      <c r="H32" t="s">
        <v>30</v>
      </c>
      <c r="I32" t="s">
        <v>53</v>
      </c>
      <c r="J32">
        <v>1490</v>
      </c>
      <c r="K32" t="s">
        <v>22</v>
      </c>
      <c r="M32" t="s">
        <v>35</v>
      </c>
      <c r="N32">
        <v>9</v>
      </c>
      <c r="O32" t="s">
        <v>25</v>
      </c>
    </row>
    <row r="33" spans="1:15" x14ac:dyDescent="0.2">
      <c r="A33">
        <v>31</v>
      </c>
      <c r="B33" t="s">
        <v>119</v>
      </c>
      <c r="C33" t="s">
        <v>65</v>
      </c>
      <c r="D33" s="1">
        <v>39989</v>
      </c>
      <c r="E33" s="1">
        <v>45313</v>
      </c>
      <c r="G33" t="s">
        <v>100</v>
      </c>
      <c r="H33" t="s">
        <v>52</v>
      </c>
      <c r="I33" t="s">
        <v>20</v>
      </c>
      <c r="J33">
        <v>632</v>
      </c>
      <c r="K33" t="s">
        <v>33</v>
      </c>
      <c r="L33" t="s">
        <v>23</v>
      </c>
      <c r="M33" t="s">
        <v>78</v>
      </c>
      <c r="N33">
        <v>13</v>
      </c>
      <c r="O33" t="s">
        <v>36</v>
      </c>
    </row>
    <row r="34" spans="1:15" x14ac:dyDescent="0.2">
      <c r="A34">
        <v>32</v>
      </c>
      <c r="B34" t="s">
        <v>82</v>
      </c>
      <c r="C34" t="s">
        <v>92</v>
      </c>
      <c r="D34" s="1">
        <v>20947</v>
      </c>
      <c r="E34" s="1">
        <v>45296</v>
      </c>
      <c r="F34" s="1">
        <v>45302</v>
      </c>
      <c r="G34" t="s">
        <v>72</v>
      </c>
      <c r="H34" t="s">
        <v>66</v>
      </c>
      <c r="I34" t="s">
        <v>41</v>
      </c>
      <c r="J34" t="s">
        <v>120</v>
      </c>
      <c r="K34" t="s">
        <v>48</v>
      </c>
      <c r="L34" t="s">
        <v>23</v>
      </c>
      <c r="M34" t="s">
        <v>35</v>
      </c>
      <c r="N34">
        <v>10</v>
      </c>
      <c r="O34" t="s">
        <v>25</v>
      </c>
    </row>
    <row r="35" spans="1:15" x14ac:dyDescent="0.2">
      <c r="A35" t="s">
        <v>121</v>
      </c>
      <c r="B35" t="s">
        <v>87</v>
      </c>
      <c r="C35" t="s">
        <v>28</v>
      </c>
      <c r="D35" s="1">
        <v>22012</v>
      </c>
      <c r="E35" s="1">
        <v>45411</v>
      </c>
      <c r="F35" s="1">
        <v>45414</v>
      </c>
      <c r="G35" t="s">
        <v>46</v>
      </c>
      <c r="H35" t="s">
        <v>30</v>
      </c>
      <c r="I35" t="s">
        <v>20</v>
      </c>
      <c r="J35" t="s">
        <v>122</v>
      </c>
      <c r="K35" t="s">
        <v>33</v>
      </c>
      <c r="M35" t="s">
        <v>78</v>
      </c>
      <c r="N35">
        <v>4</v>
      </c>
      <c r="O35" t="s">
        <v>25</v>
      </c>
    </row>
    <row r="36" spans="1:15" x14ac:dyDescent="0.2">
      <c r="A36" t="s">
        <v>123</v>
      </c>
      <c r="B36" t="s">
        <v>91</v>
      </c>
      <c r="C36" t="s">
        <v>17</v>
      </c>
      <c r="D36" s="1">
        <v>28146</v>
      </c>
      <c r="E36" s="1">
        <v>45436</v>
      </c>
      <c r="F36" s="1">
        <v>45443</v>
      </c>
      <c r="G36" t="s">
        <v>74</v>
      </c>
      <c r="H36" t="s">
        <v>61</v>
      </c>
      <c r="I36" t="s">
        <v>53</v>
      </c>
      <c r="J36" t="s">
        <v>124</v>
      </c>
      <c r="K36" t="s">
        <v>71</v>
      </c>
      <c r="M36" t="s">
        <v>35</v>
      </c>
      <c r="N36">
        <v>6</v>
      </c>
    </row>
    <row r="37" spans="1:15" x14ac:dyDescent="0.2">
      <c r="A37">
        <v>35</v>
      </c>
      <c r="B37" t="s">
        <v>87</v>
      </c>
      <c r="C37" t="s">
        <v>28</v>
      </c>
      <c r="D37" s="1">
        <v>24035</v>
      </c>
      <c r="E37" s="1">
        <v>45449</v>
      </c>
      <c r="F37" s="1">
        <v>45463</v>
      </c>
      <c r="G37" t="s">
        <v>83</v>
      </c>
      <c r="I37" t="s">
        <v>67</v>
      </c>
      <c r="J37" t="s">
        <v>125</v>
      </c>
      <c r="K37" t="s">
        <v>71</v>
      </c>
      <c r="L37" t="s">
        <v>23</v>
      </c>
      <c r="M37" t="s">
        <v>78</v>
      </c>
      <c r="N37">
        <v>11</v>
      </c>
      <c r="O37" t="s">
        <v>36</v>
      </c>
    </row>
    <row r="38" spans="1:15" x14ac:dyDescent="0.2">
      <c r="A38">
        <v>36</v>
      </c>
      <c r="B38" t="s">
        <v>64</v>
      </c>
      <c r="C38" t="s">
        <v>28</v>
      </c>
      <c r="D38" s="1">
        <v>28914</v>
      </c>
      <c r="E38" s="1">
        <v>45416</v>
      </c>
      <c r="F38" s="1">
        <v>45421</v>
      </c>
      <c r="G38" t="s">
        <v>60</v>
      </c>
      <c r="H38" t="s">
        <v>61</v>
      </c>
      <c r="I38" t="s">
        <v>53</v>
      </c>
      <c r="J38" t="s">
        <v>126</v>
      </c>
      <c r="K38" t="s">
        <v>43</v>
      </c>
      <c r="L38" t="s">
        <v>23</v>
      </c>
      <c r="M38" t="s">
        <v>35</v>
      </c>
      <c r="O38" t="s">
        <v>36</v>
      </c>
    </row>
    <row r="39" spans="1:15" x14ac:dyDescent="0.2">
      <c r="A39">
        <v>37</v>
      </c>
      <c r="B39" t="s">
        <v>27</v>
      </c>
      <c r="C39" t="s">
        <v>39</v>
      </c>
      <c r="D39" s="1">
        <v>26138</v>
      </c>
      <c r="E39" s="1">
        <v>45457</v>
      </c>
      <c r="F39" s="1">
        <v>45458</v>
      </c>
      <c r="G39" t="s">
        <v>60</v>
      </c>
      <c r="H39" t="s">
        <v>52</v>
      </c>
      <c r="I39" t="s">
        <v>76</v>
      </c>
      <c r="J39" t="s">
        <v>127</v>
      </c>
      <c r="K39" t="s">
        <v>43</v>
      </c>
      <c r="M39" t="s">
        <v>78</v>
      </c>
      <c r="N39">
        <v>6</v>
      </c>
      <c r="O39" t="s">
        <v>36</v>
      </c>
    </row>
    <row r="40" spans="1:15" x14ac:dyDescent="0.2">
      <c r="A40" t="s">
        <v>128</v>
      </c>
      <c r="B40" t="s">
        <v>27</v>
      </c>
      <c r="C40" t="s">
        <v>92</v>
      </c>
      <c r="D40" s="1">
        <v>29792</v>
      </c>
      <c r="E40" s="1">
        <v>45361</v>
      </c>
      <c r="F40" s="1">
        <v>45363</v>
      </c>
      <c r="G40" t="s">
        <v>83</v>
      </c>
      <c r="H40" t="s">
        <v>66</v>
      </c>
      <c r="I40" t="s">
        <v>53</v>
      </c>
      <c r="J40" t="s">
        <v>129</v>
      </c>
      <c r="K40" t="s">
        <v>22</v>
      </c>
      <c r="L40" t="s">
        <v>23</v>
      </c>
      <c r="M40" t="s">
        <v>24</v>
      </c>
      <c r="N40">
        <v>12</v>
      </c>
    </row>
    <row r="41" spans="1:15" x14ac:dyDescent="0.2">
      <c r="A41" t="s">
        <v>130</v>
      </c>
      <c r="B41" t="s">
        <v>85</v>
      </c>
      <c r="C41" t="s">
        <v>92</v>
      </c>
      <c r="D41" s="1">
        <v>21558</v>
      </c>
      <c r="E41" s="1">
        <v>45367</v>
      </c>
      <c r="F41" s="1">
        <v>45372</v>
      </c>
      <c r="G41" t="s">
        <v>40</v>
      </c>
      <c r="H41" t="s">
        <v>52</v>
      </c>
      <c r="I41" t="s">
        <v>31</v>
      </c>
      <c r="J41" t="s">
        <v>131</v>
      </c>
      <c r="K41" t="s">
        <v>43</v>
      </c>
      <c r="M41" t="s">
        <v>24</v>
      </c>
      <c r="N41">
        <v>11</v>
      </c>
      <c r="O41" t="s">
        <v>36</v>
      </c>
    </row>
    <row r="42" spans="1:15" x14ac:dyDescent="0.2">
      <c r="A42" t="s">
        <v>132</v>
      </c>
      <c r="B42" t="s">
        <v>64</v>
      </c>
      <c r="C42" t="s">
        <v>65</v>
      </c>
      <c r="D42" s="1">
        <v>27581</v>
      </c>
      <c r="E42" s="1">
        <v>45414</v>
      </c>
      <c r="F42" s="1">
        <v>45415</v>
      </c>
      <c r="G42" t="s">
        <v>100</v>
      </c>
      <c r="H42" t="s">
        <v>66</v>
      </c>
      <c r="I42" t="s">
        <v>41</v>
      </c>
      <c r="J42">
        <v>233</v>
      </c>
      <c r="K42" t="s">
        <v>71</v>
      </c>
      <c r="L42" t="s">
        <v>34</v>
      </c>
      <c r="M42" t="s">
        <v>24</v>
      </c>
      <c r="N42">
        <v>1</v>
      </c>
      <c r="O42" t="s">
        <v>25</v>
      </c>
    </row>
    <row r="43" spans="1:15" x14ac:dyDescent="0.2">
      <c r="A43" t="s">
        <v>133</v>
      </c>
      <c r="B43" t="s">
        <v>119</v>
      </c>
      <c r="C43" t="s">
        <v>92</v>
      </c>
      <c r="D43" s="1">
        <v>21055</v>
      </c>
      <c r="E43" s="1">
        <v>45322</v>
      </c>
      <c r="F43" s="1">
        <v>45335</v>
      </c>
      <c r="G43" t="s">
        <v>40</v>
      </c>
      <c r="H43" t="s">
        <v>19</v>
      </c>
      <c r="I43" t="s">
        <v>76</v>
      </c>
      <c r="J43" t="s">
        <v>134</v>
      </c>
      <c r="K43" t="s">
        <v>43</v>
      </c>
      <c r="M43" t="s">
        <v>78</v>
      </c>
      <c r="N43">
        <v>1</v>
      </c>
    </row>
    <row r="44" spans="1:15" x14ac:dyDescent="0.2">
      <c r="A44" t="s">
        <v>135</v>
      </c>
      <c r="B44" t="s">
        <v>16</v>
      </c>
      <c r="C44" t="s">
        <v>39</v>
      </c>
      <c r="D44" s="1">
        <v>25072</v>
      </c>
      <c r="E44" s="1">
        <v>45359</v>
      </c>
      <c r="F44" s="1">
        <v>45362</v>
      </c>
      <c r="G44" t="s">
        <v>46</v>
      </c>
      <c r="H44" t="s">
        <v>66</v>
      </c>
      <c r="I44" t="s">
        <v>76</v>
      </c>
      <c r="J44">
        <v>1022</v>
      </c>
      <c r="K44" t="s">
        <v>33</v>
      </c>
      <c r="L44" t="s">
        <v>34</v>
      </c>
      <c r="M44" t="s">
        <v>35</v>
      </c>
      <c r="O44" t="s">
        <v>36</v>
      </c>
    </row>
    <row r="45" spans="1:15" x14ac:dyDescent="0.2">
      <c r="A45" t="s">
        <v>136</v>
      </c>
      <c r="B45" t="s">
        <v>114</v>
      </c>
      <c r="C45" t="s">
        <v>17</v>
      </c>
      <c r="D45" s="1">
        <v>25912</v>
      </c>
      <c r="E45" s="1">
        <v>45452</v>
      </c>
      <c r="F45" s="1">
        <v>45461</v>
      </c>
      <c r="G45" t="s">
        <v>72</v>
      </c>
      <c r="H45" t="s">
        <v>52</v>
      </c>
      <c r="I45" t="s">
        <v>31</v>
      </c>
      <c r="J45" t="s">
        <v>137</v>
      </c>
      <c r="K45" t="s">
        <v>48</v>
      </c>
      <c r="L45" t="s">
        <v>23</v>
      </c>
      <c r="M45" t="s">
        <v>78</v>
      </c>
      <c r="N45">
        <v>14</v>
      </c>
    </row>
    <row r="46" spans="1:15" x14ac:dyDescent="0.2">
      <c r="A46">
        <v>44</v>
      </c>
      <c r="B46" t="s">
        <v>114</v>
      </c>
      <c r="C46" t="s">
        <v>17</v>
      </c>
      <c r="D46" s="1">
        <v>33622</v>
      </c>
      <c r="E46" s="1">
        <v>45471</v>
      </c>
      <c r="F46" s="1">
        <v>45480</v>
      </c>
      <c r="G46" t="s">
        <v>100</v>
      </c>
      <c r="H46" t="s">
        <v>66</v>
      </c>
      <c r="I46" t="s">
        <v>57</v>
      </c>
      <c r="J46">
        <v>181</v>
      </c>
      <c r="K46" t="s">
        <v>33</v>
      </c>
      <c r="M46" t="s">
        <v>35</v>
      </c>
    </row>
    <row r="47" spans="1:15" x14ac:dyDescent="0.2">
      <c r="A47" t="s">
        <v>138</v>
      </c>
      <c r="B47" t="s">
        <v>119</v>
      </c>
      <c r="C47" t="s">
        <v>17</v>
      </c>
      <c r="D47" s="1">
        <v>27095</v>
      </c>
      <c r="E47" s="1">
        <v>45336</v>
      </c>
      <c r="F47" s="1">
        <v>45344</v>
      </c>
      <c r="G47" t="s">
        <v>46</v>
      </c>
      <c r="H47" t="s">
        <v>61</v>
      </c>
      <c r="I47" t="s">
        <v>76</v>
      </c>
      <c r="J47">
        <v>1400</v>
      </c>
      <c r="K47" t="s">
        <v>48</v>
      </c>
      <c r="M47" t="s">
        <v>78</v>
      </c>
      <c r="N47">
        <v>6</v>
      </c>
    </row>
    <row r="48" spans="1:15" x14ac:dyDescent="0.2">
      <c r="A48" t="s">
        <v>139</v>
      </c>
      <c r="B48" t="s">
        <v>140</v>
      </c>
      <c r="C48" t="s">
        <v>92</v>
      </c>
      <c r="D48" s="1">
        <v>31752</v>
      </c>
      <c r="E48" s="1">
        <v>45365</v>
      </c>
      <c r="F48" s="1">
        <v>45374</v>
      </c>
      <c r="G48" t="s">
        <v>100</v>
      </c>
      <c r="H48" t="s">
        <v>66</v>
      </c>
      <c r="I48" t="s">
        <v>31</v>
      </c>
      <c r="J48" t="s">
        <v>141</v>
      </c>
      <c r="K48" t="s">
        <v>48</v>
      </c>
      <c r="M48" t="s">
        <v>24</v>
      </c>
      <c r="N48">
        <v>1</v>
      </c>
    </row>
    <row r="49" spans="1:15" x14ac:dyDescent="0.2">
      <c r="A49" t="s">
        <v>142</v>
      </c>
      <c r="B49" t="s">
        <v>114</v>
      </c>
      <c r="C49" t="s">
        <v>28</v>
      </c>
      <c r="D49" s="1">
        <v>20040</v>
      </c>
      <c r="E49" s="1">
        <v>45424</v>
      </c>
      <c r="F49" s="1">
        <v>45432</v>
      </c>
      <c r="G49" t="s">
        <v>88</v>
      </c>
      <c r="H49" t="s">
        <v>52</v>
      </c>
      <c r="I49" t="s">
        <v>31</v>
      </c>
      <c r="J49" t="s">
        <v>143</v>
      </c>
      <c r="K49" t="s">
        <v>33</v>
      </c>
      <c r="M49" t="s">
        <v>24</v>
      </c>
      <c r="N49">
        <v>1</v>
      </c>
    </row>
    <row r="50" spans="1:15" x14ac:dyDescent="0.2">
      <c r="A50" t="s">
        <v>144</v>
      </c>
      <c r="B50" t="s">
        <v>91</v>
      </c>
      <c r="C50" t="s">
        <v>49</v>
      </c>
      <c r="D50" s="1">
        <v>23453</v>
      </c>
      <c r="E50" s="1">
        <v>45433</v>
      </c>
      <c r="F50" s="1">
        <v>45435</v>
      </c>
      <c r="G50" t="s">
        <v>74</v>
      </c>
      <c r="H50" t="s">
        <v>19</v>
      </c>
      <c r="I50" t="s">
        <v>20</v>
      </c>
      <c r="J50" t="s">
        <v>145</v>
      </c>
      <c r="K50" t="s">
        <v>71</v>
      </c>
      <c r="M50" t="s">
        <v>24</v>
      </c>
      <c r="N50">
        <v>7</v>
      </c>
      <c r="O50" t="s">
        <v>36</v>
      </c>
    </row>
    <row r="51" spans="1:15" x14ac:dyDescent="0.2">
      <c r="A51">
        <v>49</v>
      </c>
      <c r="B51" t="s">
        <v>91</v>
      </c>
      <c r="C51" t="s">
        <v>28</v>
      </c>
      <c r="D51" s="1">
        <v>36327</v>
      </c>
      <c r="E51" s="1">
        <v>45390</v>
      </c>
      <c r="F51" s="1">
        <v>45399</v>
      </c>
      <c r="G51" t="s">
        <v>74</v>
      </c>
      <c r="H51" t="s">
        <v>30</v>
      </c>
      <c r="I51" t="s">
        <v>41</v>
      </c>
      <c r="J51" t="s">
        <v>146</v>
      </c>
      <c r="K51" t="s">
        <v>43</v>
      </c>
      <c r="M51" t="s">
        <v>35</v>
      </c>
      <c r="O51" t="s">
        <v>36</v>
      </c>
    </row>
    <row r="52" spans="1:15" x14ac:dyDescent="0.2">
      <c r="A52" t="s">
        <v>147</v>
      </c>
      <c r="B52" t="s">
        <v>119</v>
      </c>
      <c r="C52" t="s">
        <v>49</v>
      </c>
      <c r="D52" s="1">
        <v>34308</v>
      </c>
      <c r="E52" s="1">
        <v>45406</v>
      </c>
      <c r="F52" s="1">
        <v>45415</v>
      </c>
      <c r="G52" t="s">
        <v>100</v>
      </c>
      <c r="H52" t="s">
        <v>30</v>
      </c>
      <c r="I52" t="s">
        <v>41</v>
      </c>
      <c r="J52" t="s">
        <v>148</v>
      </c>
      <c r="K52" t="s">
        <v>43</v>
      </c>
      <c r="M52" t="s">
        <v>35</v>
      </c>
      <c r="N52">
        <v>7</v>
      </c>
      <c r="O52" t="s">
        <v>25</v>
      </c>
    </row>
    <row r="53" spans="1:15" x14ac:dyDescent="0.2">
      <c r="A53">
        <v>51</v>
      </c>
      <c r="B53" t="s">
        <v>56</v>
      </c>
      <c r="C53" t="s">
        <v>49</v>
      </c>
      <c r="D53" s="1">
        <v>30756</v>
      </c>
      <c r="E53" s="1">
        <v>45461</v>
      </c>
      <c r="F53" s="1">
        <v>45462</v>
      </c>
      <c r="G53" t="s">
        <v>40</v>
      </c>
      <c r="H53" t="s">
        <v>61</v>
      </c>
      <c r="I53" t="s">
        <v>31</v>
      </c>
      <c r="J53">
        <v>305</v>
      </c>
      <c r="K53" t="s">
        <v>48</v>
      </c>
      <c r="M53" t="s">
        <v>35</v>
      </c>
      <c r="N53">
        <v>7</v>
      </c>
    </row>
    <row r="54" spans="1:15" x14ac:dyDescent="0.2">
      <c r="A54" t="s">
        <v>149</v>
      </c>
      <c r="B54" t="s">
        <v>150</v>
      </c>
      <c r="C54" t="s">
        <v>28</v>
      </c>
      <c r="D54" s="1">
        <v>26948</v>
      </c>
      <c r="E54" s="1">
        <v>45451</v>
      </c>
      <c r="F54" s="1">
        <v>45465</v>
      </c>
      <c r="G54" t="s">
        <v>72</v>
      </c>
      <c r="I54" t="s">
        <v>57</v>
      </c>
      <c r="J54" t="s">
        <v>151</v>
      </c>
      <c r="K54" t="s">
        <v>71</v>
      </c>
      <c r="L54" t="s">
        <v>34</v>
      </c>
      <c r="M54" t="s">
        <v>24</v>
      </c>
    </row>
    <row r="55" spans="1:15" x14ac:dyDescent="0.2">
      <c r="A55" t="s">
        <v>152</v>
      </c>
      <c r="B55" t="s">
        <v>45</v>
      </c>
      <c r="C55" t="s">
        <v>97</v>
      </c>
      <c r="D55" s="1">
        <v>21225</v>
      </c>
      <c r="E55" s="1">
        <v>45317</v>
      </c>
      <c r="F55" s="1">
        <v>45329</v>
      </c>
      <c r="G55" t="s">
        <v>88</v>
      </c>
      <c r="H55" t="s">
        <v>66</v>
      </c>
      <c r="I55" t="s">
        <v>31</v>
      </c>
      <c r="J55" t="s">
        <v>153</v>
      </c>
      <c r="K55" t="s">
        <v>33</v>
      </c>
      <c r="M55" t="s">
        <v>78</v>
      </c>
    </row>
    <row r="56" spans="1:15" x14ac:dyDescent="0.2">
      <c r="A56">
        <v>54</v>
      </c>
      <c r="B56" t="s">
        <v>119</v>
      </c>
      <c r="C56" t="s">
        <v>49</v>
      </c>
      <c r="D56" s="1">
        <v>24164</v>
      </c>
      <c r="E56" s="1">
        <v>45336</v>
      </c>
      <c r="F56" s="1">
        <v>45343</v>
      </c>
      <c r="G56" t="s">
        <v>100</v>
      </c>
      <c r="H56" t="s">
        <v>61</v>
      </c>
      <c r="I56" t="s">
        <v>67</v>
      </c>
      <c r="J56">
        <v>575</v>
      </c>
      <c r="K56" t="s">
        <v>33</v>
      </c>
      <c r="M56" t="s">
        <v>78</v>
      </c>
      <c r="N56">
        <v>15</v>
      </c>
      <c r="O56" t="s">
        <v>36</v>
      </c>
    </row>
    <row r="57" spans="1:15" x14ac:dyDescent="0.2">
      <c r="A57">
        <v>55</v>
      </c>
      <c r="B57" t="s">
        <v>27</v>
      </c>
      <c r="C57" t="s">
        <v>97</v>
      </c>
      <c r="D57" s="1">
        <v>20684</v>
      </c>
      <c r="E57" s="1">
        <v>45380</v>
      </c>
      <c r="F57" s="1">
        <v>45387</v>
      </c>
      <c r="G57" t="s">
        <v>100</v>
      </c>
      <c r="I57" t="s">
        <v>31</v>
      </c>
      <c r="J57">
        <v>507</v>
      </c>
      <c r="K57" t="s">
        <v>71</v>
      </c>
      <c r="L57" t="s">
        <v>34</v>
      </c>
      <c r="M57" t="s">
        <v>35</v>
      </c>
      <c r="N57">
        <v>6</v>
      </c>
    </row>
    <row r="58" spans="1:15" x14ac:dyDescent="0.2">
      <c r="A58">
        <v>56</v>
      </c>
      <c r="B58" t="s">
        <v>45</v>
      </c>
      <c r="C58" t="s">
        <v>17</v>
      </c>
      <c r="D58" s="1">
        <v>39832</v>
      </c>
      <c r="E58" s="1">
        <v>45362</v>
      </c>
      <c r="F58" s="1">
        <v>45373</v>
      </c>
      <c r="G58" t="s">
        <v>18</v>
      </c>
      <c r="H58" t="s">
        <v>75</v>
      </c>
      <c r="I58" t="s">
        <v>76</v>
      </c>
      <c r="J58" t="s">
        <v>154</v>
      </c>
      <c r="K58" t="s">
        <v>43</v>
      </c>
      <c r="M58" t="s">
        <v>35</v>
      </c>
      <c r="N58">
        <v>10</v>
      </c>
      <c r="O58" t="s">
        <v>36</v>
      </c>
    </row>
    <row r="59" spans="1:15" x14ac:dyDescent="0.2">
      <c r="A59" t="s">
        <v>155</v>
      </c>
      <c r="B59" t="s">
        <v>87</v>
      </c>
      <c r="C59" t="s">
        <v>49</v>
      </c>
      <c r="D59" s="1">
        <v>21447</v>
      </c>
      <c r="E59" s="1">
        <v>45371</v>
      </c>
      <c r="G59" t="s">
        <v>83</v>
      </c>
      <c r="H59" t="s">
        <v>75</v>
      </c>
      <c r="I59" t="s">
        <v>67</v>
      </c>
      <c r="J59" t="s">
        <v>156</v>
      </c>
      <c r="K59" t="s">
        <v>33</v>
      </c>
      <c r="M59" t="s">
        <v>35</v>
      </c>
    </row>
    <row r="60" spans="1:15" x14ac:dyDescent="0.2">
      <c r="A60">
        <v>58</v>
      </c>
      <c r="B60" t="s">
        <v>105</v>
      </c>
      <c r="C60" t="s">
        <v>65</v>
      </c>
      <c r="D60" s="1">
        <v>27194</v>
      </c>
      <c r="E60" s="1">
        <v>45357</v>
      </c>
      <c r="F60" s="1">
        <v>45362</v>
      </c>
      <c r="G60" t="s">
        <v>74</v>
      </c>
      <c r="H60" t="s">
        <v>19</v>
      </c>
      <c r="I60" t="s">
        <v>20</v>
      </c>
      <c r="J60" t="s">
        <v>157</v>
      </c>
      <c r="K60" t="s">
        <v>71</v>
      </c>
      <c r="M60" t="s">
        <v>35</v>
      </c>
      <c r="N60">
        <v>1</v>
      </c>
      <c r="O60" t="s">
        <v>36</v>
      </c>
    </row>
    <row r="61" spans="1:15" x14ac:dyDescent="0.2">
      <c r="A61" t="s">
        <v>158</v>
      </c>
      <c r="B61" t="s">
        <v>16</v>
      </c>
      <c r="C61" t="s">
        <v>28</v>
      </c>
      <c r="D61" s="1">
        <v>30341</v>
      </c>
      <c r="E61" s="1">
        <v>45441</v>
      </c>
      <c r="F61" s="1">
        <v>45447</v>
      </c>
      <c r="G61" t="s">
        <v>72</v>
      </c>
      <c r="H61" t="s">
        <v>52</v>
      </c>
      <c r="I61" t="s">
        <v>76</v>
      </c>
      <c r="J61" t="s">
        <v>159</v>
      </c>
      <c r="K61" t="s">
        <v>43</v>
      </c>
      <c r="L61" t="s">
        <v>23</v>
      </c>
      <c r="M61" t="s">
        <v>24</v>
      </c>
      <c r="O61" t="s">
        <v>36</v>
      </c>
    </row>
    <row r="62" spans="1:15" x14ac:dyDescent="0.2">
      <c r="A62" t="s">
        <v>160</v>
      </c>
      <c r="B62" t="s">
        <v>45</v>
      </c>
      <c r="C62" t="s">
        <v>49</v>
      </c>
      <c r="D62" s="1">
        <v>31643</v>
      </c>
      <c r="E62" s="1">
        <v>45327</v>
      </c>
      <c r="F62" s="1">
        <v>45332</v>
      </c>
      <c r="G62" t="s">
        <v>74</v>
      </c>
      <c r="H62" t="s">
        <v>66</v>
      </c>
      <c r="I62" t="s">
        <v>67</v>
      </c>
      <c r="J62" t="s">
        <v>161</v>
      </c>
      <c r="K62" t="s">
        <v>71</v>
      </c>
      <c r="M62" t="s">
        <v>78</v>
      </c>
      <c r="N62">
        <v>12</v>
      </c>
    </row>
    <row r="63" spans="1:15" x14ac:dyDescent="0.2">
      <c r="A63" t="s">
        <v>162</v>
      </c>
      <c r="B63" t="s">
        <v>82</v>
      </c>
      <c r="C63" t="s">
        <v>65</v>
      </c>
      <c r="D63" s="1">
        <v>23327</v>
      </c>
      <c r="E63" s="1">
        <v>45459</v>
      </c>
      <c r="F63" s="1">
        <v>45469</v>
      </c>
      <c r="G63" t="s">
        <v>60</v>
      </c>
      <c r="H63" t="s">
        <v>66</v>
      </c>
      <c r="I63" t="s">
        <v>53</v>
      </c>
      <c r="J63" t="s">
        <v>163</v>
      </c>
      <c r="K63" t="s">
        <v>71</v>
      </c>
      <c r="M63" t="s">
        <v>35</v>
      </c>
      <c r="N63">
        <v>2</v>
      </c>
    </row>
    <row r="64" spans="1:15" x14ac:dyDescent="0.2">
      <c r="A64">
        <v>62</v>
      </c>
      <c r="B64" t="s">
        <v>27</v>
      </c>
      <c r="C64" t="s">
        <v>49</v>
      </c>
      <c r="D64" s="1">
        <v>30017</v>
      </c>
      <c r="E64" s="1">
        <v>45393</v>
      </c>
      <c r="F64" s="1">
        <v>45395</v>
      </c>
      <c r="G64" t="s">
        <v>74</v>
      </c>
      <c r="H64" t="s">
        <v>75</v>
      </c>
      <c r="I64" t="s">
        <v>67</v>
      </c>
      <c r="J64" t="s">
        <v>164</v>
      </c>
      <c r="K64" t="s">
        <v>48</v>
      </c>
      <c r="M64" t="s">
        <v>35</v>
      </c>
      <c r="N64">
        <v>13</v>
      </c>
    </row>
    <row r="65" spans="1:15" x14ac:dyDescent="0.2">
      <c r="A65" t="s">
        <v>165</v>
      </c>
      <c r="B65" t="s">
        <v>150</v>
      </c>
      <c r="C65" t="s">
        <v>39</v>
      </c>
      <c r="D65" s="1">
        <v>36424</v>
      </c>
      <c r="E65" s="1">
        <v>45442</v>
      </c>
      <c r="F65" s="1">
        <v>45446</v>
      </c>
      <c r="G65" t="s">
        <v>46</v>
      </c>
      <c r="I65" t="s">
        <v>57</v>
      </c>
      <c r="J65" t="s">
        <v>166</v>
      </c>
      <c r="K65" t="s">
        <v>22</v>
      </c>
      <c r="L65" t="s">
        <v>23</v>
      </c>
      <c r="M65" t="s">
        <v>24</v>
      </c>
      <c r="O65" t="s">
        <v>25</v>
      </c>
    </row>
    <row r="66" spans="1:15" x14ac:dyDescent="0.2">
      <c r="A66" t="s">
        <v>167</v>
      </c>
      <c r="B66" t="s">
        <v>64</v>
      </c>
      <c r="C66" t="s">
        <v>97</v>
      </c>
      <c r="D66" s="1">
        <v>18750</v>
      </c>
      <c r="E66" s="1">
        <v>45352</v>
      </c>
      <c r="G66" t="s">
        <v>60</v>
      </c>
      <c r="H66" t="s">
        <v>66</v>
      </c>
      <c r="I66" t="s">
        <v>67</v>
      </c>
      <c r="J66" t="s">
        <v>168</v>
      </c>
      <c r="K66" t="s">
        <v>48</v>
      </c>
      <c r="M66" t="s">
        <v>78</v>
      </c>
      <c r="N66">
        <v>9</v>
      </c>
    </row>
    <row r="67" spans="1:15" x14ac:dyDescent="0.2">
      <c r="A67" t="s">
        <v>169</v>
      </c>
      <c r="B67" t="s">
        <v>114</v>
      </c>
      <c r="C67" t="s">
        <v>65</v>
      </c>
      <c r="D67" s="1">
        <v>25523</v>
      </c>
      <c r="E67" s="1">
        <v>45460</v>
      </c>
      <c r="F67" s="1">
        <v>45461</v>
      </c>
      <c r="G67" t="s">
        <v>100</v>
      </c>
      <c r="I67" t="s">
        <v>76</v>
      </c>
      <c r="J67" t="s">
        <v>170</v>
      </c>
      <c r="K67" t="s">
        <v>71</v>
      </c>
      <c r="M67" t="s">
        <v>35</v>
      </c>
      <c r="N67">
        <v>6</v>
      </c>
    </row>
    <row r="68" spans="1:15" x14ac:dyDescent="0.2">
      <c r="A68" t="s">
        <v>171</v>
      </c>
      <c r="B68" t="s">
        <v>150</v>
      </c>
      <c r="C68" t="s">
        <v>97</v>
      </c>
      <c r="D68" s="1">
        <v>27275</v>
      </c>
      <c r="E68" s="1">
        <v>45389</v>
      </c>
      <c r="F68" s="1">
        <v>45399</v>
      </c>
      <c r="G68" t="s">
        <v>74</v>
      </c>
      <c r="I68" t="s">
        <v>53</v>
      </c>
      <c r="J68" t="s">
        <v>172</v>
      </c>
      <c r="K68" t="s">
        <v>71</v>
      </c>
      <c r="M68" t="s">
        <v>35</v>
      </c>
      <c r="N68">
        <v>14</v>
      </c>
      <c r="O68" t="s">
        <v>36</v>
      </c>
    </row>
    <row r="69" spans="1:15" x14ac:dyDescent="0.2">
      <c r="A69">
        <v>67</v>
      </c>
      <c r="B69" t="s">
        <v>82</v>
      </c>
      <c r="C69" t="s">
        <v>49</v>
      </c>
      <c r="D69" s="1">
        <v>21379</v>
      </c>
      <c r="E69" s="1">
        <v>45401</v>
      </c>
      <c r="F69" s="1">
        <v>45407</v>
      </c>
      <c r="G69" t="s">
        <v>72</v>
      </c>
      <c r="H69" t="s">
        <v>19</v>
      </c>
      <c r="I69" t="s">
        <v>20</v>
      </c>
      <c r="J69" t="s">
        <v>173</v>
      </c>
      <c r="K69" t="s">
        <v>48</v>
      </c>
      <c r="M69" t="s">
        <v>35</v>
      </c>
      <c r="N69">
        <v>6</v>
      </c>
      <c r="O69" t="s">
        <v>25</v>
      </c>
    </row>
    <row r="70" spans="1:15" x14ac:dyDescent="0.2">
      <c r="A70" t="s">
        <v>174</v>
      </c>
      <c r="B70" t="s">
        <v>80</v>
      </c>
      <c r="C70" t="s">
        <v>65</v>
      </c>
      <c r="D70" s="1">
        <v>36666</v>
      </c>
      <c r="E70" s="1">
        <v>45463</v>
      </c>
      <c r="F70" s="1">
        <v>45477</v>
      </c>
      <c r="G70" t="s">
        <v>88</v>
      </c>
      <c r="H70" t="s">
        <v>30</v>
      </c>
      <c r="I70" t="s">
        <v>57</v>
      </c>
      <c r="J70" t="s">
        <v>175</v>
      </c>
      <c r="K70" t="s">
        <v>48</v>
      </c>
      <c r="L70" t="s">
        <v>23</v>
      </c>
      <c r="M70" t="s">
        <v>35</v>
      </c>
      <c r="N70">
        <v>4</v>
      </c>
      <c r="O70" t="s">
        <v>25</v>
      </c>
    </row>
    <row r="71" spans="1:15" x14ac:dyDescent="0.2">
      <c r="A71">
        <v>69</v>
      </c>
      <c r="B71" t="s">
        <v>27</v>
      </c>
      <c r="C71" t="s">
        <v>92</v>
      </c>
      <c r="D71" s="1">
        <v>22028</v>
      </c>
      <c r="E71" s="1">
        <v>45438</v>
      </c>
      <c r="F71" s="1">
        <v>45452</v>
      </c>
      <c r="G71" t="s">
        <v>18</v>
      </c>
      <c r="H71" t="s">
        <v>75</v>
      </c>
      <c r="I71" t="s">
        <v>41</v>
      </c>
      <c r="J71" t="s">
        <v>176</v>
      </c>
      <c r="K71" t="s">
        <v>22</v>
      </c>
      <c r="M71" t="s">
        <v>24</v>
      </c>
      <c r="N71">
        <v>15</v>
      </c>
      <c r="O71" t="s">
        <v>36</v>
      </c>
    </row>
    <row r="72" spans="1:15" x14ac:dyDescent="0.2">
      <c r="A72">
        <v>70</v>
      </c>
      <c r="B72" t="s">
        <v>64</v>
      </c>
      <c r="C72" t="s">
        <v>97</v>
      </c>
      <c r="D72" s="1">
        <v>22958</v>
      </c>
      <c r="E72" s="1">
        <v>45309</v>
      </c>
      <c r="F72" s="1">
        <v>45310</v>
      </c>
      <c r="G72" t="s">
        <v>40</v>
      </c>
      <c r="H72" t="s">
        <v>52</v>
      </c>
      <c r="I72" t="s">
        <v>76</v>
      </c>
      <c r="J72">
        <v>959</v>
      </c>
      <c r="K72" t="s">
        <v>33</v>
      </c>
      <c r="L72" t="s">
        <v>23</v>
      </c>
      <c r="M72" t="s">
        <v>78</v>
      </c>
      <c r="N72">
        <v>6</v>
      </c>
    </row>
    <row r="73" spans="1:15" x14ac:dyDescent="0.2">
      <c r="A73" t="s">
        <v>177</v>
      </c>
      <c r="B73" t="s">
        <v>150</v>
      </c>
      <c r="C73" t="s">
        <v>17</v>
      </c>
      <c r="D73" s="1">
        <v>23362</v>
      </c>
      <c r="E73" s="1">
        <v>45450</v>
      </c>
      <c r="F73" s="1">
        <v>45455</v>
      </c>
      <c r="G73" t="s">
        <v>72</v>
      </c>
      <c r="H73" t="s">
        <v>19</v>
      </c>
      <c r="I73" t="s">
        <v>76</v>
      </c>
      <c r="J73">
        <v>1343</v>
      </c>
      <c r="K73" t="s">
        <v>71</v>
      </c>
      <c r="M73" t="s">
        <v>35</v>
      </c>
      <c r="N73">
        <v>2</v>
      </c>
      <c r="O73" t="s">
        <v>36</v>
      </c>
    </row>
    <row r="74" spans="1:15" x14ac:dyDescent="0.2">
      <c r="A74">
        <v>72</v>
      </c>
      <c r="B74" t="s">
        <v>16</v>
      </c>
      <c r="C74" t="s">
        <v>92</v>
      </c>
      <c r="D74" s="1">
        <v>37699</v>
      </c>
      <c r="E74" s="1">
        <v>45426</v>
      </c>
      <c r="G74" t="s">
        <v>29</v>
      </c>
      <c r="H74" t="s">
        <v>61</v>
      </c>
      <c r="I74" t="s">
        <v>20</v>
      </c>
      <c r="J74" t="s">
        <v>178</v>
      </c>
      <c r="K74" t="s">
        <v>33</v>
      </c>
      <c r="L74" t="s">
        <v>23</v>
      </c>
      <c r="M74" t="s">
        <v>35</v>
      </c>
      <c r="N74">
        <v>5</v>
      </c>
      <c r="O74" t="s">
        <v>36</v>
      </c>
    </row>
    <row r="75" spans="1:15" x14ac:dyDescent="0.2">
      <c r="A75" t="s">
        <v>179</v>
      </c>
      <c r="B75" t="s">
        <v>64</v>
      </c>
      <c r="C75" t="s">
        <v>28</v>
      </c>
      <c r="D75" s="1">
        <v>32375</v>
      </c>
      <c r="E75" s="1">
        <v>45325</v>
      </c>
      <c r="F75" s="1">
        <v>45329</v>
      </c>
      <c r="G75" t="s">
        <v>74</v>
      </c>
      <c r="H75" t="s">
        <v>19</v>
      </c>
      <c r="I75" t="s">
        <v>41</v>
      </c>
      <c r="J75">
        <v>186</v>
      </c>
      <c r="K75" t="s">
        <v>48</v>
      </c>
      <c r="M75" t="s">
        <v>35</v>
      </c>
      <c r="N75">
        <v>10</v>
      </c>
      <c r="O75" t="s">
        <v>36</v>
      </c>
    </row>
    <row r="76" spans="1:15" x14ac:dyDescent="0.2">
      <c r="A76" t="s">
        <v>180</v>
      </c>
      <c r="B76" t="s">
        <v>118</v>
      </c>
      <c r="C76" t="s">
        <v>49</v>
      </c>
      <c r="D76" s="1">
        <v>39240</v>
      </c>
      <c r="E76" s="1">
        <v>45366</v>
      </c>
      <c r="F76" s="1">
        <v>45372</v>
      </c>
      <c r="G76" t="s">
        <v>18</v>
      </c>
      <c r="H76" t="s">
        <v>19</v>
      </c>
      <c r="I76" t="s">
        <v>41</v>
      </c>
      <c r="J76" t="s">
        <v>181</v>
      </c>
      <c r="K76" t="s">
        <v>71</v>
      </c>
      <c r="L76" t="s">
        <v>34</v>
      </c>
      <c r="M76" t="s">
        <v>35</v>
      </c>
      <c r="N76">
        <v>7</v>
      </c>
    </row>
    <row r="77" spans="1:15" x14ac:dyDescent="0.2">
      <c r="A77" t="s">
        <v>182</v>
      </c>
      <c r="B77" t="s">
        <v>118</v>
      </c>
      <c r="C77" t="s">
        <v>39</v>
      </c>
      <c r="D77" s="1">
        <v>28431</v>
      </c>
      <c r="E77" s="1">
        <v>45348</v>
      </c>
      <c r="F77" s="1">
        <v>45350</v>
      </c>
      <c r="G77" t="s">
        <v>40</v>
      </c>
      <c r="H77" t="s">
        <v>61</v>
      </c>
      <c r="I77" t="s">
        <v>67</v>
      </c>
      <c r="J77" t="s">
        <v>183</v>
      </c>
      <c r="K77" t="s">
        <v>22</v>
      </c>
      <c r="L77" t="s">
        <v>23</v>
      </c>
      <c r="M77" t="s">
        <v>35</v>
      </c>
      <c r="O77" t="s">
        <v>25</v>
      </c>
    </row>
    <row r="78" spans="1:15" x14ac:dyDescent="0.2">
      <c r="A78" t="s">
        <v>184</v>
      </c>
      <c r="B78" t="s">
        <v>85</v>
      </c>
      <c r="C78" t="s">
        <v>97</v>
      </c>
      <c r="D78" s="1">
        <v>39743</v>
      </c>
      <c r="E78" s="1">
        <v>45337</v>
      </c>
      <c r="F78" s="1">
        <v>45347</v>
      </c>
      <c r="G78" t="s">
        <v>72</v>
      </c>
      <c r="H78" t="s">
        <v>61</v>
      </c>
      <c r="I78" t="s">
        <v>53</v>
      </c>
      <c r="J78" t="s">
        <v>185</v>
      </c>
      <c r="K78" t="s">
        <v>33</v>
      </c>
      <c r="L78" t="s">
        <v>23</v>
      </c>
      <c r="M78" t="s">
        <v>78</v>
      </c>
      <c r="O78" t="s">
        <v>36</v>
      </c>
    </row>
    <row r="79" spans="1:15" x14ac:dyDescent="0.2">
      <c r="A79" t="s">
        <v>186</v>
      </c>
      <c r="B79" t="s">
        <v>45</v>
      </c>
      <c r="C79" t="s">
        <v>39</v>
      </c>
      <c r="D79" s="1">
        <v>27264</v>
      </c>
      <c r="E79" s="1">
        <v>45382</v>
      </c>
      <c r="F79" s="1">
        <v>45390</v>
      </c>
      <c r="G79" t="s">
        <v>88</v>
      </c>
      <c r="H79" t="s">
        <v>30</v>
      </c>
      <c r="I79" t="s">
        <v>41</v>
      </c>
      <c r="J79" t="s">
        <v>187</v>
      </c>
      <c r="K79" t="s">
        <v>48</v>
      </c>
      <c r="M79" t="s">
        <v>78</v>
      </c>
      <c r="N79">
        <v>13</v>
      </c>
    </row>
    <row r="80" spans="1:15" x14ac:dyDescent="0.2">
      <c r="A80" t="s">
        <v>188</v>
      </c>
      <c r="B80" t="s">
        <v>114</v>
      </c>
      <c r="C80" t="s">
        <v>39</v>
      </c>
      <c r="D80" s="1">
        <v>36996</v>
      </c>
      <c r="E80" s="1">
        <v>45374</v>
      </c>
      <c r="F80" s="1">
        <v>45375</v>
      </c>
      <c r="G80" t="s">
        <v>74</v>
      </c>
      <c r="I80" t="s">
        <v>41</v>
      </c>
      <c r="J80" t="s">
        <v>189</v>
      </c>
      <c r="K80" t="s">
        <v>43</v>
      </c>
      <c r="L80" t="s">
        <v>23</v>
      </c>
      <c r="M80" t="s">
        <v>35</v>
      </c>
      <c r="O80" t="s">
        <v>36</v>
      </c>
    </row>
    <row r="81" spans="1:15" x14ac:dyDescent="0.2">
      <c r="A81">
        <v>79</v>
      </c>
      <c r="B81" t="s">
        <v>105</v>
      </c>
      <c r="C81" t="s">
        <v>65</v>
      </c>
      <c r="D81" s="1">
        <v>38246</v>
      </c>
      <c r="E81" s="1">
        <v>45385</v>
      </c>
      <c r="F81" s="1">
        <v>45392</v>
      </c>
      <c r="G81" t="s">
        <v>83</v>
      </c>
      <c r="H81" t="s">
        <v>75</v>
      </c>
      <c r="I81" t="s">
        <v>57</v>
      </c>
      <c r="J81" t="s">
        <v>190</v>
      </c>
      <c r="K81" t="s">
        <v>48</v>
      </c>
      <c r="M81" t="s">
        <v>35</v>
      </c>
      <c r="N81">
        <v>7</v>
      </c>
      <c r="O81" t="s">
        <v>36</v>
      </c>
    </row>
    <row r="82" spans="1:15" x14ac:dyDescent="0.2">
      <c r="A82">
        <v>80</v>
      </c>
      <c r="B82" t="s">
        <v>85</v>
      </c>
      <c r="C82" t="s">
        <v>39</v>
      </c>
      <c r="D82" s="1">
        <v>23191</v>
      </c>
      <c r="E82" s="1">
        <v>45312</v>
      </c>
      <c r="F82" s="1">
        <v>45317</v>
      </c>
      <c r="G82" t="s">
        <v>46</v>
      </c>
      <c r="H82" t="s">
        <v>61</v>
      </c>
      <c r="I82" t="s">
        <v>53</v>
      </c>
      <c r="J82" t="s">
        <v>191</v>
      </c>
      <c r="K82" t="s">
        <v>43</v>
      </c>
      <c r="M82" t="s">
        <v>24</v>
      </c>
      <c r="N82">
        <v>14</v>
      </c>
      <c r="O82" t="s">
        <v>25</v>
      </c>
    </row>
    <row r="83" spans="1:15" x14ac:dyDescent="0.2">
      <c r="A83" t="s">
        <v>192</v>
      </c>
      <c r="B83" t="s">
        <v>105</v>
      </c>
      <c r="C83" t="s">
        <v>17</v>
      </c>
      <c r="D83" s="1">
        <v>39432</v>
      </c>
      <c r="E83" s="1">
        <v>45422</v>
      </c>
      <c r="G83" t="s">
        <v>60</v>
      </c>
      <c r="H83" t="s">
        <v>52</v>
      </c>
      <c r="I83" t="s">
        <v>67</v>
      </c>
      <c r="J83">
        <v>799</v>
      </c>
      <c r="K83" t="s">
        <v>22</v>
      </c>
      <c r="L83" t="s">
        <v>23</v>
      </c>
      <c r="M83" t="s">
        <v>35</v>
      </c>
      <c r="O83" t="s">
        <v>36</v>
      </c>
    </row>
    <row r="84" spans="1:15" x14ac:dyDescent="0.2">
      <c r="A84" t="s">
        <v>193</v>
      </c>
      <c r="B84" t="s">
        <v>105</v>
      </c>
      <c r="C84" t="s">
        <v>39</v>
      </c>
      <c r="D84" s="1">
        <v>35951</v>
      </c>
      <c r="E84" s="1">
        <v>45461</v>
      </c>
      <c r="F84" s="1">
        <v>45471</v>
      </c>
      <c r="G84" t="s">
        <v>18</v>
      </c>
      <c r="H84" t="s">
        <v>19</v>
      </c>
      <c r="I84" t="s">
        <v>67</v>
      </c>
      <c r="J84" t="s">
        <v>194</v>
      </c>
      <c r="K84" t="s">
        <v>43</v>
      </c>
      <c r="L84" t="s">
        <v>23</v>
      </c>
      <c r="M84" t="s">
        <v>24</v>
      </c>
      <c r="N84">
        <v>7</v>
      </c>
      <c r="O84" t="s">
        <v>36</v>
      </c>
    </row>
    <row r="85" spans="1:15" x14ac:dyDescent="0.2">
      <c r="A85" t="s">
        <v>195</v>
      </c>
      <c r="B85" t="s">
        <v>91</v>
      </c>
      <c r="C85" t="s">
        <v>28</v>
      </c>
      <c r="D85" s="1">
        <v>38271</v>
      </c>
      <c r="E85" s="1">
        <v>45406</v>
      </c>
      <c r="F85" s="1">
        <v>45411</v>
      </c>
      <c r="G85" t="s">
        <v>50</v>
      </c>
      <c r="H85" t="s">
        <v>30</v>
      </c>
      <c r="I85" t="s">
        <v>53</v>
      </c>
      <c r="J85">
        <v>1268</v>
      </c>
      <c r="K85" t="s">
        <v>71</v>
      </c>
      <c r="M85" t="s">
        <v>78</v>
      </c>
      <c r="N85">
        <v>7</v>
      </c>
      <c r="O85" t="s">
        <v>25</v>
      </c>
    </row>
    <row r="86" spans="1:15" x14ac:dyDescent="0.2">
      <c r="A86" t="s">
        <v>196</v>
      </c>
      <c r="B86" t="s">
        <v>85</v>
      </c>
      <c r="C86" t="s">
        <v>97</v>
      </c>
      <c r="D86" s="1">
        <v>26456</v>
      </c>
      <c r="E86" s="1">
        <v>45456</v>
      </c>
      <c r="F86" s="1">
        <v>45465</v>
      </c>
      <c r="G86" t="s">
        <v>40</v>
      </c>
      <c r="I86" t="s">
        <v>20</v>
      </c>
      <c r="J86" t="s">
        <v>197</v>
      </c>
      <c r="K86" t="s">
        <v>22</v>
      </c>
      <c r="M86" t="s">
        <v>78</v>
      </c>
      <c r="N86">
        <v>3</v>
      </c>
      <c r="O86" t="s">
        <v>36</v>
      </c>
    </row>
    <row r="87" spans="1:15" x14ac:dyDescent="0.2">
      <c r="A87" t="s">
        <v>198</v>
      </c>
      <c r="B87" t="s">
        <v>91</v>
      </c>
      <c r="C87" t="s">
        <v>39</v>
      </c>
      <c r="D87" s="1">
        <v>33046</v>
      </c>
      <c r="E87" s="1">
        <v>45298</v>
      </c>
      <c r="G87" t="s">
        <v>40</v>
      </c>
      <c r="H87" t="s">
        <v>30</v>
      </c>
      <c r="I87" t="s">
        <v>67</v>
      </c>
      <c r="J87" t="s">
        <v>199</v>
      </c>
      <c r="K87" t="s">
        <v>33</v>
      </c>
      <c r="L87" t="s">
        <v>23</v>
      </c>
      <c r="M87" t="s">
        <v>35</v>
      </c>
      <c r="N87">
        <v>2</v>
      </c>
    </row>
    <row r="88" spans="1:15" x14ac:dyDescent="0.2">
      <c r="A88" t="s">
        <v>200</v>
      </c>
      <c r="B88" t="s">
        <v>59</v>
      </c>
      <c r="C88" t="s">
        <v>39</v>
      </c>
      <c r="D88" s="1">
        <v>23049</v>
      </c>
      <c r="E88" s="1">
        <v>45301</v>
      </c>
      <c r="F88" s="1">
        <v>45309</v>
      </c>
      <c r="G88" t="s">
        <v>100</v>
      </c>
      <c r="H88" t="s">
        <v>19</v>
      </c>
      <c r="I88" t="s">
        <v>57</v>
      </c>
      <c r="J88" t="s">
        <v>201</v>
      </c>
      <c r="K88" t="s">
        <v>48</v>
      </c>
      <c r="M88" t="s">
        <v>35</v>
      </c>
      <c r="N88">
        <v>9</v>
      </c>
    </row>
    <row r="89" spans="1:15" x14ac:dyDescent="0.2">
      <c r="A89" t="s">
        <v>202</v>
      </c>
      <c r="B89" t="s">
        <v>105</v>
      </c>
      <c r="C89" t="s">
        <v>28</v>
      </c>
      <c r="D89" s="1">
        <v>21907</v>
      </c>
      <c r="E89" s="1">
        <v>45352</v>
      </c>
      <c r="G89" t="s">
        <v>50</v>
      </c>
      <c r="H89" t="s">
        <v>19</v>
      </c>
      <c r="I89" t="s">
        <v>53</v>
      </c>
      <c r="J89">
        <v>1375</v>
      </c>
      <c r="K89" t="s">
        <v>48</v>
      </c>
      <c r="L89" t="s">
        <v>34</v>
      </c>
      <c r="M89" t="s">
        <v>78</v>
      </c>
      <c r="N89">
        <v>1</v>
      </c>
    </row>
    <row r="90" spans="1:15" x14ac:dyDescent="0.2">
      <c r="A90" t="s">
        <v>203</v>
      </c>
      <c r="B90" t="s">
        <v>119</v>
      </c>
      <c r="C90" t="s">
        <v>97</v>
      </c>
      <c r="D90" s="1">
        <v>22968</v>
      </c>
      <c r="E90" s="1">
        <v>45401</v>
      </c>
      <c r="F90" s="1">
        <v>45405</v>
      </c>
      <c r="G90" t="s">
        <v>46</v>
      </c>
      <c r="H90" t="s">
        <v>75</v>
      </c>
      <c r="I90" t="s">
        <v>53</v>
      </c>
      <c r="J90" t="s">
        <v>204</v>
      </c>
      <c r="K90" t="s">
        <v>48</v>
      </c>
      <c r="L90" t="s">
        <v>34</v>
      </c>
      <c r="M90" t="s">
        <v>78</v>
      </c>
      <c r="N90">
        <v>1</v>
      </c>
    </row>
    <row r="91" spans="1:15" x14ac:dyDescent="0.2">
      <c r="A91">
        <v>89</v>
      </c>
      <c r="B91" t="s">
        <v>102</v>
      </c>
      <c r="C91" t="s">
        <v>92</v>
      </c>
      <c r="D91" s="1">
        <v>18796</v>
      </c>
      <c r="E91" s="1">
        <v>45309</v>
      </c>
      <c r="F91" s="1">
        <v>45320</v>
      </c>
      <c r="G91" t="s">
        <v>18</v>
      </c>
      <c r="H91" t="s">
        <v>75</v>
      </c>
      <c r="I91" t="s">
        <v>41</v>
      </c>
      <c r="J91" t="s">
        <v>205</v>
      </c>
      <c r="K91" t="s">
        <v>48</v>
      </c>
      <c r="M91" t="s">
        <v>24</v>
      </c>
      <c r="N91">
        <v>11</v>
      </c>
      <c r="O91" t="s">
        <v>25</v>
      </c>
    </row>
    <row r="92" spans="1:15" x14ac:dyDescent="0.2">
      <c r="A92" t="s">
        <v>206</v>
      </c>
      <c r="B92" t="s">
        <v>114</v>
      </c>
      <c r="C92" t="s">
        <v>49</v>
      </c>
      <c r="D92" s="1">
        <v>33944</v>
      </c>
      <c r="E92" s="1">
        <v>45326</v>
      </c>
      <c r="F92" s="1">
        <v>45334</v>
      </c>
      <c r="G92" t="s">
        <v>60</v>
      </c>
      <c r="H92" t="s">
        <v>52</v>
      </c>
      <c r="I92" t="s">
        <v>20</v>
      </c>
      <c r="J92" t="s">
        <v>207</v>
      </c>
      <c r="K92" t="s">
        <v>33</v>
      </c>
      <c r="M92" t="s">
        <v>24</v>
      </c>
      <c r="N92">
        <v>14</v>
      </c>
    </row>
    <row r="93" spans="1:15" x14ac:dyDescent="0.2">
      <c r="A93">
        <v>91</v>
      </c>
      <c r="B93" t="s">
        <v>38</v>
      </c>
      <c r="C93" t="s">
        <v>17</v>
      </c>
      <c r="D93" s="1">
        <v>39461</v>
      </c>
      <c r="E93" s="1">
        <v>45365</v>
      </c>
      <c r="F93" s="1">
        <v>45366</v>
      </c>
      <c r="G93" t="s">
        <v>60</v>
      </c>
      <c r="H93" t="s">
        <v>66</v>
      </c>
      <c r="I93" t="s">
        <v>41</v>
      </c>
      <c r="J93">
        <v>853</v>
      </c>
      <c r="K93" t="s">
        <v>71</v>
      </c>
      <c r="M93" t="s">
        <v>78</v>
      </c>
      <c r="N93">
        <v>3</v>
      </c>
      <c r="O93" t="s">
        <v>36</v>
      </c>
    </row>
    <row r="94" spans="1:15" x14ac:dyDescent="0.2">
      <c r="A94" t="s">
        <v>208</v>
      </c>
      <c r="B94" t="s">
        <v>56</v>
      </c>
      <c r="C94" t="s">
        <v>92</v>
      </c>
      <c r="D94" s="1">
        <v>35279</v>
      </c>
      <c r="E94" s="1">
        <v>45313</v>
      </c>
      <c r="G94" t="s">
        <v>18</v>
      </c>
      <c r="I94" t="s">
        <v>67</v>
      </c>
      <c r="J94" t="s">
        <v>209</v>
      </c>
      <c r="K94" t="s">
        <v>33</v>
      </c>
      <c r="L94" t="s">
        <v>34</v>
      </c>
      <c r="M94" t="s">
        <v>35</v>
      </c>
      <c r="N94">
        <v>5</v>
      </c>
      <c r="O94" t="s">
        <v>36</v>
      </c>
    </row>
    <row r="95" spans="1:15" x14ac:dyDescent="0.2">
      <c r="A95">
        <v>93</v>
      </c>
      <c r="B95" t="s">
        <v>85</v>
      </c>
      <c r="C95" t="s">
        <v>49</v>
      </c>
      <c r="D95" s="1">
        <v>32226</v>
      </c>
      <c r="E95" s="1">
        <v>45468</v>
      </c>
      <c r="F95" s="1">
        <v>45469</v>
      </c>
      <c r="G95" t="s">
        <v>18</v>
      </c>
      <c r="H95" t="s">
        <v>19</v>
      </c>
      <c r="I95" t="s">
        <v>31</v>
      </c>
      <c r="J95" t="s">
        <v>210</v>
      </c>
      <c r="K95" t="s">
        <v>48</v>
      </c>
      <c r="M95" t="s">
        <v>78</v>
      </c>
      <c r="N95">
        <v>12</v>
      </c>
    </row>
    <row r="96" spans="1:15" x14ac:dyDescent="0.2">
      <c r="A96" t="s">
        <v>211</v>
      </c>
      <c r="B96" t="s">
        <v>64</v>
      </c>
      <c r="C96" t="s">
        <v>97</v>
      </c>
      <c r="D96" s="1">
        <v>38172</v>
      </c>
      <c r="E96" s="1">
        <v>45300</v>
      </c>
      <c r="G96" t="s">
        <v>72</v>
      </c>
      <c r="H96" t="s">
        <v>30</v>
      </c>
      <c r="I96" t="s">
        <v>31</v>
      </c>
      <c r="J96" t="s">
        <v>212</v>
      </c>
      <c r="K96" t="s">
        <v>43</v>
      </c>
      <c r="L96" t="s">
        <v>23</v>
      </c>
      <c r="M96" t="s">
        <v>24</v>
      </c>
      <c r="N96">
        <v>6</v>
      </c>
      <c r="O96" t="s">
        <v>36</v>
      </c>
    </row>
    <row r="97" spans="1:15" x14ac:dyDescent="0.2">
      <c r="A97">
        <v>95</v>
      </c>
      <c r="B97" t="s">
        <v>150</v>
      </c>
      <c r="C97" t="s">
        <v>65</v>
      </c>
      <c r="D97" s="1">
        <v>22775</v>
      </c>
      <c r="E97" s="1">
        <v>45393</v>
      </c>
      <c r="F97" s="1">
        <v>45397</v>
      </c>
      <c r="G97" t="s">
        <v>88</v>
      </c>
      <c r="H97" t="s">
        <v>75</v>
      </c>
      <c r="I97" t="s">
        <v>67</v>
      </c>
      <c r="J97">
        <v>1122</v>
      </c>
      <c r="K97" t="s">
        <v>43</v>
      </c>
      <c r="L97" t="s">
        <v>34</v>
      </c>
      <c r="M97" t="s">
        <v>78</v>
      </c>
      <c r="N97">
        <v>12</v>
      </c>
      <c r="O97" t="s">
        <v>36</v>
      </c>
    </row>
    <row r="98" spans="1:15" x14ac:dyDescent="0.2">
      <c r="A98" t="s">
        <v>213</v>
      </c>
      <c r="B98" t="s">
        <v>85</v>
      </c>
      <c r="C98" t="s">
        <v>92</v>
      </c>
      <c r="D98" s="1">
        <v>34359</v>
      </c>
      <c r="E98" s="1">
        <v>45323</v>
      </c>
      <c r="F98" s="1">
        <v>45331</v>
      </c>
      <c r="G98" t="s">
        <v>100</v>
      </c>
      <c r="H98" t="s">
        <v>66</v>
      </c>
      <c r="I98" t="s">
        <v>41</v>
      </c>
      <c r="J98" t="s">
        <v>214</v>
      </c>
      <c r="K98" t="s">
        <v>33</v>
      </c>
      <c r="L98" t="s">
        <v>34</v>
      </c>
      <c r="M98" t="s">
        <v>24</v>
      </c>
      <c r="N98">
        <v>15</v>
      </c>
      <c r="O98" t="s">
        <v>36</v>
      </c>
    </row>
    <row r="99" spans="1:15" x14ac:dyDescent="0.2">
      <c r="A99" t="s">
        <v>215</v>
      </c>
      <c r="B99" t="s">
        <v>140</v>
      </c>
      <c r="C99" t="s">
        <v>39</v>
      </c>
      <c r="D99" s="1">
        <v>30109</v>
      </c>
      <c r="E99" s="1">
        <v>45323</v>
      </c>
      <c r="F99" s="1">
        <v>45327</v>
      </c>
      <c r="G99" t="s">
        <v>88</v>
      </c>
      <c r="H99" t="s">
        <v>30</v>
      </c>
      <c r="I99" t="s">
        <v>57</v>
      </c>
      <c r="J99" t="s">
        <v>216</v>
      </c>
      <c r="K99" t="s">
        <v>71</v>
      </c>
      <c r="L99" t="s">
        <v>23</v>
      </c>
      <c r="M99" t="s">
        <v>24</v>
      </c>
      <c r="N99">
        <v>2</v>
      </c>
      <c r="O99" t="s">
        <v>36</v>
      </c>
    </row>
    <row r="100" spans="1:15" x14ac:dyDescent="0.2">
      <c r="A100">
        <v>98</v>
      </c>
      <c r="B100" t="s">
        <v>56</v>
      </c>
      <c r="C100" t="s">
        <v>65</v>
      </c>
      <c r="D100" s="1">
        <v>31724</v>
      </c>
      <c r="E100" s="1">
        <v>45439</v>
      </c>
      <c r="G100" t="s">
        <v>83</v>
      </c>
      <c r="H100" t="s">
        <v>75</v>
      </c>
      <c r="I100" t="s">
        <v>20</v>
      </c>
      <c r="J100">
        <v>1021</v>
      </c>
      <c r="K100" t="s">
        <v>43</v>
      </c>
      <c r="M100" t="s">
        <v>35</v>
      </c>
      <c r="N100">
        <v>13</v>
      </c>
    </row>
    <row r="101" spans="1:15" x14ac:dyDescent="0.2">
      <c r="A101" t="s">
        <v>217</v>
      </c>
      <c r="B101" t="s">
        <v>119</v>
      </c>
      <c r="C101" t="s">
        <v>97</v>
      </c>
      <c r="D101" s="1">
        <v>22492</v>
      </c>
      <c r="E101" s="1">
        <v>45420</v>
      </c>
      <c r="F101" s="1">
        <v>45429</v>
      </c>
      <c r="G101" t="s">
        <v>60</v>
      </c>
      <c r="H101" t="s">
        <v>52</v>
      </c>
      <c r="I101" t="s">
        <v>67</v>
      </c>
      <c r="J101" t="s">
        <v>218</v>
      </c>
      <c r="K101" t="s">
        <v>33</v>
      </c>
      <c r="M101" t="s">
        <v>35</v>
      </c>
    </row>
    <row r="102" spans="1:15" x14ac:dyDescent="0.2">
      <c r="A102" t="s">
        <v>219</v>
      </c>
      <c r="B102" t="s">
        <v>38</v>
      </c>
      <c r="C102" t="s">
        <v>97</v>
      </c>
      <c r="D102" s="1">
        <v>38744</v>
      </c>
      <c r="E102" s="1">
        <v>45449</v>
      </c>
      <c r="F102" s="1">
        <v>45452</v>
      </c>
      <c r="G102" t="s">
        <v>46</v>
      </c>
      <c r="H102" t="s">
        <v>75</v>
      </c>
      <c r="I102" t="s">
        <v>57</v>
      </c>
      <c r="J102" t="s">
        <v>220</v>
      </c>
      <c r="K102" t="s">
        <v>43</v>
      </c>
      <c r="L102" t="s">
        <v>34</v>
      </c>
      <c r="M102" t="s">
        <v>35</v>
      </c>
    </row>
    <row r="103" spans="1:15" x14ac:dyDescent="0.2">
      <c r="A103" t="s">
        <v>221</v>
      </c>
      <c r="B103" t="s">
        <v>38</v>
      </c>
      <c r="C103" t="s">
        <v>49</v>
      </c>
      <c r="D103" s="1">
        <v>25171</v>
      </c>
      <c r="E103" s="1">
        <v>45450</v>
      </c>
      <c r="F103" s="1">
        <v>45461</v>
      </c>
      <c r="G103" t="s">
        <v>72</v>
      </c>
      <c r="H103" t="s">
        <v>30</v>
      </c>
      <c r="I103" t="s">
        <v>76</v>
      </c>
      <c r="J103">
        <v>601</v>
      </c>
      <c r="K103" t="s">
        <v>33</v>
      </c>
      <c r="M103" t="s">
        <v>35</v>
      </c>
      <c r="N103">
        <v>3</v>
      </c>
      <c r="O103" t="s">
        <v>36</v>
      </c>
    </row>
    <row r="104" spans="1:15" x14ac:dyDescent="0.2">
      <c r="A104">
        <v>102</v>
      </c>
      <c r="B104" t="s">
        <v>56</v>
      </c>
      <c r="C104" t="s">
        <v>28</v>
      </c>
      <c r="D104" s="1">
        <v>24949</v>
      </c>
      <c r="E104" s="1">
        <v>45447</v>
      </c>
      <c r="F104" s="1">
        <v>45459</v>
      </c>
      <c r="G104" t="s">
        <v>83</v>
      </c>
      <c r="H104" t="s">
        <v>19</v>
      </c>
      <c r="I104" t="s">
        <v>67</v>
      </c>
      <c r="J104" t="s">
        <v>222</v>
      </c>
      <c r="K104" t="s">
        <v>33</v>
      </c>
      <c r="L104" t="s">
        <v>23</v>
      </c>
      <c r="M104" t="s">
        <v>78</v>
      </c>
      <c r="O104" t="s">
        <v>36</v>
      </c>
    </row>
    <row r="105" spans="1:15" x14ac:dyDescent="0.2">
      <c r="A105" t="s">
        <v>223</v>
      </c>
      <c r="B105" t="s">
        <v>87</v>
      </c>
      <c r="C105" t="s">
        <v>17</v>
      </c>
      <c r="D105" s="1">
        <v>19922</v>
      </c>
      <c r="E105" s="1">
        <v>45390</v>
      </c>
      <c r="F105" s="1">
        <v>45404</v>
      </c>
      <c r="G105" t="s">
        <v>83</v>
      </c>
      <c r="H105" t="s">
        <v>61</v>
      </c>
      <c r="I105" t="s">
        <v>53</v>
      </c>
      <c r="J105" t="s">
        <v>224</v>
      </c>
      <c r="K105" t="s">
        <v>22</v>
      </c>
      <c r="M105" t="s">
        <v>24</v>
      </c>
      <c r="N105">
        <v>15</v>
      </c>
      <c r="O105" t="s">
        <v>36</v>
      </c>
    </row>
    <row r="106" spans="1:15" x14ac:dyDescent="0.2">
      <c r="A106">
        <v>104</v>
      </c>
      <c r="B106" t="s">
        <v>64</v>
      </c>
      <c r="C106" t="s">
        <v>17</v>
      </c>
      <c r="D106" s="1">
        <v>31149</v>
      </c>
      <c r="E106" s="1">
        <v>45353</v>
      </c>
      <c r="F106" s="1">
        <v>45354</v>
      </c>
      <c r="G106" t="s">
        <v>60</v>
      </c>
      <c r="H106" t="s">
        <v>19</v>
      </c>
      <c r="I106" t="s">
        <v>57</v>
      </c>
      <c r="J106">
        <v>1439</v>
      </c>
      <c r="K106" t="s">
        <v>33</v>
      </c>
      <c r="L106" t="s">
        <v>34</v>
      </c>
      <c r="M106" t="s">
        <v>35</v>
      </c>
      <c r="N106">
        <v>15</v>
      </c>
      <c r="O106" t="s">
        <v>36</v>
      </c>
    </row>
    <row r="107" spans="1:15" x14ac:dyDescent="0.2">
      <c r="A107" t="s">
        <v>225</v>
      </c>
      <c r="B107" t="s">
        <v>102</v>
      </c>
      <c r="C107" t="s">
        <v>39</v>
      </c>
      <c r="D107" s="1">
        <v>31477</v>
      </c>
      <c r="E107" s="1">
        <v>45303</v>
      </c>
      <c r="G107" t="s">
        <v>40</v>
      </c>
      <c r="H107" t="s">
        <v>52</v>
      </c>
      <c r="I107" t="s">
        <v>31</v>
      </c>
      <c r="J107" t="s">
        <v>226</v>
      </c>
      <c r="K107" t="s">
        <v>48</v>
      </c>
      <c r="M107" t="s">
        <v>24</v>
      </c>
      <c r="N107">
        <v>9</v>
      </c>
      <c r="O107" t="s">
        <v>36</v>
      </c>
    </row>
    <row r="108" spans="1:15" x14ac:dyDescent="0.2">
      <c r="A108" t="s">
        <v>227</v>
      </c>
      <c r="B108" t="s">
        <v>85</v>
      </c>
      <c r="C108" t="s">
        <v>17</v>
      </c>
      <c r="D108" s="1">
        <v>22480</v>
      </c>
      <c r="E108" s="1">
        <v>45392</v>
      </c>
      <c r="F108" s="1">
        <v>45398</v>
      </c>
      <c r="G108" t="s">
        <v>46</v>
      </c>
      <c r="H108" t="s">
        <v>52</v>
      </c>
      <c r="I108" t="s">
        <v>57</v>
      </c>
      <c r="J108">
        <v>1142</v>
      </c>
      <c r="K108" t="s">
        <v>43</v>
      </c>
      <c r="L108" t="s">
        <v>34</v>
      </c>
      <c r="M108" t="s">
        <v>35</v>
      </c>
    </row>
    <row r="109" spans="1:15" x14ac:dyDescent="0.2">
      <c r="A109">
        <v>107</v>
      </c>
      <c r="B109" t="s">
        <v>56</v>
      </c>
      <c r="C109" t="s">
        <v>65</v>
      </c>
      <c r="D109" s="1">
        <v>33238</v>
      </c>
      <c r="E109" s="1">
        <v>45447</v>
      </c>
      <c r="F109" s="1">
        <v>45457</v>
      </c>
      <c r="G109" t="s">
        <v>46</v>
      </c>
      <c r="H109" t="s">
        <v>19</v>
      </c>
      <c r="I109" t="s">
        <v>57</v>
      </c>
      <c r="J109" t="s">
        <v>228</v>
      </c>
      <c r="K109" t="s">
        <v>43</v>
      </c>
      <c r="M109" t="s">
        <v>24</v>
      </c>
      <c r="N109">
        <v>8</v>
      </c>
      <c r="O109" t="s">
        <v>25</v>
      </c>
    </row>
    <row r="110" spans="1:15" x14ac:dyDescent="0.2">
      <c r="A110">
        <v>108</v>
      </c>
      <c r="B110" t="s">
        <v>59</v>
      </c>
      <c r="C110" t="s">
        <v>49</v>
      </c>
      <c r="D110" s="1">
        <v>21855</v>
      </c>
      <c r="E110" s="1">
        <v>45441</v>
      </c>
      <c r="F110" s="1">
        <v>45453</v>
      </c>
      <c r="G110" t="s">
        <v>18</v>
      </c>
      <c r="H110" t="s">
        <v>19</v>
      </c>
      <c r="I110" t="s">
        <v>31</v>
      </c>
      <c r="J110" t="s">
        <v>229</v>
      </c>
      <c r="K110" t="s">
        <v>48</v>
      </c>
      <c r="M110" t="s">
        <v>35</v>
      </c>
      <c r="N110">
        <v>12</v>
      </c>
    </row>
    <row r="111" spans="1:15" x14ac:dyDescent="0.2">
      <c r="A111">
        <v>109</v>
      </c>
      <c r="B111" t="s">
        <v>87</v>
      </c>
      <c r="C111" t="s">
        <v>39</v>
      </c>
      <c r="D111" s="1">
        <v>26200</v>
      </c>
      <c r="E111" s="1">
        <v>45438</v>
      </c>
      <c r="F111" s="1">
        <v>45446</v>
      </c>
      <c r="G111" t="s">
        <v>29</v>
      </c>
      <c r="H111" t="s">
        <v>52</v>
      </c>
      <c r="I111" t="s">
        <v>76</v>
      </c>
      <c r="J111">
        <v>517</v>
      </c>
      <c r="K111" t="s">
        <v>43</v>
      </c>
      <c r="M111" t="s">
        <v>24</v>
      </c>
      <c r="N111">
        <v>12</v>
      </c>
      <c r="O111" t="s">
        <v>25</v>
      </c>
    </row>
    <row r="112" spans="1:15" x14ac:dyDescent="0.2">
      <c r="A112" t="s">
        <v>230</v>
      </c>
      <c r="B112" t="s">
        <v>51</v>
      </c>
      <c r="C112" t="s">
        <v>65</v>
      </c>
      <c r="D112" s="1">
        <v>28915</v>
      </c>
      <c r="E112" s="1">
        <v>45426</v>
      </c>
      <c r="F112" s="1">
        <v>45429</v>
      </c>
      <c r="G112" t="s">
        <v>40</v>
      </c>
      <c r="H112" t="s">
        <v>30</v>
      </c>
      <c r="I112" t="s">
        <v>57</v>
      </c>
      <c r="J112" t="s">
        <v>231</v>
      </c>
      <c r="K112" t="s">
        <v>43</v>
      </c>
      <c r="M112" t="s">
        <v>35</v>
      </c>
      <c r="N112">
        <v>5</v>
      </c>
    </row>
    <row r="113" spans="1:15" x14ac:dyDescent="0.2">
      <c r="A113">
        <v>111</v>
      </c>
      <c r="B113" t="s">
        <v>91</v>
      </c>
      <c r="C113" t="s">
        <v>92</v>
      </c>
      <c r="D113" s="1">
        <v>27734</v>
      </c>
      <c r="E113" s="1">
        <v>45468</v>
      </c>
      <c r="F113" s="1">
        <v>45474</v>
      </c>
      <c r="G113" t="s">
        <v>60</v>
      </c>
      <c r="H113" t="s">
        <v>66</v>
      </c>
      <c r="I113" t="s">
        <v>57</v>
      </c>
      <c r="J113">
        <v>1485</v>
      </c>
      <c r="K113" t="s">
        <v>71</v>
      </c>
      <c r="M113" t="s">
        <v>35</v>
      </c>
      <c r="O113" t="s">
        <v>36</v>
      </c>
    </row>
    <row r="114" spans="1:15" x14ac:dyDescent="0.2">
      <c r="A114" t="s">
        <v>232</v>
      </c>
      <c r="B114" t="s">
        <v>150</v>
      </c>
      <c r="C114" t="s">
        <v>92</v>
      </c>
      <c r="D114" s="1">
        <v>32759</v>
      </c>
      <c r="E114" s="1">
        <v>45414</v>
      </c>
      <c r="F114" s="1">
        <v>45423</v>
      </c>
      <c r="G114" t="s">
        <v>40</v>
      </c>
      <c r="H114" t="s">
        <v>75</v>
      </c>
      <c r="I114" t="s">
        <v>31</v>
      </c>
      <c r="J114" t="s">
        <v>233</v>
      </c>
      <c r="K114" t="s">
        <v>43</v>
      </c>
      <c r="L114" t="s">
        <v>23</v>
      </c>
      <c r="M114" t="s">
        <v>35</v>
      </c>
    </row>
    <row r="115" spans="1:15" x14ac:dyDescent="0.2">
      <c r="A115" t="s">
        <v>234</v>
      </c>
      <c r="B115" t="s">
        <v>91</v>
      </c>
      <c r="C115" t="s">
        <v>17</v>
      </c>
      <c r="D115" s="1">
        <v>21547</v>
      </c>
      <c r="E115" s="1">
        <v>45376</v>
      </c>
      <c r="G115" t="s">
        <v>46</v>
      </c>
      <c r="H115" t="s">
        <v>66</v>
      </c>
      <c r="I115" t="s">
        <v>57</v>
      </c>
      <c r="J115">
        <v>423</v>
      </c>
      <c r="K115" t="s">
        <v>71</v>
      </c>
      <c r="M115" t="s">
        <v>24</v>
      </c>
      <c r="O115" t="s">
        <v>36</v>
      </c>
    </row>
    <row r="116" spans="1:15" x14ac:dyDescent="0.2">
      <c r="A116">
        <v>114</v>
      </c>
      <c r="B116" t="s">
        <v>45</v>
      </c>
      <c r="C116" t="s">
        <v>49</v>
      </c>
      <c r="D116" s="1">
        <v>20202</v>
      </c>
      <c r="E116" s="1">
        <v>45458</v>
      </c>
      <c r="F116" s="1">
        <v>45470</v>
      </c>
      <c r="G116" t="s">
        <v>46</v>
      </c>
      <c r="H116" t="s">
        <v>19</v>
      </c>
      <c r="I116" t="s">
        <v>41</v>
      </c>
      <c r="J116" t="s">
        <v>235</v>
      </c>
      <c r="K116" t="s">
        <v>71</v>
      </c>
      <c r="M116" t="s">
        <v>35</v>
      </c>
      <c r="N116">
        <v>14</v>
      </c>
      <c r="O116" t="s">
        <v>36</v>
      </c>
    </row>
    <row r="117" spans="1:15" x14ac:dyDescent="0.2">
      <c r="A117" t="s">
        <v>236</v>
      </c>
      <c r="B117" t="s">
        <v>64</v>
      </c>
      <c r="C117" t="s">
        <v>92</v>
      </c>
      <c r="D117" s="1">
        <v>36874</v>
      </c>
      <c r="E117" s="1">
        <v>45377</v>
      </c>
      <c r="F117" s="1">
        <v>45388</v>
      </c>
      <c r="G117" t="s">
        <v>46</v>
      </c>
      <c r="I117" t="s">
        <v>57</v>
      </c>
      <c r="J117" t="s">
        <v>58</v>
      </c>
      <c r="K117" t="s">
        <v>22</v>
      </c>
      <c r="L117" t="s">
        <v>34</v>
      </c>
      <c r="M117" t="s">
        <v>78</v>
      </c>
      <c r="O117" t="s">
        <v>36</v>
      </c>
    </row>
    <row r="118" spans="1:15" x14ac:dyDescent="0.2">
      <c r="A118" t="s">
        <v>237</v>
      </c>
      <c r="B118" t="s">
        <v>38</v>
      </c>
      <c r="C118" t="s">
        <v>49</v>
      </c>
      <c r="D118" s="1">
        <v>24365</v>
      </c>
      <c r="E118" s="1">
        <v>45378</v>
      </c>
      <c r="F118" s="1">
        <v>45391</v>
      </c>
      <c r="G118" t="s">
        <v>46</v>
      </c>
      <c r="H118" t="s">
        <v>61</v>
      </c>
      <c r="I118" t="s">
        <v>41</v>
      </c>
      <c r="J118">
        <v>1408</v>
      </c>
      <c r="K118" t="s">
        <v>71</v>
      </c>
      <c r="M118" t="s">
        <v>35</v>
      </c>
      <c r="N118">
        <v>2</v>
      </c>
      <c r="O118" t="s">
        <v>25</v>
      </c>
    </row>
    <row r="119" spans="1:15" x14ac:dyDescent="0.2">
      <c r="A119" t="s">
        <v>238</v>
      </c>
      <c r="B119" t="s">
        <v>56</v>
      </c>
      <c r="C119" t="s">
        <v>92</v>
      </c>
      <c r="D119" s="1">
        <v>26392</v>
      </c>
      <c r="E119" s="1">
        <v>45358</v>
      </c>
      <c r="F119" s="1">
        <v>45371</v>
      </c>
      <c r="G119" t="s">
        <v>83</v>
      </c>
      <c r="H119" t="s">
        <v>30</v>
      </c>
      <c r="I119" t="s">
        <v>57</v>
      </c>
      <c r="J119" t="s">
        <v>239</v>
      </c>
      <c r="K119" t="s">
        <v>33</v>
      </c>
      <c r="M119" t="s">
        <v>24</v>
      </c>
    </row>
    <row r="120" spans="1:15" x14ac:dyDescent="0.2">
      <c r="A120" t="s">
        <v>240</v>
      </c>
      <c r="B120" t="s">
        <v>114</v>
      </c>
      <c r="C120" t="s">
        <v>92</v>
      </c>
      <c r="D120" s="1">
        <v>23497</v>
      </c>
      <c r="E120" s="1">
        <v>45467</v>
      </c>
      <c r="F120" s="1">
        <v>45478</v>
      </c>
      <c r="G120" t="s">
        <v>83</v>
      </c>
      <c r="H120" t="s">
        <v>61</v>
      </c>
      <c r="I120" t="s">
        <v>67</v>
      </c>
      <c r="J120" t="s">
        <v>241</v>
      </c>
      <c r="K120" t="s">
        <v>71</v>
      </c>
      <c r="L120" t="s">
        <v>23</v>
      </c>
      <c r="M120" t="s">
        <v>78</v>
      </c>
      <c r="N120">
        <v>10</v>
      </c>
      <c r="O120" t="s">
        <v>36</v>
      </c>
    </row>
    <row r="121" spans="1:15" x14ac:dyDescent="0.2">
      <c r="A121">
        <v>119</v>
      </c>
      <c r="B121" t="s">
        <v>27</v>
      </c>
      <c r="C121" t="s">
        <v>28</v>
      </c>
      <c r="D121" s="1">
        <v>35877</v>
      </c>
      <c r="E121" s="1">
        <v>45355</v>
      </c>
      <c r="F121" s="1">
        <v>45364</v>
      </c>
      <c r="G121" t="s">
        <v>74</v>
      </c>
      <c r="H121" t="s">
        <v>61</v>
      </c>
      <c r="I121" t="s">
        <v>20</v>
      </c>
      <c r="J121" t="s">
        <v>242</v>
      </c>
      <c r="K121" t="s">
        <v>43</v>
      </c>
      <c r="L121" t="s">
        <v>23</v>
      </c>
      <c r="M121" t="s">
        <v>35</v>
      </c>
      <c r="N121">
        <v>9</v>
      </c>
      <c r="O121" t="s">
        <v>36</v>
      </c>
    </row>
    <row r="122" spans="1:15" x14ac:dyDescent="0.2">
      <c r="A122" t="s">
        <v>243</v>
      </c>
      <c r="B122" t="s">
        <v>51</v>
      </c>
      <c r="C122" t="s">
        <v>49</v>
      </c>
      <c r="D122" s="1">
        <v>37372</v>
      </c>
      <c r="E122" s="1">
        <v>45315</v>
      </c>
      <c r="F122" s="1">
        <v>45323</v>
      </c>
      <c r="G122" t="s">
        <v>40</v>
      </c>
      <c r="H122" t="s">
        <v>19</v>
      </c>
      <c r="I122" t="s">
        <v>76</v>
      </c>
      <c r="J122" t="s">
        <v>244</v>
      </c>
      <c r="K122" t="s">
        <v>43</v>
      </c>
      <c r="M122" t="s">
        <v>24</v>
      </c>
      <c r="N122">
        <v>12</v>
      </c>
      <c r="O122" t="s">
        <v>25</v>
      </c>
    </row>
    <row r="123" spans="1:15" x14ac:dyDescent="0.2">
      <c r="A123">
        <v>121</v>
      </c>
      <c r="B123" t="s">
        <v>38</v>
      </c>
      <c r="C123" t="s">
        <v>39</v>
      </c>
      <c r="D123" s="1">
        <v>18362</v>
      </c>
      <c r="E123" s="1">
        <v>45440</v>
      </c>
      <c r="G123" t="s">
        <v>83</v>
      </c>
      <c r="H123" t="s">
        <v>75</v>
      </c>
      <c r="I123" t="s">
        <v>20</v>
      </c>
      <c r="J123" t="s">
        <v>245</v>
      </c>
      <c r="K123" t="s">
        <v>48</v>
      </c>
      <c r="M123" t="s">
        <v>35</v>
      </c>
      <c r="O123" t="s">
        <v>25</v>
      </c>
    </row>
    <row r="124" spans="1:15" x14ac:dyDescent="0.2">
      <c r="A124" t="s">
        <v>246</v>
      </c>
      <c r="B124" t="s">
        <v>82</v>
      </c>
      <c r="C124" t="s">
        <v>92</v>
      </c>
      <c r="D124" s="1">
        <v>30797</v>
      </c>
      <c r="E124" s="1">
        <v>45388</v>
      </c>
      <c r="G124" t="s">
        <v>72</v>
      </c>
      <c r="I124" t="s">
        <v>57</v>
      </c>
      <c r="J124" t="s">
        <v>247</v>
      </c>
      <c r="K124" t="s">
        <v>48</v>
      </c>
      <c r="L124" t="s">
        <v>23</v>
      </c>
      <c r="M124" t="s">
        <v>24</v>
      </c>
      <c r="N124">
        <v>3</v>
      </c>
    </row>
    <row r="125" spans="1:15" x14ac:dyDescent="0.2">
      <c r="A125" t="s">
        <v>248</v>
      </c>
      <c r="B125" t="s">
        <v>64</v>
      </c>
      <c r="C125" t="s">
        <v>39</v>
      </c>
      <c r="D125" s="1">
        <v>19008</v>
      </c>
      <c r="E125" s="1">
        <v>45410</v>
      </c>
      <c r="F125" s="1">
        <v>45424</v>
      </c>
      <c r="G125" t="s">
        <v>50</v>
      </c>
      <c r="H125" t="s">
        <v>19</v>
      </c>
      <c r="I125" t="s">
        <v>31</v>
      </c>
      <c r="J125" t="s">
        <v>249</v>
      </c>
      <c r="K125" t="s">
        <v>22</v>
      </c>
      <c r="L125" t="s">
        <v>34</v>
      </c>
      <c r="M125" t="s">
        <v>35</v>
      </c>
      <c r="N125">
        <v>7</v>
      </c>
    </row>
    <row r="126" spans="1:15" x14ac:dyDescent="0.2">
      <c r="A126" t="s">
        <v>250</v>
      </c>
      <c r="B126" t="s">
        <v>91</v>
      </c>
      <c r="C126" t="s">
        <v>97</v>
      </c>
      <c r="D126" s="1">
        <v>20468</v>
      </c>
      <c r="E126" s="1">
        <v>45444</v>
      </c>
      <c r="F126" s="1">
        <v>45455</v>
      </c>
      <c r="G126" t="s">
        <v>50</v>
      </c>
      <c r="H126" t="s">
        <v>75</v>
      </c>
      <c r="I126" t="s">
        <v>20</v>
      </c>
      <c r="J126">
        <v>923</v>
      </c>
      <c r="K126" t="s">
        <v>22</v>
      </c>
      <c r="L126" t="s">
        <v>23</v>
      </c>
      <c r="M126" t="s">
        <v>35</v>
      </c>
      <c r="O126" t="s">
        <v>36</v>
      </c>
    </row>
    <row r="127" spans="1:15" x14ac:dyDescent="0.2">
      <c r="A127" t="s">
        <v>251</v>
      </c>
      <c r="B127" t="s">
        <v>119</v>
      </c>
      <c r="C127" t="s">
        <v>92</v>
      </c>
      <c r="D127" s="1">
        <v>37186</v>
      </c>
      <c r="E127" s="1">
        <v>45352</v>
      </c>
      <c r="F127" s="1">
        <v>45363</v>
      </c>
      <c r="G127" t="s">
        <v>29</v>
      </c>
      <c r="H127" t="s">
        <v>30</v>
      </c>
      <c r="I127" t="s">
        <v>31</v>
      </c>
      <c r="J127" t="s">
        <v>252</v>
      </c>
      <c r="K127" t="s">
        <v>71</v>
      </c>
      <c r="M127" t="s">
        <v>35</v>
      </c>
      <c r="N127">
        <v>11</v>
      </c>
    </row>
    <row r="128" spans="1:15" x14ac:dyDescent="0.2">
      <c r="A128">
        <v>126</v>
      </c>
      <c r="B128" t="s">
        <v>105</v>
      </c>
      <c r="C128" t="s">
        <v>92</v>
      </c>
      <c r="D128" s="1">
        <v>31906</v>
      </c>
      <c r="E128" s="1">
        <v>45330</v>
      </c>
      <c r="F128" s="1">
        <v>45343</v>
      </c>
      <c r="G128" t="s">
        <v>50</v>
      </c>
      <c r="I128" t="s">
        <v>67</v>
      </c>
      <c r="J128" t="s">
        <v>253</v>
      </c>
      <c r="K128" t="s">
        <v>71</v>
      </c>
      <c r="L128" t="s">
        <v>34</v>
      </c>
      <c r="M128" t="s">
        <v>24</v>
      </c>
      <c r="N128">
        <v>7</v>
      </c>
    </row>
    <row r="129" spans="1:15" x14ac:dyDescent="0.2">
      <c r="A129" t="s">
        <v>254</v>
      </c>
      <c r="B129" t="s">
        <v>87</v>
      </c>
      <c r="C129" t="s">
        <v>28</v>
      </c>
      <c r="D129" s="1">
        <v>26221</v>
      </c>
      <c r="E129" s="1">
        <v>45344</v>
      </c>
      <c r="F129" s="1">
        <v>45359</v>
      </c>
      <c r="G129" t="s">
        <v>83</v>
      </c>
      <c r="H129" t="s">
        <v>66</v>
      </c>
      <c r="I129" t="s">
        <v>57</v>
      </c>
      <c r="J129" t="s">
        <v>255</v>
      </c>
      <c r="K129" t="s">
        <v>33</v>
      </c>
      <c r="M129" t="s">
        <v>24</v>
      </c>
      <c r="N129">
        <v>1</v>
      </c>
      <c r="O129" t="s">
        <v>25</v>
      </c>
    </row>
    <row r="130" spans="1:15" x14ac:dyDescent="0.2">
      <c r="A130" t="s">
        <v>256</v>
      </c>
      <c r="B130" t="s">
        <v>119</v>
      </c>
      <c r="C130" t="s">
        <v>49</v>
      </c>
      <c r="D130" s="1">
        <v>36576</v>
      </c>
      <c r="E130" s="1">
        <v>45414</v>
      </c>
      <c r="F130" s="1">
        <v>45420</v>
      </c>
      <c r="G130" t="s">
        <v>88</v>
      </c>
      <c r="H130" t="s">
        <v>52</v>
      </c>
      <c r="I130" t="s">
        <v>67</v>
      </c>
      <c r="J130">
        <v>340</v>
      </c>
      <c r="K130" t="s">
        <v>22</v>
      </c>
      <c r="L130" t="s">
        <v>23</v>
      </c>
      <c r="M130" t="s">
        <v>78</v>
      </c>
      <c r="N130">
        <v>9</v>
      </c>
      <c r="O130" t="s">
        <v>36</v>
      </c>
    </row>
    <row r="131" spans="1:15" x14ac:dyDescent="0.2">
      <c r="A131">
        <v>129</v>
      </c>
      <c r="B131" t="s">
        <v>118</v>
      </c>
      <c r="C131" t="s">
        <v>28</v>
      </c>
      <c r="D131" s="1">
        <v>35750</v>
      </c>
      <c r="E131" s="1">
        <v>45370</v>
      </c>
      <c r="F131" s="1">
        <v>45385</v>
      </c>
      <c r="G131" t="s">
        <v>100</v>
      </c>
      <c r="H131" t="s">
        <v>66</v>
      </c>
      <c r="I131" t="s">
        <v>41</v>
      </c>
      <c r="J131" t="s">
        <v>257</v>
      </c>
      <c r="K131" t="s">
        <v>22</v>
      </c>
      <c r="M131" t="s">
        <v>78</v>
      </c>
      <c r="N131">
        <v>10</v>
      </c>
      <c r="O131" t="s">
        <v>25</v>
      </c>
    </row>
    <row r="132" spans="1:15" x14ac:dyDescent="0.2">
      <c r="A132" t="s">
        <v>258</v>
      </c>
      <c r="B132" t="s">
        <v>87</v>
      </c>
      <c r="C132" t="s">
        <v>17</v>
      </c>
      <c r="D132" s="1">
        <v>26809</v>
      </c>
      <c r="E132" s="1">
        <v>45367</v>
      </c>
      <c r="F132" s="1">
        <v>45371</v>
      </c>
      <c r="G132" t="s">
        <v>18</v>
      </c>
      <c r="I132" t="s">
        <v>67</v>
      </c>
      <c r="J132" t="s">
        <v>259</v>
      </c>
      <c r="K132" t="s">
        <v>33</v>
      </c>
      <c r="M132" t="s">
        <v>24</v>
      </c>
      <c r="N132">
        <v>8</v>
      </c>
      <c r="O132" t="s">
        <v>36</v>
      </c>
    </row>
    <row r="133" spans="1:15" x14ac:dyDescent="0.2">
      <c r="A133" t="s">
        <v>260</v>
      </c>
      <c r="B133" t="s">
        <v>102</v>
      </c>
      <c r="C133" t="s">
        <v>97</v>
      </c>
      <c r="D133" s="1">
        <v>22850</v>
      </c>
      <c r="E133" s="1">
        <v>45339</v>
      </c>
      <c r="F133" s="1">
        <v>45353</v>
      </c>
      <c r="G133" t="s">
        <v>72</v>
      </c>
      <c r="H133" t="s">
        <v>66</v>
      </c>
      <c r="I133" t="s">
        <v>41</v>
      </c>
      <c r="J133">
        <v>113</v>
      </c>
      <c r="K133" t="s">
        <v>22</v>
      </c>
      <c r="L133" t="s">
        <v>23</v>
      </c>
      <c r="M133" t="s">
        <v>35</v>
      </c>
      <c r="N133">
        <v>1</v>
      </c>
      <c r="O133" t="s">
        <v>25</v>
      </c>
    </row>
    <row r="134" spans="1:15" x14ac:dyDescent="0.2">
      <c r="A134" t="s">
        <v>261</v>
      </c>
      <c r="B134" t="s">
        <v>114</v>
      </c>
      <c r="C134" t="s">
        <v>92</v>
      </c>
      <c r="D134" s="1">
        <v>20244</v>
      </c>
      <c r="E134" s="1">
        <v>45460</v>
      </c>
      <c r="G134" t="s">
        <v>40</v>
      </c>
      <c r="H134" t="s">
        <v>61</v>
      </c>
      <c r="I134" t="s">
        <v>76</v>
      </c>
      <c r="J134" t="s">
        <v>262</v>
      </c>
      <c r="K134" t="s">
        <v>43</v>
      </c>
      <c r="M134" t="s">
        <v>24</v>
      </c>
      <c r="N134">
        <v>1</v>
      </c>
    </row>
    <row r="135" spans="1:15" x14ac:dyDescent="0.2">
      <c r="A135" t="s">
        <v>263</v>
      </c>
      <c r="B135" t="s">
        <v>82</v>
      </c>
      <c r="C135" t="s">
        <v>39</v>
      </c>
      <c r="D135" s="1">
        <v>24138</v>
      </c>
      <c r="E135" s="1">
        <v>45316</v>
      </c>
      <c r="F135" s="1">
        <v>45326</v>
      </c>
      <c r="G135" t="s">
        <v>83</v>
      </c>
      <c r="H135" t="s">
        <v>30</v>
      </c>
      <c r="I135" t="s">
        <v>41</v>
      </c>
      <c r="J135" t="s">
        <v>264</v>
      </c>
      <c r="K135" t="s">
        <v>33</v>
      </c>
      <c r="M135" t="s">
        <v>78</v>
      </c>
      <c r="N135">
        <v>12</v>
      </c>
      <c r="O135" t="s">
        <v>25</v>
      </c>
    </row>
    <row r="136" spans="1:15" x14ac:dyDescent="0.2">
      <c r="A136">
        <v>134</v>
      </c>
      <c r="B136" t="s">
        <v>150</v>
      </c>
      <c r="C136" t="s">
        <v>49</v>
      </c>
      <c r="D136" s="1">
        <v>39559</v>
      </c>
      <c r="E136" s="1">
        <v>45315</v>
      </c>
      <c r="F136" s="1">
        <v>45324</v>
      </c>
      <c r="G136" t="s">
        <v>88</v>
      </c>
      <c r="H136" t="s">
        <v>75</v>
      </c>
      <c r="I136" t="s">
        <v>20</v>
      </c>
      <c r="J136" t="s">
        <v>265</v>
      </c>
      <c r="K136" t="s">
        <v>71</v>
      </c>
      <c r="M136" t="s">
        <v>24</v>
      </c>
      <c r="N136">
        <v>10</v>
      </c>
      <c r="O136" t="s">
        <v>25</v>
      </c>
    </row>
    <row r="137" spans="1:15" x14ac:dyDescent="0.2">
      <c r="A137" t="s">
        <v>266</v>
      </c>
      <c r="B137" t="s">
        <v>80</v>
      </c>
      <c r="C137" t="s">
        <v>97</v>
      </c>
      <c r="D137" s="1">
        <v>25191</v>
      </c>
      <c r="E137" s="1">
        <v>45361</v>
      </c>
      <c r="F137" s="1">
        <v>45372</v>
      </c>
      <c r="G137" t="s">
        <v>40</v>
      </c>
      <c r="H137" t="s">
        <v>61</v>
      </c>
      <c r="I137" t="s">
        <v>53</v>
      </c>
      <c r="J137" t="s">
        <v>267</v>
      </c>
      <c r="K137" t="s">
        <v>33</v>
      </c>
      <c r="L137" t="s">
        <v>34</v>
      </c>
      <c r="M137" t="s">
        <v>35</v>
      </c>
      <c r="N137">
        <v>13</v>
      </c>
    </row>
    <row r="138" spans="1:15" x14ac:dyDescent="0.2">
      <c r="A138">
        <v>136</v>
      </c>
      <c r="B138" t="s">
        <v>150</v>
      </c>
      <c r="C138" t="s">
        <v>92</v>
      </c>
      <c r="D138" s="1">
        <v>23587</v>
      </c>
      <c r="E138" s="1">
        <v>45437</v>
      </c>
      <c r="F138" s="1">
        <v>45446</v>
      </c>
      <c r="G138" t="s">
        <v>29</v>
      </c>
      <c r="I138" t="s">
        <v>53</v>
      </c>
      <c r="J138" t="s">
        <v>268</v>
      </c>
      <c r="K138" t="s">
        <v>43</v>
      </c>
      <c r="M138" t="s">
        <v>35</v>
      </c>
      <c r="O138" t="s">
        <v>25</v>
      </c>
    </row>
    <row r="139" spans="1:15" x14ac:dyDescent="0.2">
      <c r="A139" t="s">
        <v>269</v>
      </c>
      <c r="B139" t="s">
        <v>59</v>
      </c>
      <c r="C139" t="s">
        <v>65</v>
      </c>
      <c r="D139" s="1">
        <v>38379</v>
      </c>
      <c r="E139" s="1">
        <v>45375</v>
      </c>
      <c r="F139" s="1">
        <v>45388</v>
      </c>
      <c r="G139" t="s">
        <v>100</v>
      </c>
      <c r="H139" t="s">
        <v>52</v>
      </c>
      <c r="I139" t="s">
        <v>31</v>
      </c>
      <c r="J139">
        <v>1232</v>
      </c>
      <c r="K139" t="s">
        <v>71</v>
      </c>
      <c r="L139" t="s">
        <v>23</v>
      </c>
      <c r="M139" t="s">
        <v>24</v>
      </c>
      <c r="N139">
        <v>7</v>
      </c>
      <c r="O139" t="s">
        <v>25</v>
      </c>
    </row>
    <row r="140" spans="1:15" x14ac:dyDescent="0.2">
      <c r="A140" t="s">
        <v>270</v>
      </c>
      <c r="B140" t="s">
        <v>45</v>
      </c>
      <c r="C140" t="s">
        <v>39</v>
      </c>
      <c r="D140" s="1">
        <v>26339</v>
      </c>
      <c r="E140" s="1">
        <v>45313</v>
      </c>
      <c r="F140" s="1">
        <v>45325</v>
      </c>
      <c r="G140" t="s">
        <v>29</v>
      </c>
      <c r="H140" t="s">
        <v>30</v>
      </c>
      <c r="I140" t="s">
        <v>31</v>
      </c>
      <c r="J140" t="s">
        <v>271</v>
      </c>
      <c r="K140" t="s">
        <v>48</v>
      </c>
      <c r="M140" t="s">
        <v>78</v>
      </c>
      <c r="N140">
        <v>5</v>
      </c>
      <c r="O140" t="s">
        <v>25</v>
      </c>
    </row>
    <row r="141" spans="1:15" x14ac:dyDescent="0.2">
      <c r="A141" t="s">
        <v>272</v>
      </c>
      <c r="B141" t="s">
        <v>150</v>
      </c>
      <c r="C141" t="s">
        <v>97</v>
      </c>
      <c r="D141" s="1">
        <v>32386</v>
      </c>
      <c r="E141" s="1">
        <v>45434</v>
      </c>
      <c r="G141" t="s">
        <v>74</v>
      </c>
      <c r="H141" t="s">
        <v>30</v>
      </c>
      <c r="I141" t="s">
        <v>57</v>
      </c>
      <c r="J141" t="s">
        <v>273</v>
      </c>
      <c r="K141" t="s">
        <v>71</v>
      </c>
      <c r="L141" t="s">
        <v>34</v>
      </c>
      <c r="M141" t="s">
        <v>78</v>
      </c>
      <c r="N141">
        <v>13</v>
      </c>
      <c r="O141" t="s">
        <v>25</v>
      </c>
    </row>
    <row r="142" spans="1:15" x14ac:dyDescent="0.2">
      <c r="A142" t="s">
        <v>274</v>
      </c>
      <c r="B142" t="s">
        <v>27</v>
      </c>
      <c r="C142" t="s">
        <v>97</v>
      </c>
      <c r="D142" s="1">
        <v>37005</v>
      </c>
      <c r="E142" s="1">
        <v>45467</v>
      </c>
      <c r="F142" s="1">
        <v>45472</v>
      </c>
      <c r="G142" t="s">
        <v>60</v>
      </c>
      <c r="H142" t="s">
        <v>19</v>
      </c>
      <c r="I142" t="s">
        <v>67</v>
      </c>
      <c r="J142" t="s">
        <v>275</v>
      </c>
      <c r="K142" t="s">
        <v>71</v>
      </c>
      <c r="M142" t="s">
        <v>78</v>
      </c>
      <c r="O142" t="s">
        <v>25</v>
      </c>
    </row>
    <row r="143" spans="1:15" x14ac:dyDescent="0.2">
      <c r="A143">
        <v>141</v>
      </c>
      <c r="B143" t="s">
        <v>38</v>
      </c>
      <c r="C143" t="s">
        <v>97</v>
      </c>
      <c r="D143" s="1">
        <v>38745</v>
      </c>
      <c r="E143" s="1">
        <v>45444</v>
      </c>
      <c r="F143" s="1">
        <v>45447</v>
      </c>
      <c r="G143" t="s">
        <v>88</v>
      </c>
      <c r="H143" t="s">
        <v>19</v>
      </c>
      <c r="I143" t="s">
        <v>31</v>
      </c>
      <c r="J143">
        <v>1370</v>
      </c>
      <c r="K143" t="s">
        <v>33</v>
      </c>
      <c r="M143" t="s">
        <v>78</v>
      </c>
      <c r="N143">
        <v>14</v>
      </c>
    </row>
    <row r="144" spans="1:15" x14ac:dyDescent="0.2">
      <c r="A144" t="s">
        <v>276</v>
      </c>
      <c r="B144" t="s">
        <v>87</v>
      </c>
      <c r="C144" t="s">
        <v>92</v>
      </c>
      <c r="D144" s="1">
        <v>28771</v>
      </c>
      <c r="E144" s="1">
        <v>45414</v>
      </c>
      <c r="F144" s="1">
        <v>45421</v>
      </c>
      <c r="G144" t="s">
        <v>60</v>
      </c>
      <c r="H144" t="s">
        <v>75</v>
      </c>
      <c r="I144" t="s">
        <v>53</v>
      </c>
      <c r="J144">
        <v>1396</v>
      </c>
      <c r="K144" t="s">
        <v>43</v>
      </c>
      <c r="L144" t="s">
        <v>23</v>
      </c>
      <c r="M144" t="s">
        <v>78</v>
      </c>
      <c r="N144">
        <v>14</v>
      </c>
      <c r="O144" t="s">
        <v>36</v>
      </c>
    </row>
    <row r="145" spans="1:15" x14ac:dyDescent="0.2">
      <c r="A145">
        <v>143</v>
      </c>
      <c r="B145" t="s">
        <v>16</v>
      </c>
      <c r="C145" t="s">
        <v>65</v>
      </c>
      <c r="D145" s="1">
        <v>24811</v>
      </c>
      <c r="E145" s="1">
        <v>45466</v>
      </c>
      <c r="F145" s="1">
        <v>45474</v>
      </c>
      <c r="G145" t="s">
        <v>100</v>
      </c>
      <c r="I145" t="s">
        <v>31</v>
      </c>
      <c r="J145">
        <v>241</v>
      </c>
      <c r="K145" t="s">
        <v>71</v>
      </c>
      <c r="L145" t="s">
        <v>23</v>
      </c>
      <c r="M145" t="s">
        <v>24</v>
      </c>
      <c r="N145">
        <v>5</v>
      </c>
    </row>
    <row r="146" spans="1:15" x14ac:dyDescent="0.2">
      <c r="A146" t="s">
        <v>277</v>
      </c>
      <c r="B146" t="s">
        <v>82</v>
      </c>
      <c r="C146" t="s">
        <v>39</v>
      </c>
      <c r="D146" s="1">
        <v>30617</v>
      </c>
      <c r="E146" s="1">
        <v>45406</v>
      </c>
      <c r="F146" s="1">
        <v>45415</v>
      </c>
      <c r="G146" t="s">
        <v>40</v>
      </c>
      <c r="H146" t="s">
        <v>66</v>
      </c>
      <c r="I146" t="s">
        <v>41</v>
      </c>
      <c r="J146" t="s">
        <v>278</v>
      </c>
      <c r="K146" t="s">
        <v>48</v>
      </c>
      <c r="L146" t="s">
        <v>23</v>
      </c>
      <c r="M146" t="s">
        <v>24</v>
      </c>
      <c r="N146">
        <v>3</v>
      </c>
    </row>
    <row r="147" spans="1:15" x14ac:dyDescent="0.2">
      <c r="A147" t="s">
        <v>279</v>
      </c>
      <c r="B147" t="s">
        <v>80</v>
      </c>
      <c r="C147" t="s">
        <v>65</v>
      </c>
      <c r="D147" s="1">
        <v>39400</v>
      </c>
      <c r="E147" s="1">
        <v>45376</v>
      </c>
      <c r="G147" t="s">
        <v>74</v>
      </c>
      <c r="H147" t="s">
        <v>30</v>
      </c>
      <c r="I147" t="s">
        <v>67</v>
      </c>
      <c r="J147" t="s">
        <v>280</v>
      </c>
      <c r="K147" t="s">
        <v>71</v>
      </c>
      <c r="M147" t="s">
        <v>78</v>
      </c>
      <c r="N147">
        <v>11</v>
      </c>
    </row>
    <row r="148" spans="1:15" x14ac:dyDescent="0.2">
      <c r="A148" t="s">
        <v>281</v>
      </c>
      <c r="B148" t="s">
        <v>105</v>
      </c>
      <c r="C148" t="s">
        <v>97</v>
      </c>
      <c r="D148" s="1">
        <v>29567</v>
      </c>
      <c r="E148" s="1">
        <v>45415</v>
      </c>
      <c r="F148" s="1">
        <v>45430</v>
      </c>
      <c r="G148" t="s">
        <v>74</v>
      </c>
      <c r="I148" t="s">
        <v>53</v>
      </c>
      <c r="J148" t="s">
        <v>282</v>
      </c>
      <c r="K148" t="s">
        <v>33</v>
      </c>
      <c r="M148" t="s">
        <v>78</v>
      </c>
      <c r="N148">
        <v>9</v>
      </c>
      <c r="O148" t="s">
        <v>36</v>
      </c>
    </row>
    <row r="149" spans="1:15" x14ac:dyDescent="0.2">
      <c r="A149">
        <v>147</v>
      </c>
      <c r="B149" t="s">
        <v>56</v>
      </c>
      <c r="C149" t="s">
        <v>17</v>
      </c>
      <c r="D149" s="1">
        <v>32621</v>
      </c>
      <c r="E149" s="1">
        <v>45373</v>
      </c>
      <c r="F149" s="1">
        <v>45386</v>
      </c>
      <c r="G149" t="s">
        <v>88</v>
      </c>
      <c r="I149" t="s">
        <v>31</v>
      </c>
      <c r="J149" t="s">
        <v>283</v>
      </c>
      <c r="K149" t="s">
        <v>22</v>
      </c>
      <c r="L149" t="s">
        <v>23</v>
      </c>
      <c r="M149" t="s">
        <v>24</v>
      </c>
      <c r="O149" t="s">
        <v>25</v>
      </c>
    </row>
    <row r="150" spans="1:15" x14ac:dyDescent="0.2">
      <c r="A150">
        <v>148</v>
      </c>
      <c r="B150" t="s">
        <v>27</v>
      </c>
      <c r="C150" t="s">
        <v>28</v>
      </c>
      <c r="D150" s="1">
        <v>33404</v>
      </c>
      <c r="E150" s="1">
        <v>45395</v>
      </c>
      <c r="F150" s="1">
        <v>45406</v>
      </c>
      <c r="G150" t="s">
        <v>29</v>
      </c>
      <c r="H150" t="s">
        <v>66</v>
      </c>
      <c r="I150" t="s">
        <v>53</v>
      </c>
      <c r="J150" t="s">
        <v>284</v>
      </c>
      <c r="K150" t="s">
        <v>71</v>
      </c>
      <c r="M150" t="s">
        <v>78</v>
      </c>
      <c r="O150" t="s">
        <v>25</v>
      </c>
    </row>
    <row r="151" spans="1:15" x14ac:dyDescent="0.2">
      <c r="A151" t="s">
        <v>285</v>
      </c>
      <c r="B151" t="s">
        <v>38</v>
      </c>
      <c r="C151" t="s">
        <v>39</v>
      </c>
      <c r="D151" s="1">
        <v>20314</v>
      </c>
      <c r="E151" s="1">
        <v>45429</v>
      </c>
      <c r="F151" s="1">
        <v>45433</v>
      </c>
      <c r="G151" t="s">
        <v>74</v>
      </c>
      <c r="H151" t="s">
        <v>30</v>
      </c>
      <c r="I151" t="s">
        <v>53</v>
      </c>
      <c r="J151" t="s">
        <v>286</v>
      </c>
      <c r="K151" t="s">
        <v>43</v>
      </c>
      <c r="M151" t="s">
        <v>24</v>
      </c>
      <c r="N151">
        <v>2</v>
      </c>
      <c r="O151" t="s">
        <v>36</v>
      </c>
    </row>
    <row r="152" spans="1:15" x14ac:dyDescent="0.2">
      <c r="A152">
        <v>150</v>
      </c>
      <c r="B152" t="s">
        <v>114</v>
      </c>
      <c r="C152" t="s">
        <v>65</v>
      </c>
      <c r="D152" s="1">
        <v>23917</v>
      </c>
      <c r="E152" s="1">
        <v>45449</v>
      </c>
      <c r="F152" s="1">
        <v>45455</v>
      </c>
      <c r="G152" t="s">
        <v>50</v>
      </c>
      <c r="H152" t="s">
        <v>30</v>
      </c>
      <c r="I152" t="s">
        <v>20</v>
      </c>
      <c r="J152" t="s">
        <v>287</v>
      </c>
      <c r="K152" t="s">
        <v>22</v>
      </c>
      <c r="M152" t="s">
        <v>78</v>
      </c>
      <c r="N152">
        <v>10</v>
      </c>
      <c r="O152" t="s">
        <v>36</v>
      </c>
    </row>
    <row r="153" spans="1:15" x14ac:dyDescent="0.2">
      <c r="A153">
        <v>151</v>
      </c>
      <c r="B153" t="s">
        <v>140</v>
      </c>
      <c r="C153" t="s">
        <v>28</v>
      </c>
      <c r="D153" s="1">
        <v>39088</v>
      </c>
      <c r="E153" s="1">
        <v>45434</v>
      </c>
      <c r="F153" s="1">
        <v>45437</v>
      </c>
      <c r="G153" t="s">
        <v>83</v>
      </c>
      <c r="I153" t="s">
        <v>76</v>
      </c>
      <c r="J153" t="s">
        <v>288</v>
      </c>
      <c r="K153" t="s">
        <v>33</v>
      </c>
      <c r="L153" t="s">
        <v>34</v>
      </c>
      <c r="M153" t="s">
        <v>78</v>
      </c>
      <c r="O153" t="s">
        <v>36</v>
      </c>
    </row>
    <row r="154" spans="1:15" x14ac:dyDescent="0.2">
      <c r="A154" t="s">
        <v>289</v>
      </c>
      <c r="B154" t="s">
        <v>105</v>
      </c>
      <c r="C154" t="s">
        <v>49</v>
      </c>
      <c r="D154" s="1">
        <v>34483</v>
      </c>
      <c r="E154" s="1">
        <v>45467</v>
      </c>
      <c r="F154" s="1">
        <v>45481</v>
      </c>
      <c r="G154" t="s">
        <v>100</v>
      </c>
      <c r="H154" t="s">
        <v>52</v>
      </c>
      <c r="I154" t="s">
        <v>20</v>
      </c>
      <c r="J154" t="s">
        <v>290</v>
      </c>
      <c r="K154" t="s">
        <v>22</v>
      </c>
      <c r="M154" t="s">
        <v>35</v>
      </c>
    </row>
    <row r="155" spans="1:15" x14ac:dyDescent="0.2">
      <c r="A155">
        <v>153</v>
      </c>
      <c r="B155" t="s">
        <v>140</v>
      </c>
      <c r="C155" t="s">
        <v>39</v>
      </c>
      <c r="D155" s="1">
        <v>33249</v>
      </c>
      <c r="E155" s="1">
        <v>45432</v>
      </c>
      <c r="F155" s="1">
        <v>45437</v>
      </c>
      <c r="G155" t="s">
        <v>40</v>
      </c>
      <c r="I155" t="s">
        <v>41</v>
      </c>
      <c r="J155">
        <v>185</v>
      </c>
      <c r="K155" t="s">
        <v>43</v>
      </c>
      <c r="L155" t="s">
        <v>23</v>
      </c>
      <c r="M155" t="s">
        <v>78</v>
      </c>
    </row>
    <row r="156" spans="1:15" x14ac:dyDescent="0.2">
      <c r="A156" t="s">
        <v>291</v>
      </c>
      <c r="B156" t="s">
        <v>45</v>
      </c>
      <c r="C156" t="s">
        <v>39</v>
      </c>
      <c r="D156" s="1">
        <v>19320</v>
      </c>
      <c r="E156" s="1">
        <v>45359</v>
      </c>
      <c r="F156" s="1">
        <v>45361</v>
      </c>
      <c r="G156" t="s">
        <v>74</v>
      </c>
      <c r="I156" t="s">
        <v>41</v>
      </c>
      <c r="J156" t="s">
        <v>292</v>
      </c>
      <c r="K156" t="s">
        <v>43</v>
      </c>
      <c r="M156" t="s">
        <v>24</v>
      </c>
      <c r="N156">
        <v>7</v>
      </c>
      <c r="O156" t="s">
        <v>25</v>
      </c>
    </row>
    <row r="157" spans="1:15" x14ac:dyDescent="0.2">
      <c r="A157" t="s">
        <v>293</v>
      </c>
      <c r="B157" t="s">
        <v>87</v>
      </c>
      <c r="C157" t="s">
        <v>39</v>
      </c>
      <c r="D157" s="1">
        <v>25034</v>
      </c>
      <c r="E157" s="1">
        <v>45307</v>
      </c>
      <c r="F157" s="1">
        <v>45317</v>
      </c>
      <c r="G157" t="s">
        <v>83</v>
      </c>
      <c r="H157" t="s">
        <v>75</v>
      </c>
      <c r="I157" t="s">
        <v>31</v>
      </c>
      <c r="J157" t="s">
        <v>294</v>
      </c>
      <c r="K157" t="s">
        <v>43</v>
      </c>
      <c r="L157" t="s">
        <v>34</v>
      </c>
      <c r="M157" t="s">
        <v>35</v>
      </c>
      <c r="N157">
        <v>13</v>
      </c>
      <c r="O157" t="s">
        <v>36</v>
      </c>
    </row>
    <row r="158" spans="1:15" x14ac:dyDescent="0.2">
      <c r="A158" t="s">
        <v>295</v>
      </c>
      <c r="B158" t="s">
        <v>38</v>
      </c>
      <c r="C158" t="s">
        <v>39</v>
      </c>
      <c r="D158" s="1">
        <v>39756</v>
      </c>
      <c r="E158" s="1">
        <v>45471</v>
      </c>
      <c r="F158" s="1">
        <v>45483</v>
      </c>
      <c r="G158" t="s">
        <v>50</v>
      </c>
      <c r="I158" t="s">
        <v>41</v>
      </c>
      <c r="J158">
        <v>1484</v>
      </c>
      <c r="K158" t="s">
        <v>71</v>
      </c>
      <c r="L158" t="s">
        <v>23</v>
      </c>
      <c r="M158" t="s">
        <v>24</v>
      </c>
      <c r="N158">
        <v>11</v>
      </c>
      <c r="O158" t="s">
        <v>36</v>
      </c>
    </row>
    <row r="159" spans="1:15" x14ac:dyDescent="0.2">
      <c r="A159">
        <v>157</v>
      </c>
      <c r="B159" t="s">
        <v>114</v>
      </c>
      <c r="C159" t="s">
        <v>17</v>
      </c>
      <c r="D159" s="1">
        <v>39026</v>
      </c>
      <c r="E159" s="1">
        <v>45395</v>
      </c>
      <c r="F159" s="1">
        <v>45410</v>
      </c>
      <c r="G159" t="s">
        <v>100</v>
      </c>
      <c r="H159" t="s">
        <v>19</v>
      </c>
      <c r="I159" t="s">
        <v>31</v>
      </c>
      <c r="J159" t="s">
        <v>296</v>
      </c>
      <c r="K159" t="s">
        <v>48</v>
      </c>
      <c r="M159" t="s">
        <v>24</v>
      </c>
      <c r="N159">
        <v>6</v>
      </c>
      <c r="O159" t="s">
        <v>25</v>
      </c>
    </row>
    <row r="160" spans="1:15" x14ac:dyDescent="0.2">
      <c r="A160" t="s">
        <v>297</v>
      </c>
      <c r="B160" t="s">
        <v>118</v>
      </c>
      <c r="C160" t="s">
        <v>97</v>
      </c>
      <c r="D160" s="1">
        <v>32342</v>
      </c>
      <c r="E160" s="1">
        <v>45418</v>
      </c>
      <c r="F160" s="1">
        <v>45423</v>
      </c>
      <c r="G160" t="s">
        <v>40</v>
      </c>
      <c r="H160" t="s">
        <v>61</v>
      </c>
      <c r="I160" t="s">
        <v>67</v>
      </c>
      <c r="J160">
        <v>1259</v>
      </c>
      <c r="K160" t="s">
        <v>33</v>
      </c>
      <c r="L160" t="s">
        <v>34</v>
      </c>
      <c r="M160" t="s">
        <v>35</v>
      </c>
      <c r="O160" t="s">
        <v>36</v>
      </c>
    </row>
    <row r="161" spans="1:15" x14ac:dyDescent="0.2">
      <c r="A161" t="s">
        <v>298</v>
      </c>
      <c r="B161" t="s">
        <v>16</v>
      </c>
      <c r="C161" t="s">
        <v>39</v>
      </c>
      <c r="D161" s="1">
        <v>23440</v>
      </c>
      <c r="E161" s="1">
        <v>45408</v>
      </c>
      <c r="F161" s="1">
        <v>45415</v>
      </c>
      <c r="G161" t="s">
        <v>46</v>
      </c>
      <c r="H161" t="s">
        <v>75</v>
      </c>
      <c r="I161" t="s">
        <v>31</v>
      </c>
      <c r="J161" t="s">
        <v>299</v>
      </c>
      <c r="K161" t="s">
        <v>48</v>
      </c>
      <c r="M161" t="s">
        <v>78</v>
      </c>
    </row>
    <row r="162" spans="1:15" x14ac:dyDescent="0.2">
      <c r="A162" t="s">
        <v>300</v>
      </c>
      <c r="B162" t="s">
        <v>140</v>
      </c>
      <c r="C162" t="s">
        <v>17</v>
      </c>
      <c r="D162" s="1">
        <v>31251</v>
      </c>
      <c r="E162" s="1">
        <v>45471</v>
      </c>
      <c r="F162" s="1">
        <v>45473</v>
      </c>
      <c r="G162" t="s">
        <v>88</v>
      </c>
      <c r="H162" t="s">
        <v>52</v>
      </c>
      <c r="I162" t="s">
        <v>76</v>
      </c>
      <c r="J162" t="s">
        <v>301</v>
      </c>
      <c r="K162" t="s">
        <v>43</v>
      </c>
      <c r="L162" t="s">
        <v>23</v>
      </c>
      <c r="M162" t="s">
        <v>24</v>
      </c>
      <c r="N162">
        <v>1</v>
      </c>
      <c r="O162" t="s">
        <v>25</v>
      </c>
    </row>
    <row r="163" spans="1:15" x14ac:dyDescent="0.2">
      <c r="A163" t="s">
        <v>302</v>
      </c>
      <c r="B163" t="s">
        <v>59</v>
      </c>
      <c r="C163" t="s">
        <v>39</v>
      </c>
      <c r="D163" s="1">
        <v>22215</v>
      </c>
      <c r="E163" s="1">
        <v>45469</v>
      </c>
      <c r="F163" s="1">
        <v>45473</v>
      </c>
      <c r="G163" t="s">
        <v>74</v>
      </c>
      <c r="H163" t="s">
        <v>75</v>
      </c>
      <c r="I163" t="s">
        <v>41</v>
      </c>
      <c r="J163" t="s">
        <v>303</v>
      </c>
      <c r="K163" t="s">
        <v>33</v>
      </c>
      <c r="M163" t="s">
        <v>78</v>
      </c>
      <c r="O163" t="s">
        <v>25</v>
      </c>
    </row>
    <row r="164" spans="1:15" x14ac:dyDescent="0.2">
      <c r="A164" t="s">
        <v>304</v>
      </c>
      <c r="B164" t="s">
        <v>87</v>
      </c>
      <c r="C164" t="s">
        <v>17</v>
      </c>
      <c r="D164" s="1">
        <v>35647</v>
      </c>
      <c r="E164" s="1">
        <v>45448</v>
      </c>
      <c r="F164" s="1">
        <v>45460</v>
      </c>
      <c r="G164" t="s">
        <v>72</v>
      </c>
      <c r="H164" t="s">
        <v>75</v>
      </c>
      <c r="I164" t="s">
        <v>67</v>
      </c>
      <c r="J164">
        <v>943</v>
      </c>
      <c r="K164" t="s">
        <v>22</v>
      </c>
      <c r="L164" t="s">
        <v>34</v>
      </c>
      <c r="M164" t="s">
        <v>35</v>
      </c>
      <c r="O164" t="s">
        <v>25</v>
      </c>
    </row>
    <row r="165" spans="1:15" x14ac:dyDescent="0.2">
      <c r="A165" t="s">
        <v>305</v>
      </c>
      <c r="B165" t="s">
        <v>118</v>
      </c>
      <c r="C165" t="s">
        <v>92</v>
      </c>
      <c r="D165" s="1">
        <v>32334</v>
      </c>
      <c r="E165" s="1">
        <v>45327</v>
      </c>
      <c r="F165" s="1">
        <v>45329</v>
      </c>
      <c r="G165" t="s">
        <v>40</v>
      </c>
      <c r="H165" t="s">
        <v>61</v>
      </c>
      <c r="I165" t="s">
        <v>57</v>
      </c>
      <c r="J165" t="s">
        <v>306</v>
      </c>
      <c r="K165" t="s">
        <v>48</v>
      </c>
      <c r="M165" t="s">
        <v>35</v>
      </c>
      <c r="N165">
        <v>9</v>
      </c>
      <c r="O165" t="s">
        <v>25</v>
      </c>
    </row>
    <row r="166" spans="1:15" x14ac:dyDescent="0.2">
      <c r="A166" t="s">
        <v>307</v>
      </c>
      <c r="B166" t="s">
        <v>118</v>
      </c>
      <c r="C166" t="s">
        <v>92</v>
      </c>
      <c r="D166" s="1">
        <v>39437</v>
      </c>
      <c r="E166" s="1">
        <v>45353</v>
      </c>
      <c r="F166" s="1">
        <v>45357</v>
      </c>
      <c r="G166" t="s">
        <v>72</v>
      </c>
      <c r="H166" t="s">
        <v>61</v>
      </c>
      <c r="I166" t="s">
        <v>20</v>
      </c>
      <c r="J166" t="s">
        <v>308</v>
      </c>
      <c r="K166" t="s">
        <v>33</v>
      </c>
      <c r="M166" t="s">
        <v>35</v>
      </c>
      <c r="N166">
        <v>14</v>
      </c>
    </row>
    <row r="167" spans="1:15" x14ac:dyDescent="0.2">
      <c r="A167">
        <v>165</v>
      </c>
      <c r="B167" t="s">
        <v>102</v>
      </c>
      <c r="C167" t="s">
        <v>65</v>
      </c>
      <c r="D167" s="1">
        <v>23925</v>
      </c>
      <c r="E167" s="1">
        <v>45310</v>
      </c>
      <c r="F167" s="1">
        <v>45311</v>
      </c>
      <c r="G167" t="s">
        <v>50</v>
      </c>
      <c r="H167" t="s">
        <v>66</v>
      </c>
      <c r="I167" t="s">
        <v>20</v>
      </c>
      <c r="J167" t="s">
        <v>309</v>
      </c>
      <c r="K167" t="s">
        <v>43</v>
      </c>
      <c r="M167" t="s">
        <v>78</v>
      </c>
      <c r="N167">
        <v>2</v>
      </c>
    </row>
    <row r="168" spans="1:15" x14ac:dyDescent="0.2">
      <c r="A168" t="s">
        <v>310</v>
      </c>
      <c r="B168" t="s">
        <v>27</v>
      </c>
      <c r="C168" t="s">
        <v>65</v>
      </c>
      <c r="D168" s="1">
        <v>23267</v>
      </c>
      <c r="E168" s="1">
        <v>45313</v>
      </c>
      <c r="G168" t="s">
        <v>50</v>
      </c>
      <c r="I168" t="s">
        <v>67</v>
      </c>
      <c r="J168" t="s">
        <v>311</v>
      </c>
      <c r="K168" t="s">
        <v>71</v>
      </c>
      <c r="L168" t="s">
        <v>34</v>
      </c>
      <c r="M168" t="s">
        <v>78</v>
      </c>
      <c r="N168">
        <v>12</v>
      </c>
      <c r="O168" t="s">
        <v>25</v>
      </c>
    </row>
    <row r="169" spans="1:15" x14ac:dyDescent="0.2">
      <c r="A169" t="s">
        <v>312</v>
      </c>
      <c r="B169" t="s">
        <v>91</v>
      </c>
      <c r="C169" t="s">
        <v>17</v>
      </c>
      <c r="D169" s="1">
        <v>32501</v>
      </c>
      <c r="E169" s="1">
        <v>45408</v>
      </c>
      <c r="F169" s="1">
        <v>45420</v>
      </c>
      <c r="G169" t="s">
        <v>74</v>
      </c>
      <c r="H169" t="s">
        <v>66</v>
      </c>
      <c r="I169" t="s">
        <v>53</v>
      </c>
      <c r="J169" t="s">
        <v>233</v>
      </c>
      <c r="K169" t="s">
        <v>22</v>
      </c>
      <c r="M169" t="s">
        <v>78</v>
      </c>
      <c r="N169">
        <v>13</v>
      </c>
    </row>
    <row r="170" spans="1:15" x14ac:dyDescent="0.2">
      <c r="A170">
        <v>168</v>
      </c>
      <c r="B170" t="s">
        <v>140</v>
      </c>
      <c r="C170" t="s">
        <v>92</v>
      </c>
      <c r="D170" s="1">
        <v>22423</v>
      </c>
      <c r="E170" s="1">
        <v>45322</v>
      </c>
      <c r="F170" s="1">
        <v>45329</v>
      </c>
      <c r="G170" t="s">
        <v>40</v>
      </c>
      <c r="H170" t="s">
        <v>66</v>
      </c>
      <c r="I170" t="s">
        <v>31</v>
      </c>
      <c r="J170" t="s">
        <v>313</v>
      </c>
      <c r="K170" t="s">
        <v>71</v>
      </c>
      <c r="M170" t="s">
        <v>24</v>
      </c>
      <c r="N170">
        <v>8</v>
      </c>
    </row>
    <row r="171" spans="1:15" x14ac:dyDescent="0.2">
      <c r="A171" t="s">
        <v>314</v>
      </c>
      <c r="B171" t="s">
        <v>102</v>
      </c>
      <c r="C171" t="s">
        <v>97</v>
      </c>
      <c r="D171" s="1">
        <v>26623</v>
      </c>
      <c r="E171" s="1">
        <v>45438</v>
      </c>
      <c r="F171" s="1">
        <v>45447</v>
      </c>
      <c r="G171" t="s">
        <v>88</v>
      </c>
      <c r="I171" t="s">
        <v>41</v>
      </c>
      <c r="J171" t="s">
        <v>315</v>
      </c>
      <c r="K171" t="s">
        <v>48</v>
      </c>
      <c r="M171" t="s">
        <v>78</v>
      </c>
      <c r="N171">
        <v>3</v>
      </c>
      <c r="O171" t="s">
        <v>25</v>
      </c>
    </row>
    <row r="172" spans="1:15" x14ac:dyDescent="0.2">
      <c r="A172" t="s">
        <v>316</v>
      </c>
      <c r="B172" t="s">
        <v>27</v>
      </c>
      <c r="C172" t="s">
        <v>39</v>
      </c>
      <c r="D172" s="1">
        <v>39750</v>
      </c>
      <c r="E172" s="1">
        <v>45349</v>
      </c>
      <c r="F172" s="1">
        <v>45364</v>
      </c>
      <c r="G172" t="s">
        <v>60</v>
      </c>
      <c r="I172" t="s">
        <v>20</v>
      </c>
      <c r="J172" t="s">
        <v>317</v>
      </c>
      <c r="K172" t="s">
        <v>48</v>
      </c>
      <c r="L172" t="s">
        <v>34</v>
      </c>
      <c r="M172" t="s">
        <v>35</v>
      </c>
    </row>
    <row r="173" spans="1:15" x14ac:dyDescent="0.2">
      <c r="A173" t="s">
        <v>318</v>
      </c>
      <c r="B173" t="s">
        <v>118</v>
      </c>
      <c r="C173" t="s">
        <v>17</v>
      </c>
      <c r="D173" s="1">
        <v>33504</v>
      </c>
      <c r="E173" s="1">
        <v>45371</v>
      </c>
      <c r="G173" t="s">
        <v>100</v>
      </c>
      <c r="H173" t="s">
        <v>66</v>
      </c>
      <c r="I173" t="s">
        <v>31</v>
      </c>
      <c r="J173" t="s">
        <v>319</v>
      </c>
      <c r="K173" t="s">
        <v>43</v>
      </c>
      <c r="M173" t="s">
        <v>24</v>
      </c>
      <c r="N173">
        <v>8</v>
      </c>
      <c r="O173" t="s">
        <v>36</v>
      </c>
    </row>
    <row r="174" spans="1:15" x14ac:dyDescent="0.2">
      <c r="A174" t="s">
        <v>320</v>
      </c>
      <c r="B174" t="s">
        <v>56</v>
      </c>
      <c r="C174" t="s">
        <v>39</v>
      </c>
      <c r="D174" s="1">
        <v>24667</v>
      </c>
      <c r="E174" s="1">
        <v>45330</v>
      </c>
      <c r="F174" s="1">
        <v>45331</v>
      </c>
      <c r="G174" t="s">
        <v>40</v>
      </c>
      <c r="H174" t="s">
        <v>30</v>
      </c>
      <c r="I174" t="s">
        <v>53</v>
      </c>
      <c r="J174" t="s">
        <v>321</v>
      </c>
      <c r="K174" t="s">
        <v>48</v>
      </c>
      <c r="M174" t="s">
        <v>24</v>
      </c>
      <c r="N174">
        <v>2</v>
      </c>
      <c r="O174" t="s">
        <v>25</v>
      </c>
    </row>
    <row r="175" spans="1:15" x14ac:dyDescent="0.2">
      <c r="A175" t="s">
        <v>322</v>
      </c>
      <c r="B175" t="s">
        <v>91</v>
      </c>
      <c r="C175" t="s">
        <v>28</v>
      </c>
      <c r="D175" s="1">
        <v>34386</v>
      </c>
      <c r="E175" s="1">
        <v>45328</v>
      </c>
      <c r="G175" t="s">
        <v>50</v>
      </c>
      <c r="I175" t="s">
        <v>57</v>
      </c>
      <c r="J175" t="s">
        <v>323</v>
      </c>
      <c r="K175" t="s">
        <v>71</v>
      </c>
      <c r="L175" t="s">
        <v>34</v>
      </c>
      <c r="M175" t="s">
        <v>24</v>
      </c>
      <c r="O175" t="s">
        <v>25</v>
      </c>
    </row>
    <row r="176" spans="1:15" x14ac:dyDescent="0.2">
      <c r="A176" t="s">
        <v>324</v>
      </c>
      <c r="B176" t="s">
        <v>118</v>
      </c>
      <c r="C176" t="s">
        <v>17</v>
      </c>
      <c r="D176" s="1">
        <v>37659</v>
      </c>
      <c r="E176" s="1">
        <v>45403</v>
      </c>
      <c r="F176" s="1">
        <v>45408</v>
      </c>
      <c r="G176" t="s">
        <v>29</v>
      </c>
      <c r="H176" t="s">
        <v>75</v>
      </c>
      <c r="I176" t="s">
        <v>41</v>
      </c>
      <c r="J176" t="s">
        <v>325</v>
      </c>
      <c r="K176" t="s">
        <v>71</v>
      </c>
      <c r="M176" t="s">
        <v>35</v>
      </c>
      <c r="O176" t="s">
        <v>25</v>
      </c>
    </row>
    <row r="177" spans="1:15" x14ac:dyDescent="0.2">
      <c r="A177" t="s">
        <v>326</v>
      </c>
      <c r="B177" t="s">
        <v>119</v>
      </c>
      <c r="C177" t="s">
        <v>17</v>
      </c>
      <c r="D177" s="1">
        <v>23356</v>
      </c>
      <c r="E177" s="1">
        <v>45334</v>
      </c>
      <c r="F177" s="1">
        <v>45341</v>
      </c>
      <c r="G177" t="s">
        <v>40</v>
      </c>
      <c r="H177" t="s">
        <v>30</v>
      </c>
      <c r="I177" t="s">
        <v>41</v>
      </c>
      <c r="J177">
        <v>525</v>
      </c>
      <c r="K177" t="s">
        <v>33</v>
      </c>
      <c r="M177" t="s">
        <v>78</v>
      </c>
      <c r="N177">
        <v>2</v>
      </c>
      <c r="O177" t="s">
        <v>25</v>
      </c>
    </row>
    <row r="178" spans="1:15" x14ac:dyDescent="0.2">
      <c r="A178" t="s">
        <v>327</v>
      </c>
      <c r="B178" t="s">
        <v>45</v>
      </c>
      <c r="C178" t="s">
        <v>39</v>
      </c>
      <c r="D178" s="1">
        <v>38033</v>
      </c>
      <c r="E178" s="1">
        <v>45347</v>
      </c>
      <c r="G178" t="s">
        <v>50</v>
      </c>
      <c r="H178" t="s">
        <v>30</v>
      </c>
      <c r="I178" t="s">
        <v>76</v>
      </c>
      <c r="J178" t="s">
        <v>328</v>
      </c>
      <c r="K178" t="s">
        <v>33</v>
      </c>
      <c r="M178" t="s">
        <v>35</v>
      </c>
      <c r="O178" t="s">
        <v>36</v>
      </c>
    </row>
    <row r="179" spans="1:15" x14ac:dyDescent="0.2">
      <c r="A179">
        <v>177</v>
      </c>
      <c r="B179" t="s">
        <v>27</v>
      </c>
      <c r="C179" t="s">
        <v>49</v>
      </c>
      <c r="D179" s="1">
        <v>36290</v>
      </c>
      <c r="E179" s="1">
        <v>45316</v>
      </c>
      <c r="G179" t="s">
        <v>46</v>
      </c>
      <c r="H179" t="s">
        <v>66</v>
      </c>
      <c r="I179" t="s">
        <v>20</v>
      </c>
      <c r="J179" t="s">
        <v>242</v>
      </c>
      <c r="K179" t="s">
        <v>22</v>
      </c>
      <c r="L179" t="s">
        <v>23</v>
      </c>
      <c r="M179" t="s">
        <v>78</v>
      </c>
      <c r="N179">
        <v>11</v>
      </c>
    </row>
    <row r="180" spans="1:15" x14ac:dyDescent="0.2">
      <c r="A180" t="s">
        <v>329</v>
      </c>
      <c r="B180" t="s">
        <v>119</v>
      </c>
      <c r="C180" t="s">
        <v>65</v>
      </c>
      <c r="D180" s="1">
        <v>26745</v>
      </c>
      <c r="E180" s="1">
        <v>45297</v>
      </c>
      <c r="F180" s="1">
        <v>45308</v>
      </c>
      <c r="G180" t="s">
        <v>46</v>
      </c>
      <c r="H180" t="s">
        <v>66</v>
      </c>
      <c r="I180" t="s">
        <v>41</v>
      </c>
      <c r="J180" t="s">
        <v>330</v>
      </c>
      <c r="K180" t="s">
        <v>48</v>
      </c>
      <c r="M180" t="s">
        <v>35</v>
      </c>
    </row>
    <row r="181" spans="1:15" x14ac:dyDescent="0.2">
      <c r="A181">
        <v>179</v>
      </c>
      <c r="B181" t="s">
        <v>118</v>
      </c>
      <c r="C181" t="s">
        <v>28</v>
      </c>
      <c r="D181" s="1">
        <v>19230</v>
      </c>
      <c r="E181" s="1">
        <v>45466</v>
      </c>
      <c r="F181" s="1">
        <v>45470</v>
      </c>
      <c r="G181" t="s">
        <v>60</v>
      </c>
      <c r="H181" t="s">
        <v>30</v>
      </c>
      <c r="I181" t="s">
        <v>76</v>
      </c>
      <c r="J181" t="s">
        <v>331</v>
      </c>
      <c r="K181" t="s">
        <v>43</v>
      </c>
      <c r="L181" t="s">
        <v>23</v>
      </c>
      <c r="M181" t="s">
        <v>24</v>
      </c>
      <c r="O181" t="s">
        <v>36</v>
      </c>
    </row>
    <row r="182" spans="1:15" x14ac:dyDescent="0.2">
      <c r="A182" t="s">
        <v>332</v>
      </c>
      <c r="B182" t="s">
        <v>56</v>
      </c>
      <c r="C182" t="s">
        <v>17</v>
      </c>
      <c r="D182" s="1">
        <v>21138</v>
      </c>
      <c r="E182" s="1">
        <v>45390</v>
      </c>
      <c r="F182" s="1">
        <v>45401</v>
      </c>
      <c r="G182" t="s">
        <v>72</v>
      </c>
      <c r="I182" t="s">
        <v>57</v>
      </c>
      <c r="J182">
        <v>139</v>
      </c>
      <c r="K182" t="s">
        <v>33</v>
      </c>
      <c r="M182" t="s">
        <v>24</v>
      </c>
      <c r="N182">
        <v>6</v>
      </c>
    </row>
    <row r="183" spans="1:15" x14ac:dyDescent="0.2">
      <c r="A183" t="s">
        <v>333</v>
      </c>
      <c r="B183" t="s">
        <v>59</v>
      </c>
      <c r="C183" t="s">
        <v>28</v>
      </c>
      <c r="D183" s="1">
        <v>27125</v>
      </c>
      <c r="E183" s="1">
        <v>45298</v>
      </c>
      <c r="F183" s="1">
        <v>45299</v>
      </c>
      <c r="G183" t="s">
        <v>88</v>
      </c>
      <c r="I183" t="s">
        <v>76</v>
      </c>
      <c r="J183" t="s">
        <v>334</v>
      </c>
      <c r="K183" t="s">
        <v>43</v>
      </c>
      <c r="L183" t="s">
        <v>23</v>
      </c>
      <c r="M183" t="s">
        <v>35</v>
      </c>
    </row>
    <row r="184" spans="1:15" x14ac:dyDescent="0.2">
      <c r="A184" t="s">
        <v>335</v>
      </c>
      <c r="B184" t="s">
        <v>38</v>
      </c>
      <c r="C184" t="s">
        <v>65</v>
      </c>
      <c r="D184" s="1">
        <v>20096</v>
      </c>
      <c r="E184" s="1">
        <v>45439</v>
      </c>
      <c r="F184" s="1">
        <v>45453</v>
      </c>
      <c r="G184" t="s">
        <v>46</v>
      </c>
      <c r="H184" t="s">
        <v>52</v>
      </c>
      <c r="I184" t="s">
        <v>57</v>
      </c>
      <c r="J184" t="s">
        <v>336</v>
      </c>
      <c r="K184" t="s">
        <v>43</v>
      </c>
      <c r="L184" t="s">
        <v>34</v>
      </c>
      <c r="M184" t="s">
        <v>24</v>
      </c>
      <c r="N184">
        <v>10</v>
      </c>
    </row>
    <row r="185" spans="1:15" x14ac:dyDescent="0.2">
      <c r="A185" t="s">
        <v>337</v>
      </c>
      <c r="B185" t="s">
        <v>119</v>
      </c>
      <c r="C185" t="s">
        <v>97</v>
      </c>
      <c r="D185" s="1">
        <v>34393</v>
      </c>
      <c r="E185" s="1">
        <v>45336</v>
      </c>
      <c r="G185" t="s">
        <v>88</v>
      </c>
      <c r="H185" t="s">
        <v>52</v>
      </c>
      <c r="I185" t="s">
        <v>57</v>
      </c>
      <c r="J185" t="s">
        <v>338</v>
      </c>
      <c r="K185" t="s">
        <v>43</v>
      </c>
      <c r="M185" t="s">
        <v>35</v>
      </c>
      <c r="N185">
        <v>10</v>
      </c>
      <c r="O185" t="s">
        <v>25</v>
      </c>
    </row>
    <row r="186" spans="1:15" x14ac:dyDescent="0.2">
      <c r="A186" t="s">
        <v>339</v>
      </c>
      <c r="B186" t="s">
        <v>59</v>
      </c>
      <c r="C186" t="s">
        <v>49</v>
      </c>
      <c r="D186" s="1">
        <v>24079</v>
      </c>
      <c r="E186" s="1">
        <v>45307</v>
      </c>
      <c r="G186" t="s">
        <v>46</v>
      </c>
      <c r="I186" t="s">
        <v>20</v>
      </c>
      <c r="J186" t="s">
        <v>340</v>
      </c>
      <c r="K186" t="s">
        <v>48</v>
      </c>
      <c r="M186" t="s">
        <v>24</v>
      </c>
      <c r="N186">
        <v>7</v>
      </c>
    </row>
    <row r="187" spans="1:15" x14ac:dyDescent="0.2">
      <c r="A187" t="s">
        <v>341</v>
      </c>
      <c r="B187" t="s">
        <v>59</v>
      </c>
      <c r="C187" t="s">
        <v>92</v>
      </c>
      <c r="D187" s="1">
        <v>28835</v>
      </c>
      <c r="E187" s="1">
        <v>45332</v>
      </c>
      <c r="F187" s="1">
        <v>45340</v>
      </c>
      <c r="G187" t="s">
        <v>46</v>
      </c>
      <c r="H187" t="s">
        <v>75</v>
      </c>
      <c r="I187" t="s">
        <v>57</v>
      </c>
      <c r="J187" t="s">
        <v>342</v>
      </c>
      <c r="K187" t="s">
        <v>22</v>
      </c>
      <c r="L187" t="s">
        <v>23</v>
      </c>
      <c r="M187" t="s">
        <v>78</v>
      </c>
      <c r="N187">
        <v>12</v>
      </c>
      <c r="O187" t="s">
        <v>36</v>
      </c>
    </row>
    <row r="188" spans="1:15" x14ac:dyDescent="0.2">
      <c r="A188" t="s">
        <v>343</v>
      </c>
      <c r="B188" t="s">
        <v>140</v>
      </c>
      <c r="C188" t="s">
        <v>49</v>
      </c>
      <c r="D188" s="1">
        <v>18322</v>
      </c>
      <c r="E188" s="1">
        <v>45437</v>
      </c>
      <c r="F188" s="1">
        <v>45443</v>
      </c>
      <c r="G188" t="s">
        <v>72</v>
      </c>
      <c r="H188" t="s">
        <v>61</v>
      </c>
      <c r="I188" t="s">
        <v>20</v>
      </c>
      <c r="J188" t="s">
        <v>344</v>
      </c>
      <c r="K188" t="s">
        <v>33</v>
      </c>
      <c r="L188" t="s">
        <v>34</v>
      </c>
      <c r="M188" t="s">
        <v>35</v>
      </c>
      <c r="N188">
        <v>6</v>
      </c>
      <c r="O188" t="s">
        <v>25</v>
      </c>
    </row>
    <row r="189" spans="1:15" x14ac:dyDescent="0.2">
      <c r="A189" t="s">
        <v>345</v>
      </c>
      <c r="B189" t="s">
        <v>150</v>
      </c>
      <c r="C189" t="s">
        <v>39</v>
      </c>
      <c r="D189" s="1">
        <v>39206</v>
      </c>
      <c r="E189" s="1">
        <v>45406</v>
      </c>
      <c r="F189" s="1">
        <v>45410</v>
      </c>
      <c r="G189" t="s">
        <v>83</v>
      </c>
      <c r="H189" t="s">
        <v>30</v>
      </c>
      <c r="I189" t="s">
        <v>41</v>
      </c>
      <c r="J189" t="s">
        <v>346</v>
      </c>
      <c r="K189" t="s">
        <v>48</v>
      </c>
      <c r="M189" t="s">
        <v>78</v>
      </c>
      <c r="N189">
        <v>3</v>
      </c>
      <c r="O189" t="s">
        <v>36</v>
      </c>
    </row>
    <row r="190" spans="1:15" x14ac:dyDescent="0.2">
      <c r="A190">
        <v>188</v>
      </c>
      <c r="B190" t="s">
        <v>118</v>
      </c>
      <c r="C190" t="s">
        <v>92</v>
      </c>
      <c r="D190" s="1">
        <v>36156</v>
      </c>
      <c r="E190" s="1">
        <v>45317</v>
      </c>
      <c r="F190" s="1">
        <v>45327</v>
      </c>
      <c r="G190" t="s">
        <v>46</v>
      </c>
      <c r="H190" t="s">
        <v>19</v>
      </c>
      <c r="I190" t="s">
        <v>20</v>
      </c>
      <c r="J190" t="s">
        <v>347</v>
      </c>
      <c r="K190" t="s">
        <v>48</v>
      </c>
      <c r="M190" t="s">
        <v>78</v>
      </c>
      <c r="N190">
        <v>2</v>
      </c>
      <c r="O190" t="s">
        <v>36</v>
      </c>
    </row>
    <row r="191" spans="1:15" x14ac:dyDescent="0.2">
      <c r="A191" t="s">
        <v>348</v>
      </c>
      <c r="B191" t="s">
        <v>118</v>
      </c>
      <c r="C191" t="s">
        <v>97</v>
      </c>
      <c r="D191" s="1">
        <v>20721</v>
      </c>
      <c r="E191" s="1">
        <v>45378</v>
      </c>
      <c r="F191" s="1">
        <v>45385</v>
      </c>
      <c r="G191" t="s">
        <v>18</v>
      </c>
      <c r="H191" t="s">
        <v>19</v>
      </c>
      <c r="I191" t="s">
        <v>67</v>
      </c>
      <c r="J191" t="s">
        <v>349</v>
      </c>
      <c r="K191" t="s">
        <v>33</v>
      </c>
      <c r="L191" t="s">
        <v>23</v>
      </c>
      <c r="M191" t="s">
        <v>35</v>
      </c>
      <c r="N191">
        <v>9</v>
      </c>
    </row>
    <row r="192" spans="1:15" x14ac:dyDescent="0.2">
      <c r="A192" t="s">
        <v>350</v>
      </c>
      <c r="B192" t="s">
        <v>27</v>
      </c>
      <c r="C192" t="s">
        <v>92</v>
      </c>
      <c r="D192" s="1">
        <v>39910</v>
      </c>
      <c r="E192" s="1">
        <v>45368</v>
      </c>
      <c r="G192" t="s">
        <v>29</v>
      </c>
      <c r="H192" t="s">
        <v>61</v>
      </c>
      <c r="I192" t="s">
        <v>57</v>
      </c>
      <c r="J192" t="s">
        <v>351</v>
      </c>
      <c r="K192" t="s">
        <v>48</v>
      </c>
      <c r="M192" t="s">
        <v>35</v>
      </c>
      <c r="N192">
        <v>5</v>
      </c>
    </row>
    <row r="193" spans="1:15" x14ac:dyDescent="0.2">
      <c r="A193" t="s">
        <v>352</v>
      </c>
      <c r="B193" t="s">
        <v>85</v>
      </c>
      <c r="C193" t="s">
        <v>28</v>
      </c>
      <c r="D193" s="1">
        <v>24806</v>
      </c>
      <c r="E193" s="1">
        <v>45298</v>
      </c>
      <c r="F193" s="1">
        <v>45303</v>
      </c>
      <c r="G193" t="s">
        <v>100</v>
      </c>
      <c r="I193" t="s">
        <v>20</v>
      </c>
      <c r="J193">
        <v>731</v>
      </c>
      <c r="K193" t="s">
        <v>71</v>
      </c>
      <c r="M193" t="s">
        <v>24</v>
      </c>
    </row>
    <row r="194" spans="1:15" x14ac:dyDescent="0.2">
      <c r="A194" t="s">
        <v>353</v>
      </c>
      <c r="B194" t="s">
        <v>118</v>
      </c>
      <c r="C194" t="s">
        <v>97</v>
      </c>
      <c r="D194" s="1">
        <v>30421</v>
      </c>
      <c r="E194" s="1">
        <v>45386</v>
      </c>
      <c r="F194" s="1">
        <v>45391</v>
      </c>
      <c r="G194" t="s">
        <v>100</v>
      </c>
      <c r="H194" t="s">
        <v>30</v>
      </c>
      <c r="I194" t="s">
        <v>67</v>
      </c>
      <c r="J194" t="s">
        <v>354</v>
      </c>
      <c r="K194" t="s">
        <v>22</v>
      </c>
      <c r="L194" t="s">
        <v>34</v>
      </c>
      <c r="M194" t="s">
        <v>35</v>
      </c>
      <c r="N194">
        <v>13</v>
      </c>
    </row>
    <row r="195" spans="1:15" x14ac:dyDescent="0.2">
      <c r="A195">
        <v>193</v>
      </c>
      <c r="B195" t="s">
        <v>119</v>
      </c>
      <c r="C195" t="s">
        <v>97</v>
      </c>
      <c r="D195" s="1">
        <v>36404</v>
      </c>
      <c r="E195" s="1">
        <v>45391</v>
      </c>
      <c r="F195" s="1">
        <v>45402</v>
      </c>
      <c r="G195" t="s">
        <v>18</v>
      </c>
      <c r="H195" t="s">
        <v>52</v>
      </c>
      <c r="I195" t="s">
        <v>76</v>
      </c>
      <c r="J195" t="s">
        <v>355</v>
      </c>
      <c r="K195" t="s">
        <v>71</v>
      </c>
      <c r="L195" t="s">
        <v>34</v>
      </c>
      <c r="M195" t="s">
        <v>24</v>
      </c>
      <c r="N195">
        <v>9</v>
      </c>
    </row>
    <row r="196" spans="1:15" x14ac:dyDescent="0.2">
      <c r="A196" t="s">
        <v>356</v>
      </c>
      <c r="B196" t="s">
        <v>85</v>
      </c>
      <c r="C196" t="s">
        <v>97</v>
      </c>
      <c r="D196" s="1">
        <v>22205</v>
      </c>
      <c r="E196" s="1">
        <v>45336</v>
      </c>
      <c r="F196" s="1">
        <v>45349</v>
      </c>
      <c r="G196" t="s">
        <v>46</v>
      </c>
      <c r="H196" t="s">
        <v>66</v>
      </c>
      <c r="I196" t="s">
        <v>76</v>
      </c>
      <c r="J196">
        <v>260</v>
      </c>
      <c r="K196" t="s">
        <v>22</v>
      </c>
      <c r="L196" t="s">
        <v>23</v>
      </c>
      <c r="M196" t="s">
        <v>24</v>
      </c>
    </row>
    <row r="197" spans="1:15" x14ac:dyDescent="0.2">
      <c r="A197" t="s">
        <v>357</v>
      </c>
      <c r="B197" t="s">
        <v>150</v>
      </c>
      <c r="C197" t="s">
        <v>28</v>
      </c>
      <c r="D197" s="1">
        <v>36494</v>
      </c>
      <c r="E197" s="1">
        <v>45433</v>
      </c>
      <c r="F197" s="1">
        <v>45442</v>
      </c>
      <c r="G197" t="s">
        <v>88</v>
      </c>
      <c r="I197" t="s">
        <v>53</v>
      </c>
      <c r="J197">
        <v>1376</v>
      </c>
      <c r="K197" t="s">
        <v>48</v>
      </c>
      <c r="M197" t="s">
        <v>35</v>
      </c>
    </row>
    <row r="198" spans="1:15" x14ac:dyDescent="0.2">
      <c r="A198" t="s">
        <v>358</v>
      </c>
      <c r="B198" t="s">
        <v>16</v>
      </c>
      <c r="C198" t="s">
        <v>17</v>
      </c>
      <c r="D198" s="1">
        <v>36702</v>
      </c>
      <c r="E198" s="1">
        <v>45365</v>
      </c>
      <c r="F198" s="1">
        <v>45370</v>
      </c>
      <c r="G198" t="s">
        <v>72</v>
      </c>
      <c r="H198" t="s">
        <v>19</v>
      </c>
      <c r="I198" t="s">
        <v>57</v>
      </c>
      <c r="J198">
        <v>1347</v>
      </c>
      <c r="K198" t="s">
        <v>48</v>
      </c>
      <c r="L198" t="s">
        <v>23</v>
      </c>
      <c r="M198" t="s">
        <v>78</v>
      </c>
      <c r="N198">
        <v>10</v>
      </c>
    </row>
    <row r="199" spans="1:15" x14ac:dyDescent="0.2">
      <c r="A199" t="s">
        <v>359</v>
      </c>
      <c r="B199" t="s">
        <v>118</v>
      </c>
      <c r="C199" t="s">
        <v>17</v>
      </c>
      <c r="D199" s="1">
        <v>31233</v>
      </c>
      <c r="E199" s="1">
        <v>45468</v>
      </c>
      <c r="G199" t="s">
        <v>100</v>
      </c>
      <c r="H199" t="s">
        <v>30</v>
      </c>
      <c r="I199" t="s">
        <v>31</v>
      </c>
      <c r="J199" t="s">
        <v>360</v>
      </c>
      <c r="K199" t="s">
        <v>33</v>
      </c>
      <c r="M199" t="s">
        <v>78</v>
      </c>
      <c r="N199">
        <v>14</v>
      </c>
    </row>
    <row r="200" spans="1:15" x14ac:dyDescent="0.2">
      <c r="A200" t="s">
        <v>361</v>
      </c>
      <c r="B200" t="s">
        <v>16</v>
      </c>
      <c r="C200" t="s">
        <v>39</v>
      </c>
      <c r="D200" s="1">
        <v>25733</v>
      </c>
      <c r="E200" s="1">
        <v>45368</v>
      </c>
      <c r="F200" s="1">
        <v>45374</v>
      </c>
      <c r="G200" t="s">
        <v>29</v>
      </c>
      <c r="H200" t="s">
        <v>61</v>
      </c>
      <c r="I200" t="s">
        <v>53</v>
      </c>
      <c r="J200" t="s">
        <v>362</v>
      </c>
      <c r="K200" t="s">
        <v>71</v>
      </c>
      <c r="L200" t="s">
        <v>23</v>
      </c>
      <c r="M200" t="s">
        <v>78</v>
      </c>
      <c r="N200">
        <v>13</v>
      </c>
    </row>
    <row r="201" spans="1:15" x14ac:dyDescent="0.2">
      <c r="A201">
        <v>199</v>
      </c>
      <c r="B201" t="s">
        <v>80</v>
      </c>
      <c r="C201" t="s">
        <v>65</v>
      </c>
      <c r="D201" s="1">
        <v>23473</v>
      </c>
      <c r="E201" s="1">
        <v>45371</v>
      </c>
      <c r="G201" t="s">
        <v>40</v>
      </c>
      <c r="H201" t="s">
        <v>61</v>
      </c>
      <c r="I201" t="s">
        <v>20</v>
      </c>
      <c r="J201" t="s">
        <v>363</v>
      </c>
      <c r="K201" t="s">
        <v>22</v>
      </c>
      <c r="L201" t="s">
        <v>34</v>
      </c>
      <c r="M201" t="s">
        <v>35</v>
      </c>
      <c r="O201" t="s">
        <v>25</v>
      </c>
    </row>
    <row r="202" spans="1:15" x14ac:dyDescent="0.2">
      <c r="A202">
        <v>200</v>
      </c>
      <c r="B202" t="s">
        <v>51</v>
      </c>
      <c r="C202" t="s">
        <v>92</v>
      </c>
      <c r="D202" s="1">
        <v>30334</v>
      </c>
      <c r="E202" s="1">
        <v>45421</v>
      </c>
      <c r="F202" s="1">
        <v>45423</v>
      </c>
      <c r="G202" t="s">
        <v>50</v>
      </c>
      <c r="H202" t="s">
        <v>30</v>
      </c>
      <c r="I202" t="s">
        <v>76</v>
      </c>
      <c r="J202">
        <v>1316</v>
      </c>
      <c r="K202" t="s">
        <v>22</v>
      </c>
      <c r="M202" t="s">
        <v>24</v>
      </c>
      <c r="N202">
        <v>6</v>
      </c>
      <c r="O202" t="s">
        <v>25</v>
      </c>
    </row>
    <row r="203" spans="1:15" x14ac:dyDescent="0.2">
      <c r="A203">
        <v>201</v>
      </c>
      <c r="B203" t="s">
        <v>150</v>
      </c>
      <c r="C203" t="s">
        <v>92</v>
      </c>
      <c r="D203" s="1">
        <v>19163</v>
      </c>
      <c r="E203" s="1">
        <v>45304</v>
      </c>
      <c r="F203" s="1">
        <v>45317</v>
      </c>
      <c r="G203" t="s">
        <v>50</v>
      </c>
      <c r="H203" t="s">
        <v>75</v>
      </c>
      <c r="I203" t="s">
        <v>67</v>
      </c>
      <c r="J203" t="s">
        <v>364</v>
      </c>
      <c r="K203" t="s">
        <v>33</v>
      </c>
      <c r="M203" t="s">
        <v>24</v>
      </c>
    </row>
    <row r="204" spans="1:15" x14ac:dyDescent="0.2">
      <c r="A204" t="s">
        <v>365</v>
      </c>
      <c r="B204" t="s">
        <v>56</v>
      </c>
      <c r="C204" t="s">
        <v>97</v>
      </c>
      <c r="D204" s="1">
        <v>39477</v>
      </c>
      <c r="E204" s="1">
        <v>45445</v>
      </c>
      <c r="F204" s="1">
        <v>45455</v>
      </c>
      <c r="G204" t="s">
        <v>72</v>
      </c>
      <c r="H204" t="s">
        <v>30</v>
      </c>
      <c r="I204" t="s">
        <v>76</v>
      </c>
      <c r="J204" t="s">
        <v>366</v>
      </c>
      <c r="K204" t="s">
        <v>71</v>
      </c>
      <c r="M204" t="s">
        <v>35</v>
      </c>
      <c r="N204">
        <v>11</v>
      </c>
    </row>
    <row r="205" spans="1:15" x14ac:dyDescent="0.2">
      <c r="A205" t="s">
        <v>367</v>
      </c>
      <c r="B205" t="s">
        <v>118</v>
      </c>
      <c r="C205" t="s">
        <v>65</v>
      </c>
      <c r="D205" s="1">
        <v>21616</v>
      </c>
      <c r="E205" s="1">
        <v>45422</v>
      </c>
      <c r="F205" s="1">
        <v>45432</v>
      </c>
      <c r="G205" t="s">
        <v>60</v>
      </c>
      <c r="H205" t="s">
        <v>75</v>
      </c>
      <c r="I205" t="s">
        <v>20</v>
      </c>
      <c r="J205" t="s">
        <v>368</v>
      </c>
      <c r="K205" t="s">
        <v>33</v>
      </c>
      <c r="M205" t="s">
        <v>24</v>
      </c>
      <c r="N205">
        <v>5</v>
      </c>
      <c r="O205" t="s">
        <v>36</v>
      </c>
    </row>
    <row r="206" spans="1:15" x14ac:dyDescent="0.2">
      <c r="A206" t="s">
        <v>369</v>
      </c>
      <c r="B206" t="s">
        <v>45</v>
      </c>
      <c r="C206" t="s">
        <v>97</v>
      </c>
      <c r="D206" s="1">
        <v>23176</v>
      </c>
      <c r="E206" s="1">
        <v>45306</v>
      </c>
      <c r="F206" s="1">
        <v>45317</v>
      </c>
      <c r="G206" t="s">
        <v>88</v>
      </c>
      <c r="H206" t="s">
        <v>75</v>
      </c>
      <c r="I206" t="s">
        <v>76</v>
      </c>
      <c r="J206" t="s">
        <v>370</v>
      </c>
      <c r="K206" t="s">
        <v>71</v>
      </c>
      <c r="M206" t="s">
        <v>78</v>
      </c>
      <c r="N206">
        <v>10</v>
      </c>
    </row>
    <row r="207" spans="1:15" x14ac:dyDescent="0.2">
      <c r="A207" t="s">
        <v>371</v>
      </c>
      <c r="B207" t="s">
        <v>51</v>
      </c>
      <c r="C207" t="s">
        <v>92</v>
      </c>
      <c r="D207" s="1">
        <v>25550</v>
      </c>
      <c r="E207" s="1">
        <v>45463</v>
      </c>
      <c r="F207" s="1">
        <v>45477</v>
      </c>
      <c r="G207" t="s">
        <v>72</v>
      </c>
      <c r="H207" t="s">
        <v>61</v>
      </c>
      <c r="I207" t="s">
        <v>67</v>
      </c>
      <c r="J207" t="s">
        <v>372</v>
      </c>
      <c r="K207" t="s">
        <v>71</v>
      </c>
      <c r="L207" t="s">
        <v>23</v>
      </c>
      <c r="M207" t="s">
        <v>24</v>
      </c>
    </row>
    <row r="208" spans="1:15" x14ac:dyDescent="0.2">
      <c r="A208" t="s">
        <v>373</v>
      </c>
      <c r="B208" t="s">
        <v>59</v>
      </c>
      <c r="C208" t="s">
        <v>49</v>
      </c>
      <c r="D208" s="1">
        <v>21190</v>
      </c>
      <c r="E208" s="1">
        <v>45382</v>
      </c>
      <c r="F208" s="1">
        <v>45387</v>
      </c>
      <c r="G208" t="s">
        <v>83</v>
      </c>
      <c r="H208" t="s">
        <v>30</v>
      </c>
      <c r="I208" t="s">
        <v>31</v>
      </c>
      <c r="J208" t="s">
        <v>374</v>
      </c>
      <c r="K208" t="s">
        <v>71</v>
      </c>
      <c r="L208" t="s">
        <v>34</v>
      </c>
      <c r="M208" t="s">
        <v>78</v>
      </c>
    </row>
    <row r="209" spans="1:15" x14ac:dyDescent="0.2">
      <c r="A209" t="s">
        <v>375</v>
      </c>
      <c r="B209" t="s">
        <v>119</v>
      </c>
      <c r="C209" t="s">
        <v>65</v>
      </c>
      <c r="D209" s="1">
        <v>20597</v>
      </c>
      <c r="E209" s="1">
        <v>45341</v>
      </c>
      <c r="F209" s="1">
        <v>45348</v>
      </c>
      <c r="G209" t="s">
        <v>29</v>
      </c>
      <c r="H209" t="s">
        <v>66</v>
      </c>
      <c r="I209" t="s">
        <v>41</v>
      </c>
      <c r="J209" t="s">
        <v>376</v>
      </c>
      <c r="K209" t="s">
        <v>22</v>
      </c>
      <c r="M209" t="s">
        <v>78</v>
      </c>
      <c r="N209">
        <v>15</v>
      </c>
      <c r="O209" t="s">
        <v>36</v>
      </c>
    </row>
    <row r="210" spans="1:15" x14ac:dyDescent="0.2">
      <c r="A210" t="s">
        <v>377</v>
      </c>
      <c r="B210" t="s">
        <v>59</v>
      </c>
      <c r="C210" t="s">
        <v>39</v>
      </c>
      <c r="D210" s="1">
        <v>24173</v>
      </c>
      <c r="E210" s="1">
        <v>45416</v>
      </c>
      <c r="F210" s="1">
        <v>45419</v>
      </c>
      <c r="G210" t="s">
        <v>72</v>
      </c>
      <c r="H210" t="s">
        <v>66</v>
      </c>
      <c r="I210" t="s">
        <v>20</v>
      </c>
      <c r="J210" t="s">
        <v>378</v>
      </c>
      <c r="K210" t="s">
        <v>22</v>
      </c>
      <c r="L210" t="s">
        <v>23</v>
      </c>
      <c r="M210" t="s">
        <v>24</v>
      </c>
      <c r="N210">
        <v>8</v>
      </c>
      <c r="O210" t="s">
        <v>25</v>
      </c>
    </row>
    <row r="211" spans="1:15" x14ac:dyDescent="0.2">
      <c r="A211" t="s">
        <v>379</v>
      </c>
      <c r="B211" t="s">
        <v>85</v>
      </c>
      <c r="C211" t="s">
        <v>28</v>
      </c>
      <c r="D211" s="1">
        <v>39022</v>
      </c>
      <c r="E211" s="1">
        <v>45395</v>
      </c>
      <c r="F211" s="1">
        <v>45402</v>
      </c>
      <c r="G211" t="s">
        <v>88</v>
      </c>
      <c r="H211" t="s">
        <v>61</v>
      </c>
      <c r="I211" t="s">
        <v>67</v>
      </c>
      <c r="J211" t="s">
        <v>380</v>
      </c>
      <c r="K211" t="s">
        <v>33</v>
      </c>
      <c r="L211" t="s">
        <v>23</v>
      </c>
      <c r="M211" t="s">
        <v>35</v>
      </c>
      <c r="N211">
        <v>11</v>
      </c>
    </row>
    <row r="212" spans="1:15" x14ac:dyDescent="0.2">
      <c r="A212" t="s">
        <v>381</v>
      </c>
      <c r="B212" t="s">
        <v>91</v>
      </c>
      <c r="C212" t="s">
        <v>49</v>
      </c>
      <c r="D212" s="1">
        <v>29547</v>
      </c>
      <c r="E212" s="1">
        <v>45325</v>
      </c>
      <c r="F212" s="1">
        <v>45335</v>
      </c>
      <c r="G212" t="s">
        <v>46</v>
      </c>
      <c r="H212" t="s">
        <v>66</v>
      </c>
      <c r="I212" t="s">
        <v>41</v>
      </c>
      <c r="J212" t="s">
        <v>382</v>
      </c>
      <c r="K212" t="s">
        <v>33</v>
      </c>
      <c r="M212" t="s">
        <v>24</v>
      </c>
      <c r="N212">
        <v>9</v>
      </c>
      <c r="O212" t="s">
        <v>36</v>
      </c>
    </row>
    <row r="213" spans="1:15" x14ac:dyDescent="0.2">
      <c r="A213">
        <v>211</v>
      </c>
      <c r="B213" t="s">
        <v>87</v>
      </c>
      <c r="C213" t="s">
        <v>92</v>
      </c>
      <c r="D213" s="1">
        <v>34326</v>
      </c>
      <c r="E213" s="1">
        <v>45340</v>
      </c>
      <c r="F213" s="1">
        <v>45355</v>
      </c>
      <c r="G213" t="s">
        <v>88</v>
      </c>
      <c r="H213" t="s">
        <v>52</v>
      </c>
      <c r="I213" t="s">
        <v>67</v>
      </c>
      <c r="J213" t="s">
        <v>383</v>
      </c>
      <c r="K213" t="s">
        <v>48</v>
      </c>
      <c r="L213" t="s">
        <v>23</v>
      </c>
      <c r="M213" t="s">
        <v>35</v>
      </c>
      <c r="N213">
        <v>11</v>
      </c>
      <c r="O213" t="s">
        <v>25</v>
      </c>
    </row>
    <row r="214" spans="1:15" x14ac:dyDescent="0.2">
      <c r="A214">
        <v>212</v>
      </c>
      <c r="B214" t="s">
        <v>38</v>
      </c>
      <c r="C214" t="s">
        <v>39</v>
      </c>
      <c r="D214" s="1">
        <v>35786</v>
      </c>
      <c r="E214" s="1">
        <v>45444</v>
      </c>
      <c r="F214" s="1">
        <v>45455</v>
      </c>
      <c r="G214" t="s">
        <v>88</v>
      </c>
      <c r="H214" t="s">
        <v>75</v>
      </c>
      <c r="I214" t="s">
        <v>20</v>
      </c>
      <c r="J214">
        <v>953</v>
      </c>
      <c r="K214" t="s">
        <v>71</v>
      </c>
      <c r="L214" t="s">
        <v>34</v>
      </c>
      <c r="M214" t="s">
        <v>24</v>
      </c>
    </row>
    <row r="215" spans="1:15" x14ac:dyDescent="0.2">
      <c r="A215" t="s">
        <v>384</v>
      </c>
      <c r="B215" t="s">
        <v>51</v>
      </c>
      <c r="C215" t="s">
        <v>49</v>
      </c>
      <c r="D215" s="1">
        <v>38918</v>
      </c>
      <c r="E215" s="1">
        <v>45369</v>
      </c>
      <c r="F215" s="1">
        <v>45380</v>
      </c>
      <c r="G215" t="s">
        <v>18</v>
      </c>
      <c r="H215" t="s">
        <v>61</v>
      </c>
      <c r="I215" t="s">
        <v>53</v>
      </c>
      <c r="J215">
        <v>380</v>
      </c>
      <c r="K215" t="s">
        <v>48</v>
      </c>
      <c r="L215" t="s">
        <v>34</v>
      </c>
      <c r="M215" t="s">
        <v>78</v>
      </c>
      <c r="O215" t="s">
        <v>25</v>
      </c>
    </row>
    <row r="216" spans="1:15" x14ac:dyDescent="0.2">
      <c r="A216">
        <v>214</v>
      </c>
      <c r="B216" t="s">
        <v>51</v>
      </c>
      <c r="C216" t="s">
        <v>65</v>
      </c>
      <c r="D216" s="1">
        <v>24809</v>
      </c>
      <c r="E216" s="1">
        <v>45425</v>
      </c>
      <c r="F216" s="1">
        <v>45432</v>
      </c>
      <c r="G216" t="s">
        <v>46</v>
      </c>
      <c r="H216" t="s">
        <v>66</v>
      </c>
      <c r="I216" t="s">
        <v>57</v>
      </c>
      <c r="J216" t="s">
        <v>344</v>
      </c>
      <c r="K216" t="s">
        <v>71</v>
      </c>
      <c r="M216" t="s">
        <v>35</v>
      </c>
    </row>
    <row r="217" spans="1:15" x14ac:dyDescent="0.2">
      <c r="A217" t="s">
        <v>385</v>
      </c>
      <c r="B217" t="s">
        <v>16</v>
      </c>
      <c r="C217" t="s">
        <v>39</v>
      </c>
      <c r="D217" s="1">
        <v>37077</v>
      </c>
      <c r="E217" s="1">
        <v>45330</v>
      </c>
      <c r="F217" s="1">
        <v>45332</v>
      </c>
      <c r="G217" t="s">
        <v>60</v>
      </c>
      <c r="H217" t="s">
        <v>75</v>
      </c>
      <c r="I217" t="s">
        <v>67</v>
      </c>
      <c r="J217" t="s">
        <v>386</v>
      </c>
      <c r="K217" t="s">
        <v>33</v>
      </c>
      <c r="M217" t="s">
        <v>35</v>
      </c>
      <c r="O217" t="s">
        <v>25</v>
      </c>
    </row>
    <row r="218" spans="1:15" x14ac:dyDescent="0.2">
      <c r="A218" t="s">
        <v>387</v>
      </c>
      <c r="B218" t="s">
        <v>45</v>
      </c>
      <c r="C218" t="s">
        <v>92</v>
      </c>
      <c r="D218" s="1">
        <v>28510</v>
      </c>
      <c r="E218" s="1">
        <v>45321</v>
      </c>
      <c r="F218" s="1">
        <v>45336</v>
      </c>
      <c r="G218" t="s">
        <v>88</v>
      </c>
      <c r="I218" t="s">
        <v>67</v>
      </c>
      <c r="J218" t="s">
        <v>388</v>
      </c>
      <c r="K218" t="s">
        <v>33</v>
      </c>
      <c r="M218" t="s">
        <v>78</v>
      </c>
      <c r="N218">
        <v>5</v>
      </c>
    </row>
    <row r="219" spans="1:15" x14ac:dyDescent="0.2">
      <c r="A219" t="s">
        <v>389</v>
      </c>
      <c r="B219" t="s">
        <v>102</v>
      </c>
      <c r="C219" t="s">
        <v>39</v>
      </c>
      <c r="D219" s="1">
        <v>29494</v>
      </c>
      <c r="E219" s="1">
        <v>45321</v>
      </c>
      <c r="F219" s="1">
        <v>45329</v>
      </c>
      <c r="G219" t="s">
        <v>29</v>
      </c>
      <c r="H219" t="s">
        <v>75</v>
      </c>
      <c r="I219" t="s">
        <v>41</v>
      </c>
      <c r="J219">
        <v>1079</v>
      </c>
      <c r="K219" t="s">
        <v>22</v>
      </c>
      <c r="L219" t="s">
        <v>34</v>
      </c>
      <c r="M219" t="s">
        <v>35</v>
      </c>
      <c r="N219">
        <v>1</v>
      </c>
      <c r="O219" t="s">
        <v>25</v>
      </c>
    </row>
    <row r="220" spans="1:15" x14ac:dyDescent="0.2">
      <c r="A220" t="s">
        <v>390</v>
      </c>
      <c r="B220" t="s">
        <v>82</v>
      </c>
      <c r="C220" t="s">
        <v>65</v>
      </c>
      <c r="D220" s="1">
        <v>34080</v>
      </c>
      <c r="E220" s="1">
        <v>45338</v>
      </c>
      <c r="F220" s="1">
        <v>45348</v>
      </c>
      <c r="G220" t="s">
        <v>72</v>
      </c>
      <c r="I220" t="s">
        <v>53</v>
      </c>
      <c r="J220">
        <v>367</v>
      </c>
      <c r="K220" t="s">
        <v>71</v>
      </c>
      <c r="L220" t="s">
        <v>34</v>
      </c>
      <c r="M220" t="s">
        <v>78</v>
      </c>
      <c r="N220">
        <v>2</v>
      </c>
      <c r="O220" t="s">
        <v>36</v>
      </c>
    </row>
    <row r="221" spans="1:15" x14ac:dyDescent="0.2">
      <c r="A221" t="s">
        <v>391</v>
      </c>
      <c r="B221" t="s">
        <v>59</v>
      </c>
      <c r="C221" t="s">
        <v>17</v>
      </c>
      <c r="D221" s="1">
        <v>35461</v>
      </c>
      <c r="E221" s="1">
        <v>45463</v>
      </c>
      <c r="F221" s="1">
        <v>45475</v>
      </c>
      <c r="G221" t="s">
        <v>29</v>
      </c>
      <c r="H221" t="s">
        <v>75</v>
      </c>
      <c r="I221" t="s">
        <v>53</v>
      </c>
      <c r="J221">
        <v>609</v>
      </c>
      <c r="K221" t="s">
        <v>33</v>
      </c>
      <c r="M221" t="s">
        <v>35</v>
      </c>
      <c r="N221">
        <v>9</v>
      </c>
    </row>
    <row r="222" spans="1:15" x14ac:dyDescent="0.2">
      <c r="A222" t="s">
        <v>392</v>
      </c>
      <c r="B222" t="s">
        <v>64</v>
      </c>
      <c r="C222" t="s">
        <v>49</v>
      </c>
      <c r="D222" s="1">
        <v>23406</v>
      </c>
      <c r="E222" s="1">
        <v>45418</v>
      </c>
      <c r="G222" t="s">
        <v>100</v>
      </c>
      <c r="H222" t="s">
        <v>30</v>
      </c>
      <c r="I222" t="s">
        <v>67</v>
      </c>
      <c r="J222" t="s">
        <v>393</v>
      </c>
      <c r="K222" t="s">
        <v>48</v>
      </c>
      <c r="L222" t="s">
        <v>23</v>
      </c>
      <c r="M222" t="s">
        <v>24</v>
      </c>
      <c r="N222">
        <v>7</v>
      </c>
      <c r="O222" t="s">
        <v>25</v>
      </c>
    </row>
    <row r="223" spans="1:15" x14ac:dyDescent="0.2">
      <c r="A223" t="s">
        <v>394</v>
      </c>
      <c r="B223" t="s">
        <v>114</v>
      </c>
      <c r="C223" t="s">
        <v>28</v>
      </c>
      <c r="D223" s="1">
        <v>37041</v>
      </c>
      <c r="E223" s="1">
        <v>45314</v>
      </c>
      <c r="F223" s="1">
        <v>45316</v>
      </c>
      <c r="G223" t="s">
        <v>72</v>
      </c>
      <c r="H223" t="s">
        <v>66</v>
      </c>
      <c r="I223" t="s">
        <v>20</v>
      </c>
      <c r="J223">
        <v>926</v>
      </c>
      <c r="K223" t="s">
        <v>48</v>
      </c>
      <c r="L223" t="s">
        <v>34</v>
      </c>
      <c r="M223" t="s">
        <v>35</v>
      </c>
      <c r="N223">
        <v>10</v>
      </c>
    </row>
    <row r="224" spans="1:15" x14ac:dyDescent="0.2">
      <c r="A224">
        <v>222</v>
      </c>
      <c r="B224" t="s">
        <v>105</v>
      </c>
      <c r="C224" t="s">
        <v>65</v>
      </c>
      <c r="D224" s="1">
        <v>25042</v>
      </c>
      <c r="E224" s="1">
        <v>45379</v>
      </c>
      <c r="F224" s="1">
        <v>45393</v>
      </c>
      <c r="G224" t="s">
        <v>100</v>
      </c>
      <c r="H224" t="s">
        <v>30</v>
      </c>
      <c r="I224" t="s">
        <v>57</v>
      </c>
      <c r="J224">
        <v>1369</v>
      </c>
      <c r="K224" t="s">
        <v>33</v>
      </c>
      <c r="M224" t="s">
        <v>35</v>
      </c>
    </row>
    <row r="225" spans="1:15" x14ac:dyDescent="0.2">
      <c r="A225" t="s">
        <v>395</v>
      </c>
      <c r="B225" t="s">
        <v>64</v>
      </c>
      <c r="C225" t="s">
        <v>92</v>
      </c>
      <c r="D225" s="1">
        <v>29901</v>
      </c>
      <c r="E225" s="1">
        <v>45432</v>
      </c>
      <c r="F225" s="1">
        <v>45433</v>
      </c>
      <c r="G225" t="s">
        <v>100</v>
      </c>
      <c r="H225" t="s">
        <v>52</v>
      </c>
      <c r="I225" t="s">
        <v>41</v>
      </c>
      <c r="J225" t="s">
        <v>396</v>
      </c>
      <c r="K225" t="s">
        <v>33</v>
      </c>
      <c r="L225" t="s">
        <v>23</v>
      </c>
      <c r="M225" t="s">
        <v>35</v>
      </c>
      <c r="O225" t="s">
        <v>36</v>
      </c>
    </row>
    <row r="226" spans="1:15" x14ac:dyDescent="0.2">
      <c r="A226" t="s">
        <v>397</v>
      </c>
      <c r="B226" t="s">
        <v>114</v>
      </c>
      <c r="C226" t="s">
        <v>39</v>
      </c>
      <c r="D226" s="1">
        <v>24508</v>
      </c>
      <c r="E226" s="1">
        <v>45319</v>
      </c>
      <c r="G226" t="s">
        <v>72</v>
      </c>
      <c r="I226" t="s">
        <v>53</v>
      </c>
      <c r="J226" t="s">
        <v>398</v>
      </c>
      <c r="K226" t="s">
        <v>71</v>
      </c>
      <c r="M226" t="s">
        <v>24</v>
      </c>
      <c r="N226">
        <v>9</v>
      </c>
      <c r="O226" t="s">
        <v>25</v>
      </c>
    </row>
    <row r="227" spans="1:15" x14ac:dyDescent="0.2">
      <c r="A227">
        <v>225</v>
      </c>
      <c r="B227" t="s">
        <v>64</v>
      </c>
      <c r="C227" t="s">
        <v>65</v>
      </c>
      <c r="D227" s="1">
        <v>19855</v>
      </c>
      <c r="E227" s="1">
        <v>45441</v>
      </c>
      <c r="F227" s="1">
        <v>45454</v>
      </c>
      <c r="G227" t="s">
        <v>18</v>
      </c>
      <c r="H227" t="s">
        <v>52</v>
      </c>
      <c r="I227" t="s">
        <v>53</v>
      </c>
      <c r="J227" t="s">
        <v>399</v>
      </c>
      <c r="K227" t="s">
        <v>71</v>
      </c>
      <c r="M227" t="s">
        <v>24</v>
      </c>
      <c r="N227">
        <v>7</v>
      </c>
    </row>
    <row r="228" spans="1:15" x14ac:dyDescent="0.2">
      <c r="A228" t="s">
        <v>400</v>
      </c>
      <c r="B228" t="s">
        <v>91</v>
      </c>
      <c r="C228" t="s">
        <v>92</v>
      </c>
      <c r="D228" s="1">
        <v>31301</v>
      </c>
      <c r="E228" s="1">
        <v>45367</v>
      </c>
      <c r="F228" s="1">
        <v>45370</v>
      </c>
      <c r="G228" t="s">
        <v>18</v>
      </c>
      <c r="H228" t="s">
        <v>75</v>
      </c>
      <c r="I228" t="s">
        <v>53</v>
      </c>
      <c r="J228" t="s">
        <v>401</v>
      </c>
      <c r="K228" t="s">
        <v>43</v>
      </c>
      <c r="M228" t="s">
        <v>24</v>
      </c>
      <c r="N228">
        <v>9</v>
      </c>
    </row>
    <row r="229" spans="1:15" x14ac:dyDescent="0.2">
      <c r="A229" t="s">
        <v>402</v>
      </c>
      <c r="B229" t="s">
        <v>51</v>
      </c>
      <c r="C229" t="s">
        <v>97</v>
      </c>
      <c r="D229" s="1">
        <v>38716</v>
      </c>
      <c r="E229" s="1">
        <v>45467</v>
      </c>
      <c r="F229" s="1">
        <v>45470</v>
      </c>
      <c r="G229" t="s">
        <v>40</v>
      </c>
      <c r="H229" t="s">
        <v>61</v>
      </c>
      <c r="I229" t="s">
        <v>53</v>
      </c>
      <c r="J229" t="s">
        <v>403</v>
      </c>
      <c r="K229" t="s">
        <v>48</v>
      </c>
      <c r="M229" t="s">
        <v>24</v>
      </c>
      <c r="N229">
        <v>10</v>
      </c>
    </row>
    <row r="230" spans="1:15" x14ac:dyDescent="0.2">
      <c r="A230" t="s">
        <v>404</v>
      </c>
      <c r="B230" t="s">
        <v>82</v>
      </c>
      <c r="C230" t="s">
        <v>49</v>
      </c>
      <c r="D230" s="1">
        <v>35758</v>
      </c>
      <c r="E230" s="1">
        <v>45400</v>
      </c>
      <c r="F230" s="1">
        <v>45401</v>
      </c>
      <c r="G230" t="s">
        <v>46</v>
      </c>
      <c r="H230" t="s">
        <v>66</v>
      </c>
      <c r="I230" t="s">
        <v>53</v>
      </c>
      <c r="J230" t="s">
        <v>405</v>
      </c>
      <c r="K230" t="s">
        <v>33</v>
      </c>
      <c r="L230" t="s">
        <v>23</v>
      </c>
      <c r="M230" t="s">
        <v>78</v>
      </c>
      <c r="N230">
        <v>3</v>
      </c>
      <c r="O230" t="s">
        <v>25</v>
      </c>
    </row>
    <row r="231" spans="1:15" x14ac:dyDescent="0.2">
      <c r="A231" t="s">
        <v>406</v>
      </c>
      <c r="B231" t="s">
        <v>45</v>
      </c>
      <c r="C231" t="s">
        <v>97</v>
      </c>
      <c r="D231" s="1">
        <v>35997</v>
      </c>
      <c r="E231" s="1">
        <v>45383</v>
      </c>
      <c r="G231" t="s">
        <v>72</v>
      </c>
      <c r="H231" t="s">
        <v>75</v>
      </c>
      <c r="I231" t="s">
        <v>57</v>
      </c>
      <c r="J231">
        <v>559</v>
      </c>
      <c r="K231" t="s">
        <v>22</v>
      </c>
      <c r="M231" t="s">
        <v>24</v>
      </c>
      <c r="N231">
        <v>15</v>
      </c>
      <c r="O231" t="s">
        <v>36</v>
      </c>
    </row>
    <row r="232" spans="1:15" x14ac:dyDescent="0.2">
      <c r="A232">
        <v>230</v>
      </c>
      <c r="B232" t="s">
        <v>82</v>
      </c>
      <c r="C232" t="s">
        <v>39</v>
      </c>
      <c r="D232" s="1">
        <v>28509</v>
      </c>
      <c r="E232" s="1">
        <v>45295</v>
      </c>
      <c r="F232" s="1">
        <v>45309</v>
      </c>
      <c r="G232" t="s">
        <v>50</v>
      </c>
      <c r="H232" t="s">
        <v>75</v>
      </c>
      <c r="I232" t="s">
        <v>53</v>
      </c>
      <c r="J232" t="s">
        <v>407</v>
      </c>
      <c r="K232" t="s">
        <v>43</v>
      </c>
      <c r="L232" t="s">
        <v>23</v>
      </c>
      <c r="M232" t="s">
        <v>24</v>
      </c>
      <c r="N232">
        <v>5</v>
      </c>
      <c r="O232" t="s">
        <v>36</v>
      </c>
    </row>
    <row r="233" spans="1:15" x14ac:dyDescent="0.2">
      <c r="A233" t="s">
        <v>408</v>
      </c>
      <c r="B233" t="s">
        <v>150</v>
      </c>
      <c r="C233" t="s">
        <v>97</v>
      </c>
      <c r="D233" s="1">
        <v>23958</v>
      </c>
      <c r="E233" s="1">
        <v>45388</v>
      </c>
      <c r="F233" s="1">
        <v>45397</v>
      </c>
      <c r="G233" t="s">
        <v>46</v>
      </c>
      <c r="H233" t="s">
        <v>52</v>
      </c>
      <c r="I233" t="s">
        <v>57</v>
      </c>
      <c r="J233" t="s">
        <v>409</v>
      </c>
      <c r="K233" t="s">
        <v>33</v>
      </c>
      <c r="M233" t="s">
        <v>24</v>
      </c>
      <c r="N233">
        <v>1</v>
      </c>
      <c r="O233" t="s">
        <v>25</v>
      </c>
    </row>
    <row r="234" spans="1:15" x14ac:dyDescent="0.2">
      <c r="A234">
        <v>232</v>
      </c>
      <c r="B234" t="s">
        <v>85</v>
      </c>
      <c r="C234" t="s">
        <v>17</v>
      </c>
      <c r="D234" s="1">
        <v>38756</v>
      </c>
      <c r="E234" s="1">
        <v>45417</v>
      </c>
      <c r="G234" t="s">
        <v>83</v>
      </c>
      <c r="H234" t="s">
        <v>61</v>
      </c>
      <c r="I234" t="s">
        <v>67</v>
      </c>
      <c r="J234" t="s">
        <v>410</v>
      </c>
      <c r="K234" t="s">
        <v>43</v>
      </c>
      <c r="L234" t="s">
        <v>23</v>
      </c>
      <c r="M234" t="s">
        <v>78</v>
      </c>
      <c r="N234">
        <v>7</v>
      </c>
      <c r="O234" t="s">
        <v>25</v>
      </c>
    </row>
    <row r="235" spans="1:15" x14ac:dyDescent="0.2">
      <c r="A235">
        <v>233</v>
      </c>
      <c r="B235" t="s">
        <v>91</v>
      </c>
      <c r="C235" t="s">
        <v>97</v>
      </c>
      <c r="D235" s="1">
        <v>40000</v>
      </c>
      <c r="E235" s="1">
        <v>45376</v>
      </c>
      <c r="F235" s="1">
        <v>45389</v>
      </c>
      <c r="G235" t="s">
        <v>40</v>
      </c>
      <c r="I235" t="s">
        <v>41</v>
      </c>
      <c r="J235" t="s">
        <v>411</v>
      </c>
      <c r="K235" t="s">
        <v>48</v>
      </c>
      <c r="M235" t="s">
        <v>78</v>
      </c>
    </row>
    <row r="236" spans="1:15" x14ac:dyDescent="0.2">
      <c r="A236" t="s">
        <v>412</v>
      </c>
      <c r="B236" t="s">
        <v>85</v>
      </c>
      <c r="C236" t="s">
        <v>97</v>
      </c>
      <c r="D236" s="1">
        <v>19570</v>
      </c>
      <c r="E236" s="1">
        <v>45389</v>
      </c>
      <c r="F236" s="1">
        <v>45398</v>
      </c>
      <c r="G236" t="s">
        <v>88</v>
      </c>
      <c r="H236" t="s">
        <v>61</v>
      </c>
      <c r="I236" t="s">
        <v>41</v>
      </c>
      <c r="J236">
        <v>867</v>
      </c>
      <c r="K236" t="s">
        <v>71</v>
      </c>
      <c r="L236" t="s">
        <v>34</v>
      </c>
      <c r="M236" t="s">
        <v>78</v>
      </c>
      <c r="N236">
        <v>4</v>
      </c>
      <c r="O236" t="s">
        <v>36</v>
      </c>
    </row>
    <row r="237" spans="1:15" x14ac:dyDescent="0.2">
      <c r="A237" t="s">
        <v>413</v>
      </c>
      <c r="B237" t="s">
        <v>150</v>
      </c>
      <c r="C237" t="s">
        <v>17</v>
      </c>
      <c r="D237" s="1">
        <v>23749</v>
      </c>
      <c r="E237" s="1">
        <v>45452</v>
      </c>
      <c r="F237" s="1">
        <v>45463</v>
      </c>
      <c r="G237" t="s">
        <v>72</v>
      </c>
      <c r="H237" t="s">
        <v>19</v>
      </c>
      <c r="I237" t="s">
        <v>41</v>
      </c>
      <c r="J237" t="s">
        <v>414</v>
      </c>
      <c r="K237" t="s">
        <v>43</v>
      </c>
      <c r="M237" t="s">
        <v>24</v>
      </c>
      <c r="N237">
        <v>2</v>
      </c>
    </row>
    <row r="238" spans="1:15" x14ac:dyDescent="0.2">
      <c r="A238" t="s">
        <v>415</v>
      </c>
      <c r="B238" t="s">
        <v>87</v>
      </c>
      <c r="C238" t="s">
        <v>17</v>
      </c>
      <c r="D238" s="1">
        <v>33311</v>
      </c>
      <c r="E238" s="1">
        <v>45301</v>
      </c>
      <c r="G238" t="s">
        <v>46</v>
      </c>
      <c r="I238" t="s">
        <v>31</v>
      </c>
      <c r="J238" t="s">
        <v>416</v>
      </c>
      <c r="K238" t="s">
        <v>43</v>
      </c>
      <c r="L238" t="s">
        <v>23</v>
      </c>
      <c r="M238" t="s">
        <v>78</v>
      </c>
      <c r="N238">
        <v>8</v>
      </c>
    </row>
    <row r="239" spans="1:15" x14ac:dyDescent="0.2">
      <c r="A239">
        <v>237</v>
      </c>
      <c r="B239" t="s">
        <v>82</v>
      </c>
      <c r="C239" t="s">
        <v>92</v>
      </c>
      <c r="D239" s="1">
        <v>18817</v>
      </c>
      <c r="E239" s="1">
        <v>45464</v>
      </c>
      <c r="F239" s="1">
        <v>45475</v>
      </c>
      <c r="G239" t="s">
        <v>18</v>
      </c>
      <c r="H239" t="s">
        <v>66</v>
      </c>
      <c r="I239" t="s">
        <v>53</v>
      </c>
      <c r="J239" t="s">
        <v>417</v>
      </c>
      <c r="K239" t="s">
        <v>43</v>
      </c>
      <c r="L239" t="s">
        <v>34</v>
      </c>
      <c r="M239" t="s">
        <v>78</v>
      </c>
      <c r="N239">
        <v>5</v>
      </c>
    </row>
    <row r="240" spans="1:15" x14ac:dyDescent="0.2">
      <c r="A240" t="s">
        <v>418</v>
      </c>
      <c r="B240" t="s">
        <v>45</v>
      </c>
      <c r="C240" t="s">
        <v>39</v>
      </c>
      <c r="D240" s="1">
        <v>32605</v>
      </c>
      <c r="E240" s="1">
        <v>45393</v>
      </c>
      <c r="F240" s="1">
        <v>45402</v>
      </c>
      <c r="G240" t="s">
        <v>46</v>
      </c>
      <c r="H240" t="s">
        <v>75</v>
      </c>
      <c r="I240" t="s">
        <v>76</v>
      </c>
      <c r="J240" t="s">
        <v>209</v>
      </c>
      <c r="K240" t="s">
        <v>22</v>
      </c>
      <c r="M240" t="s">
        <v>24</v>
      </c>
      <c r="N240">
        <v>13</v>
      </c>
    </row>
    <row r="241" spans="1:15" x14ac:dyDescent="0.2">
      <c r="A241" t="s">
        <v>419</v>
      </c>
      <c r="B241" t="s">
        <v>102</v>
      </c>
      <c r="C241" t="s">
        <v>17</v>
      </c>
      <c r="D241" s="1">
        <v>36401</v>
      </c>
      <c r="E241" s="1">
        <v>45323</v>
      </c>
      <c r="G241" t="s">
        <v>18</v>
      </c>
      <c r="H241" t="s">
        <v>19</v>
      </c>
      <c r="I241" t="s">
        <v>57</v>
      </c>
      <c r="J241" t="s">
        <v>420</v>
      </c>
      <c r="K241" t="s">
        <v>33</v>
      </c>
      <c r="L241" t="s">
        <v>23</v>
      </c>
      <c r="M241" t="s">
        <v>24</v>
      </c>
      <c r="N241">
        <v>12</v>
      </c>
      <c r="O241" t="s">
        <v>36</v>
      </c>
    </row>
    <row r="242" spans="1:15" x14ac:dyDescent="0.2">
      <c r="A242" t="s">
        <v>421</v>
      </c>
      <c r="B242" t="s">
        <v>82</v>
      </c>
      <c r="C242" t="s">
        <v>49</v>
      </c>
      <c r="D242" s="1">
        <v>35059</v>
      </c>
      <c r="E242" s="1">
        <v>45333</v>
      </c>
      <c r="F242" s="1">
        <v>45347</v>
      </c>
      <c r="G242" t="s">
        <v>50</v>
      </c>
      <c r="H242" t="s">
        <v>66</v>
      </c>
      <c r="I242" t="s">
        <v>67</v>
      </c>
      <c r="J242" t="s">
        <v>422</v>
      </c>
      <c r="K242" t="s">
        <v>43</v>
      </c>
      <c r="M242" t="s">
        <v>24</v>
      </c>
      <c r="N242">
        <v>5</v>
      </c>
    </row>
    <row r="243" spans="1:15" x14ac:dyDescent="0.2">
      <c r="A243" t="s">
        <v>423</v>
      </c>
      <c r="B243" t="s">
        <v>38</v>
      </c>
      <c r="C243" t="s">
        <v>17</v>
      </c>
      <c r="D243" s="1">
        <v>24732</v>
      </c>
      <c r="E243" s="1">
        <v>45376</v>
      </c>
      <c r="G243" t="s">
        <v>72</v>
      </c>
      <c r="H243" t="s">
        <v>52</v>
      </c>
      <c r="I243" t="s">
        <v>20</v>
      </c>
      <c r="J243" t="s">
        <v>197</v>
      </c>
      <c r="K243" t="s">
        <v>22</v>
      </c>
      <c r="M243" t="s">
        <v>78</v>
      </c>
      <c r="N243">
        <v>10</v>
      </c>
    </row>
    <row r="244" spans="1:15" x14ac:dyDescent="0.2">
      <c r="A244">
        <v>242</v>
      </c>
      <c r="B244" t="s">
        <v>119</v>
      </c>
      <c r="C244" t="s">
        <v>97</v>
      </c>
      <c r="D244" s="1">
        <v>36796</v>
      </c>
      <c r="E244" s="1">
        <v>45372</v>
      </c>
      <c r="F244" s="1">
        <v>45378</v>
      </c>
      <c r="G244" t="s">
        <v>50</v>
      </c>
      <c r="H244" t="s">
        <v>75</v>
      </c>
      <c r="I244" t="s">
        <v>53</v>
      </c>
      <c r="J244">
        <v>1412</v>
      </c>
      <c r="K244" t="s">
        <v>33</v>
      </c>
      <c r="M244" t="s">
        <v>35</v>
      </c>
      <c r="N244">
        <v>6</v>
      </c>
      <c r="O244" t="s">
        <v>36</v>
      </c>
    </row>
    <row r="245" spans="1:15" x14ac:dyDescent="0.2">
      <c r="A245">
        <v>243</v>
      </c>
      <c r="B245" t="s">
        <v>114</v>
      </c>
      <c r="C245" t="s">
        <v>92</v>
      </c>
      <c r="D245" s="1">
        <v>28273</v>
      </c>
      <c r="E245" s="1">
        <v>45433</v>
      </c>
      <c r="F245" s="1">
        <v>45443</v>
      </c>
      <c r="G245" t="s">
        <v>60</v>
      </c>
      <c r="I245" t="s">
        <v>41</v>
      </c>
      <c r="J245" t="s">
        <v>424</v>
      </c>
      <c r="K245" t="s">
        <v>33</v>
      </c>
      <c r="L245" t="s">
        <v>34</v>
      </c>
      <c r="M245" t="s">
        <v>24</v>
      </c>
      <c r="O245" t="s">
        <v>25</v>
      </c>
    </row>
    <row r="246" spans="1:15" x14ac:dyDescent="0.2">
      <c r="A246" t="s">
        <v>425</v>
      </c>
      <c r="B246" t="s">
        <v>64</v>
      </c>
      <c r="C246" t="s">
        <v>39</v>
      </c>
      <c r="D246" s="1">
        <v>37331</v>
      </c>
      <c r="E246" s="1">
        <v>45443</v>
      </c>
      <c r="F246" s="1">
        <v>45452</v>
      </c>
      <c r="G246" t="s">
        <v>40</v>
      </c>
      <c r="H246" t="s">
        <v>61</v>
      </c>
      <c r="I246" t="s">
        <v>76</v>
      </c>
      <c r="J246" t="s">
        <v>426</v>
      </c>
      <c r="K246" t="s">
        <v>33</v>
      </c>
      <c r="M246" t="s">
        <v>35</v>
      </c>
      <c r="N246">
        <v>10</v>
      </c>
    </row>
    <row r="247" spans="1:15" x14ac:dyDescent="0.2">
      <c r="A247">
        <v>245</v>
      </c>
      <c r="B247" t="s">
        <v>87</v>
      </c>
      <c r="C247" t="s">
        <v>28</v>
      </c>
      <c r="D247" s="1">
        <v>34684</v>
      </c>
      <c r="E247" s="1">
        <v>45393</v>
      </c>
      <c r="F247" s="1">
        <v>45404</v>
      </c>
      <c r="G247" t="s">
        <v>18</v>
      </c>
      <c r="H247" t="s">
        <v>75</v>
      </c>
      <c r="I247" t="s">
        <v>67</v>
      </c>
      <c r="J247" t="s">
        <v>427</v>
      </c>
      <c r="K247" t="s">
        <v>71</v>
      </c>
      <c r="L247" t="s">
        <v>23</v>
      </c>
      <c r="M247" t="s">
        <v>35</v>
      </c>
      <c r="N247">
        <v>10</v>
      </c>
    </row>
    <row r="248" spans="1:15" x14ac:dyDescent="0.2">
      <c r="A248" t="s">
        <v>428</v>
      </c>
      <c r="B248" t="s">
        <v>56</v>
      </c>
      <c r="C248" t="s">
        <v>92</v>
      </c>
      <c r="D248" s="1">
        <v>19588</v>
      </c>
      <c r="E248" s="1">
        <v>45416</v>
      </c>
      <c r="G248" t="s">
        <v>83</v>
      </c>
      <c r="H248" t="s">
        <v>52</v>
      </c>
      <c r="I248" t="s">
        <v>20</v>
      </c>
      <c r="J248" t="s">
        <v>429</v>
      </c>
      <c r="K248" t="s">
        <v>43</v>
      </c>
      <c r="M248" t="s">
        <v>78</v>
      </c>
      <c r="N248">
        <v>8</v>
      </c>
      <c r="O248" t="s">
        <v>25</v>
      </c>
    </row>
    <row r="249" spans="1:15" x14ac:dyDescent="0.2">
      <c r="A249" t="s">
        <v>430</v>
      </c>
      <c r="B249" t="s">
        <v>59</v>
      </c>
      <c r="C249" t="s">
        <v>17</v>
      </c>
      <c r="D249" s="1">
        <v>35348</v>
      </c>
      <c r="E249" s="1">
        <v>45359</v>
      </c>
      <c r="F249" s="1">
        <v>45366</v>
      </c>
      <c r="G249" t="s">
        <v>18</v>
      </c>
      <c r="H249" t="s">
        <v>75</v>
      </c>
      <c r="I249" t="s">
        <v>41</v>
      </c>
      <c r="J249" t="s">
        <v>431</v>
      </c>
      <c r="K249" t="s">
        <v>71</v>
      </c>
      <c r="L249" t="s">
        <v>23</v>
      </c>
      <c r="M249" t="s">
        <v>24</v>
      </c>
      <c r="N249">
        <v>14</v>
      </c>
      <c r="O249" t="s">
        <v>36</v>
      </c>
    </row>
    <row r="250" spans="1:15" x14ac:dyDescent="0.2">
      <c r="A250">
        <v>248</v>
      </c>
      <c r="B250" t="s">
        <v>56</v>
      </c>
      <c r="C250" t="s">
        <v>65</v>
      </c>
      <c r="D250" s="1">
        <v>18480</v>
      </c>
      <c r="E250" s="1">
        <v>45404</v>
      </c>
      <c r="F250" s="1">
        <v>45413</v>
      </c>
      <c r="G250" t="s">
        <v>50</v>
      </c>
      <c r="H250" t="s">
        <v>52</v>
      </c>
      <c r="I250" t="s">
        <v>67</v>
      </c>
      <c r="J250" t="s">
        <v>432</v>
      </c>
      <c r="K250" t="s">
        <v>43</v>
      </c>
      <c r="L250" t="s">
        <v>34</v>
      </c>
      <c r="M250" t="s">
        <v>24</v>
      </c>
      <c r="O250" t="s">
        <v>36</v>
      </c>
    </row>
    <row r="251" spans="1:15" x14ac:dyDescent="0.2">
      <c r="A251" t="s">
        <v>433</v>
      </c>
      <c r="B251" t="s">
        <v>16</v>
      </c>
      <c r="C251" t="s">
        <v>28</v>
      </c>
      <c r="D251" s="1">
        <v>33953</v>
      </c>
      <c r="E251" s="1">
        <v>45345</v>
      </c>
      <c r="F251" s="1">
        <v>45352</v>
      </c>
      <c r="G251" t="s">
        <v>50</v>
      </c>
      <c r="H251" t="s">
        <v>66</v>
      </c>
      <c r="I251" t="s">
        <v>67</v>
      </c>
      <c r="J251" t="s">
        <v>434</v>
      </c>
      <c r="K251" t="s">
        <v>22</v>
      </c>
      <c r="L251" t="s">
        <v>34</v>
      </c>
      <c r="M251" t="s">
        <v>24</v>
      </c>
      <c r="O251" t="s">
        <v>25</v>
      </c>
    </row>
    <row r="252" spans="1:15" x14ac:dyDescent="0.2">
      <c r="A252">
        <v>250</v>
      </c>
      <c r="B252" t="s">
        <v>140</v>
      </c>
      <c r="C252" t="s">
        <v>65</v>
      </c>
      <c r="D252" s="1">
        <v>31549</v>
      </c>
      <c r="E252" s="1">
        <v>45461</v>
      </c>
      <c r="F252" s="1">
        <v>45465</v>
      </c>
      <c r="G252" t="s">
        <v>18</v>
      </c>
      <c r="H252" t="s">
        <v>19</v>
      </c>
      <c r="I252" t="s">
        <v>41</v>
      </c>
      <c r="J252" t="s">
        <v>435</v>
      </c>
      <c r="K252" t="s">
        <v>22</v>
      </c>
      <c r="M252" t="s">
        <v>24</v>
      </c>
    </row>
    <row r="253" spans="1:15" x14ac:dyDescent="0.2">
      <c r="A253" t="s">
        <v>436</v>
      </c>
      <c r="B253" t="s">
        <v>85</v>
      </c>
      <c r="C253" t="s">
        <v>49</v>
      </c>
      <c r="D253" s="1">
        <v>35002</v>
      </c>
      <c r="E253" s="1">
        <v>45334</v>
      </c>
      <c r="F253" s="1">
        <v>45344</v>
      </c>
      <c r="G253" t="s">
        <v>50</v>
      </c>
      <c r="H253" t="s">
        <v>19</v>
      </c>
      <c r="I253" t="s">
        <v>76</v>
      </c>
      <c r="J253" t="s">
        <v>437</v>
      </c>
      <c r="K253" t="s">
        <v>48</v>
      </c>
      <c r="L253" t="s">
        <v>23</v>
      </c>
      <c r="M253" t="s">
        <v>24</v>
      </c>
      <c r="N253">
        <v>9</v>
      </c>
    </row>
    <row r="254" spans="1:15" x14ac:dyDescent="0.2">
      <c r="A254">
        <v>252</v>
      </c>
      <c r="B254" t="s">
        <v>87</v>
      </c>
      <c r="C254" t="s">
        <v>65</v>
      </c>
      <c r="D254" s="1">
        <v>21419</v>
      </c>
      <c r="E254" s="1">
        <v>45413</v>
      </c>
      <c r="F254" s="1">
        <v>45422</v>
      </c>
      <c r="G254" t="s">
        <v>74</v>
      </c>
      <c r="H254" t="s">
        <v>19</v>
      </c>
      <c r="I254" t="s">
        <v>53</v>
      </c>
      <c r="J254" t="s">
        <v>438</v>
      </c>
      <c r="K254" t="s">
        <v>71</v>
      </c>
      <c r="M254" t="s">
        <v>78</v>
      </c>
      <c r="N254">
        <v>12</v>
      </c>
    </row>
    <row r="255" spans="1:15" x14ac:dyDescent="0.2">
      <c r="A255">
        <v>253</v>
      </c>
      <c r="B255" t="s">
        <v>91</v>
      </c>
      <c r="C255" t="s">
        <v>39</v>
      </c>
      <c r="D255" s="1">
        <v>34062</v>
      </c>
      <c r="E255" s="1">
        <v>45381</v>
      </c>
      <c r="F255" s="1">
        <v>45386</v>
      </c>
      <c r="G255" t="s">
        <v>50</v>
      </c>
      <c r="I255" t="s">
        <v>20</v>
      </c>
      <c r="J255">
        <v>680</v>
      </c>
      <c r="K255" t="s">
        <v>33</v>
      </c>
      <c r="L255" t="s">
        <v>23</v>
      </c>
      <c r="M255" t="s">
        <v>35</v>
      </c>
      <c r="N255">
        <v>13</v>
      </c>
      <c r="O255" t="s">
        <v>25</v>
      </c>
    </row>
    <row r="256" spans="1:15" x14ac:dyDescent="0.2">
      <c r="A256" t="s">
        <v>439</v>
      </c>
      <c r="B256" t="s">
        <v>105</v>
      </c>
      <c r="C256" t="s">
        <v>17</v>
      </c>
      <c r="D256" s="1">
        <v>35295</v>
      </c>
      <c r="E256" s="1">
        <v>45388</v>
      </c>
      <c r="F256" s="1">
        <v>45394</v>
      </c>
      <c r="G256" t="s">
        <v>83</v>
      </c>
      <c r="H256" t="s">
        <v>66</v>
      </c>
      <c r="I256" t="s">
        <v>67</v>
      </c>
      <c r="J256" t="s">
        <v>440</v>
      </c>
      <c r="K256" t="s">
        <v>33</v>
      </c>
      <c r="M256" t="s">
        <v>24</v>
      </c>
      <c r="N256">
        <v>5</v>
      </c>
    </row>
    <row r="257" spans="1:15" x14ac:dyDescent="0.2">
      <c r="A257">
        <v>255</v>
      </c>
      <c r="B257" t="s">
        <v>51</v>
      </c>
      <c r="C257" t="s">
        <v>28</v>
      </c>
      <c r="D257" s="1">
        <v>36355</v>
      </c>
      <c r="E257" s="1">
        <v>45337</v>
      </c>
      <c r="F257" s="1">
        <v>45345</v>
      </c>
      <c r="G257" t="s">
        <v>60</v>
      </c>
      <c r="H257" t="s">
        <v>61</v>
      </c>
      <c r="I257" t="s">
        <v>31</v>
      </c>
      <c r="J257" t="s">
        <v>441</v>
      </c>
      <c r="K257" t="s">
        <v>48</v>
      </c>
      <c r="L257" t="s">
        <v>23</v>
      </c>
      <c r="M257" t="s">
        <v>78</v>
      </c>
      <c r="N257">
        <v>3</v>
      </c>
      <c r="O257" t="s">
        <v>25</v>
      </c>
    </row>
    <row r="258" spans="1:15" x14ac:dyDescent="0.2">
      <c r="A258" t="s">
        <v>442</v>
      </c>
      <c r="B258" t="s">
        <v>105</v>
      </c>
      <c r="C258" t="s">
        <v>28</v>
      </c>
      <c r="D258" s="1">
        <v>29353</v>
      </c>
      <c r="E258" s="1">
        <v>45333</v>
      </c>
      <c r="F258" s="1">
        <v>45334</v>
      </c>
      <c r="G258" t="s">
        <v>46</v>
      </c>
      <c r="H258" t="s">
        <v>19</v>
      </c>
      <c r="I258" t="s">
        <v>57</v>
      </c>
      <c r="J258" t="s">
        <v>443</v>
      </c>
      <c r="K258" t="s">
        <v>48</v>
      </c>
      <c r="M258" t="s">
        <v>35</v>
      </c>
      <c r="N258">
        <v>10</v>
      </c>
      <c r="O258" t="s">
        <v>25</v>
      </c>
    </row>
    <row r="259" spans="1:15" x14ac:dyDescent="0.2">
      <c r="A259" t="s">
        <v>444</v>
      </c>
      <c r="B259" t="s">
        <v>118</v>
      </c>
      <c r="C259" t="s">
        <v>28</v>
      </c>
      <c r="D259" s="1">
        <v>38382</v>
      </c>
      <c r="E259" s="1">
        <v>45444</v>
      </c>
      <c r="F259" s="1">
        <v>45458</v>
      </c>
      <c r="G259" t="s">
        <v>72</v>
      </c>
      <c r="H259" t="s">
        <v>19</v>
      </c>
      <c r="I259" t="s">
        <v>76</v>
      </c>
      <c r="J259" t="s">
        <v>445</v>
      </c>
      <c r="K259" t="s">
        <v>43</v>
      </c>
      <c r="M259" t="s">
        <v>35</v>
      </c>
    </row>
    <row r="260" spans="1:15" x14ac:dyDescent="0.2">
      <c r="A260" t="s">
        <v>446</v>
      </c>
      <c r="B260" t="s">
        <v>105</v>
      </c>
      <c r="C260" t="s">
        <v>49</v>
      </c>
      <c r="D260" s="1">
        <v>25855</v>
      </c>
      <c r="E260" s="1">
        <v>45464</v>
      </c>
      <c r="F260" s="1">
        <v>45475</v>
      </c>
      <c r="G260" t="s">
        <v>46</v>
      </c>
      <c r="H260" t="s">
        <v>66</v>
      </c>
      <c r="I260" t="s">
        <v>31</v>
      </c>
      <c r="J260" t="s">
        <v>447</v>
      </c>
      <c r="K260" t="s">
        <v>71</v>
      </c>
      <c r="M260" t="s">
        <v>24</v>
      </c>
      <c r="O260" t="s">
        <v>25</v>
      </c>
    </row>
    <row r="261" spans="1:15" x14ac:dyDescent="0.2">
      <c r="A261" t="s">
        <v>448</v>
      </c>
      <c r="B261" t="s">
        <v>150</v>
      </c>
      <c r="C261" t="s">
        <v>17</v>
      </c>
      <c r="D261" s="1">
        <v>36273</v>
      </c>
      <c r="E261" s="1">
        <v>45435</v>
      </c>
      <c r="F261" s="1">
        <v>45449</v>
      </c>
      <c r="G261" t="s">
        <v>50</v>
      </c>
      <c r="H261" t="s">
        <v>61</v>
      </c>
      <c r="I261" t="s">
        <v>67</v>
      </c>
      <c r="J261">
        <v>1031</v>
      </c>
      <c r="K261" t="s">
        <v>43</v>
      </c>
      <c r="L261" t="s">
        <v>34</v>
      </c>
      <c r="M261" t="s">
        <v>78</v>
      </c>
    </row>
    <row r="262" spans="1:15" x14ac:dyDescent="0.2">
      <c r="A262" t="s">
        <v>449</v>
      </c>
      <c r="B262" t="s">
        <v>27</v>
      </c>
      <c r="C262" t="s">
        <v>17</v>
      </c>
      <c r="D262" s="1">
        <v>34751</v>
      </c>
      <c r="E262" s="1">
        <v>45379</v>
      </c>
      <c r="F262" s="1">
        <v>45384</v>
      </c>
      <c r="G262" t="s">
        <v>100</v>
      </c>
      <c r="H262" t="s">
        <v>19</v>
      </c>
      <c r="I262" t="s">
        <v>57</v>
      </c>
      <c r="J262" t="s">
        <v>450</v>
      </c>
      <c r="K262" t="s">
        <v>33</v>
      </c>
      <c r="M262" t="s">
        <v>24</v>
      </c>
      <c r="N262">
        <v>10</v>
      </c>
      <c r="O262" t="s">
        <v>25</v>
      </c>
    </row>
    <row r="263" spans="1:15" x14ac:dyDescent="0.2">
      <c r="A263">
        <v>261</v>
      </c>
      <c r="B263" t="s">
        <v>16</v>
      </c>
      <c r="C263" t="s">
        <v>92</v>
      </c>
      <c r="D263" s="1">
        <v>20477</v>
      </c>
      <c r="E263" s="1">
        <v>45454</v>
      </c>
      <c r="F263" s="1">
        <v>45458</v>
      </c>
      <c r="G263" t="s">
        <v>29</v>
      </c>
      <c r="H263" t="s">
        <v>30</v>
      </c>
      <c r="I263" t="s">
        <v>57</v>
      </c>
      <c r="J263" t="s">
        <v>451</v>
      </c>
      <c r="K263" t="s">
        <v>33</v>
      </c>
      <c r="L263" t="s">
        <v>23</v>
      </c>
      <c r="M263" t="s">
        <v>78</v>
      </c>
    </row>
    <row r="264" spans="1:15" x14ac:dyDescent="0.2">
      <c r="A264" t="s">
        <v>452</v>
      </c>
      <c r="B264" t="s">
        <v>59</v>
      </c>
      <c r="C264" t="s">
        <v>17</v>
      </c>
      <c r="D264" s="1">
        <v>36435</v>
      </c>
      <c r="E264" s="1">
        <v>45413</v>
      </c>
      <c r="F264" s="1">
        <v>45428</v>
      </c>
      <c r="G264" t="s">
        <v>46</v>
      </c>
      <c r="H264" t="s">
        <v>75</v>
      </c>
      <c r="I264" t="s">
        <v>53</v>
      </c>
      <c r="J264">
        <v>489</v>
      </c>
      <c r="K264" t="s">
        <v>22</v>
      </c>
      <c r="L264" t="s">
        <v>23</v>
      </c>
      <c r="M264" t="s">
        <v>24</v>
      </c>
      <c r="O264" t="s">
        <v>36</v>
      </c>
    </row>
    <row r="265" spans="1:15" x14ac:dyDescent="0.2">
      <c r="A265" t="s">
        <v>453</v>
      </c>
      <c r="B265" t="s">
        <v>91</v>
      </c>
      <c r="C265" t="s">
        <v>97</v>
      </c>
      <c r="D265" s="1">
        <v>26446</v>
      </c>
      <c r="E265" s="1">
        <v>45331</v>
      </c>
      <c r="G265" t="s">
        <v>74</v>
      </c>
      <c r="H265" t="s">
        <v>75</v>
      </c>
      <c r="I265" t="s">
        <v>53</v>
      </c>
      <c r="J265" t="s">
        <v>454</v>
      </c>
      <c r="K265" t="s">
        <v>43</v>
      </c>
      <c r="L265" t="s">
        <v>34</v>
      </c>
      <c r="M265" t="s">
        <v>78</v>
      </c>
      <c r="N265">
        <v>6</v>
      </c>
      <c r="O265" t="s">
        <v>36</v>
      </c>
    </row>
    <row r="266" spans="1:15" x14ac:dyDescent="0.2">
      <c r="A266" t="s">
        <v>455</v>
      </c>
      <c r="B266" t="s">
        <v>38</v>
      </c>
      <c r="C266" t="s">
        <v>28</v>
      </c>
      <c r="D266" s="1">
        <v>24256</v>
      </c>
      <c r="E266" s="1">
        <v>45393</v>
      </c>
      <c r="F266" s="1">
        <v>45396</v>
      </c>
      <c r="G266" t="s">
        <v>40</v>
      </c>
      <c r="I266" t="s">
        <v>76</v>
      </c>
      <c r="J266" t="s">
        <v>456</v>
      </c>
      <c r="K266" t="s">
        <v>43</v>
      </c>
      <c r="M266" t="s">
        <v>78</v>
      </c>
      <c r="N266">
        <v>13</v>
      </c>
      <c r="O266" t="s">
        <v>25</v>
      </c>
    </row>
    <row r="267" spans="1:15" x14ac:dyDescent="0.2">
      <c r="A267">
        <v>265</v>
      </c>
      <c r="B267" t="s">
        <v>16</v>
      </c>
      <c r="C267" t="s">
        <v>49</v>
      </c>
      <c r="D267" s="1">
        <v>35244</v>
      </c>
      <c r="E267" s="1">
        <v>45372</v>
      </c>
      <c r="G267" t="s">
        <v>50</v>
      </c>
      <c r="H267" t="s">
        <v>19</v>
      </c>
      <c r="I267" t="s">
        <v>57</v>
      </c>
      <c r="J267" t="s">
        <v>457</v>
      </c>
      <c r="K267" t="s">
        <v>33</v>
      </c>
      <c r="M267" t="s">
        <v>35</v>
      </c>
      <c r="N267">
        <v>4</v>
      </c>
      <c r="O267" t="s">
        <v>36</v>
      </c>
    </row>
    <row r="268" spans="1:15" x14ac:dyDescent="0.2">
      <c r="A268">
        <v>266</v>
      </c>
      <c r="B268" t="s">
        <v>85</v>
      </c>
      <c r="C268" t="s">
        <v>92</v>
      </c>
      <c r="D268" s="1">
        <v>30254</v>
      </c>
      <c r="E268" s="1">
        <v>45419</v>
      </c>
      <c r="F268" s="1">
        <v>45431</v>
      </c>
      <c r="G268" t="s">
        <v>83</v>
      </c>
      <c r="I268" t="s">
        <v>76</v>
      </c>
      <c r="J268">
        <v>672</v>
      </c>
      <c r="K268" t="s">
        <v>22</v>
      </c>
      <c r="L268" t="s">
        <v>23</v>
      </c>
      <c r="M268" t="s">
        <v>24</v>
      </c>
      <c r="N268">
        <v>14</v>
      </c>
      <c r="O268" t="s">
        <v>25</v>
      </c>
    </row>
    <row r="269" spans="1:15" x14ac:dyDescent="0.2">
      <c r="A269" t="s">
        <v>458</v>
      </c>
      <c r="B269" t="s">
        <v>38</v>
      </c>
      <c r="C269" t="s">
        <v>39</v>
      </c>
      <c r="D269" s="1">
        <v>25990</v>
      </c>
      <c r="E269" s="1">
        <v>45389</v>
      </c>
      <c r="G269" t="s">
        <v>46</v>
      </c>
      <c r="H269" t="s">
        <v>19</v>
      </c>
      <c r="I269" t="s">
        <v>41</v>
      </c>
      <c r="J269" t="s">
        <v>459</v>
      </c>
      <c r="K269" t="s">
        <v>71</v>
      </c>
      <c r="M269" t="s">
        <v>35</v>
      </c>
      <c r="N269">
        <v>14</v>
      </c>
    </row>
    <row r="270" spans="1:15" x14ac:dyDescent="0.2">
      <c r="A270" t="s">
        <v>460</v>
      </c>
      <c r="B270" t="s">
        <v>27</v>
      </c>
      <c r="C270" t="s">
        <v>49</v>
      </c>
      <c r="D270" s="1">
        <v>28609</v>
      </c>
      <c r="E270" s="1">
        <v>45368</v>
      </c>
      <c r="F270" s="1">
        <v>45378</v>
      </c>
      <c r="G270" t="s">
        <v>29</v>
      </c>
      <c r="H270" t="s">
        <v>66</v>
      </c>
      <c r="I270" t="s">
        <v>53</v>
      </c>
      <c r="J270" t="s">
        <v>461</v>
      </c>
      <c r="K270" t="s">
        <v>22</v>
      </c>
      <c r="M270" t="s">
        <v>78</v>
      </c>
      <c r="N270">
        <v>2</v>
      </c>
      <c r="O270" t="s">
        <v>36</v>
      </c>
    </row>
    <row r="271" spans="1:15" x14ac:dyDescent="0.2">
      <c r="A271" t="s">
        <v>462</v>
      </c>
      <c r="B271" t="s">
        <v>59</v>
      </c>
      <c r="C271" t="s">
        <v>92</v>
      </c>
      <c r="D271" s="1">
        <v>30092</v>
      </c>
      <c r="E271" s="1">
        <v>45435</v>
      </c>
      <c r="F271" s="1">
        <v>45442</v>
      </c>
      <c r="G271" t="s">
        <v>83</v>
      </c>
      <c r="I271" t="s">
        <v>53</v>
      </c>
      <c r="J271" t="s">
        <v>463</v>
      </c>
      <c r="K271" t="s">
        <v>43</v>
      </c>
      <c r="L271" t="s">
        <v>23</v>
      </c>
      <c r="M271" t="s">
        <v>78</v>
      </c>
      <c r="N271">
        <v>11</v>
      </c>
    </row>
    <row r="272" spans="1:15" x14ac:dyDescent="0.2">
      <c r="A272">
        <v>270</v>
      </c>
      <c r="B272" t="s">
        <v>114</v>
      </c>
      <c r="C272" t="s">
        <v>17</v>
      </c>
      <c r="D272" s="1">
        <v>30750</v>
      </c>
      <c r="E272" s="1">
        <v>45410</v>
      </c>
      <c r="F272" s="1">
        <v>45421</v>
      </c>
      <c r="G272" t="s">
        <v>29</v>
      </c>
      <c r="H272" t="s">
        <v>75</v>
      </c>
      <c r="I272" t="s">
        <v>57</v>
      </c>
      <c r="J272">
        <v>1270</v>
      </c>
      <c r="K272" t="s">
        <v>48</v>
      </c>
      <c r="L272" t="s">
        <v>34</v>
      </c>
      <c r="M272" t="s">
        <v>35</v>
      </c>
      <c r="N272">
        <v>6</v>
      </c>
      <c r="O272" t="s">
        <v>36</v>
      </c>
    </row>
    <row r="273" spans="1:15" x14ac:dyDescent="0.2">
      <c r="A273" t="s">
        <v>464</v>
      </c>
      <c r="B273" t="s">
        <v>45</v>
      </c>
      <c r="C273" t="s">
        <v>49</v>
      </c>
      <c r="D273" s="1">
        <v>27028</v>
      </c>
      <c r="E273" s="1">
        <v>45361</v>
      </c>
      <c r="F273" s="1">
        <v>45367</v>
      </c>
      <c r="G273" t="s">
        <v>29</v>
      </c>
      <c r="H273" t="s">
        <v>52</v>
      </c>
      <c r="I273" t="s">
        <v>67</v>
      </c>
      <c r="J273" t="s">
        <v>465</v>
      </c>
      <c r="K273" t="s">
        <v>22</v>
      </c>
      <c r="M273" t="s">
        <v>24</v>
      </c>
      <c r="N273">
        <v>2</v>
      </c>
      <c r="O273" t="s">
        <v>25</v>
      </c>
    </row>
    <row r="274" spans="1:15" x14ac:dyDescent="0.2">
      <c r="A274" t="s">
        <v>466</v>
      </c>
      <c r="B274" t="s">
        <v>118</v>
      </c>
      <c r="C274" t="s">
        <v>17</v>
      </c>
      <c r="D274" s="1">
        <v>21395</v>
      </c>
      <c r="E274" s="1">
        <v>45413</v>
      </c>
      <c r="G274" t="s">
        <v>29</v>
      </c>
      <c r="H274" t="s">
        <v>61</v>
      </c>
      <c r="I274" t="s">
        <v>41</v>
      </c>
      <c r="J274" t="s">
        <v>467</v>
      </c>
      <c r="K274" t="s">
        <v>33</v>
      </c>
      <c r="L274" t="s">
        <v>23</v>
      </c>
      <c r="M274" t="s">
        <v>35</v>
      </c>
      <c r="N274">
        <v>15</v>
      </c>
      <c r="O274" t="s">
        <v>36</v>
      </c>
    </row>
    <row r="275" spans="1:15" x14ac:dyDescent="0.2">
      <c r="A275">
        <v>273</v>
      </c>
      <c r="B275" t="s">
        <v>91</v>
      </c>
      <c r="C275" t="s">
        <v>97</v>
      </c>
      <c r="D275" s="1">
        <v>27575</v>
      </c>
      <c r="E275" s="1">
        <v>45452</v>
      </c>
      <c r="G275" t="s">
        <v>46</v>
      </c>
      <c r="H275" t="s">
        <v>66</v>
      </c>
      <c r="I275" t="s">
        <v>20</v>
      </c>
      <c r="J275" t="s">
        <v>468</v>
      </c>
      <c r="K275" t="s">
        <v>33</v>
      </c>
      <c r="M275" t="s">
        <v>78</v>
      </c>
      <c r="N275">
        <v>9</v>
      </c>
      <c r="O275" t="s">
        <v>36</v>
      </c>
    </row>
    <row r="276" spans="1:15" x14ac:dyDescent="0.2">
      <c r="A276" t="s">
        <v>469</v>
      </c>
      <c r="B276" t="s">
        <v>114</v>
      </c>
      <c r="C276" t="s">
        <v>97</v>
      </c>
      <c r="D276" s="1">
        <v>35935</v>
      </c>
      <c r="E276" s="1">
        <v>45443</v>
      </c>
      <c r="F276" s="1">
        <v>45454</v>
      </c>
      <c r="G276" t="s">
        <v>40</v>
      </c>
      <c r="H276" t="s">
        <v>75</v>
      </c>
      <c r="I276" t="s">
        <v>53</v>
      </c>
      <c r="J276" t="s">
        <v>470</v>
      </c>
      <c r="K276" t="s">
        <v>33</v>
      </c>
      <c r="M276" t="s">
        <v>24</v>
      </c>
      <c r="O276" t="s">
        <v>25</v>
      </c>
    </row>
    <row r="277" spans="1:15" x14ac:dyDescent="0.2">
      <c r="A277">
        <v>275</v>
      </c>
      <c r="B277" t="s">
        <v>45</v>
      </c>
      <c r="C277" t="s">
        <v>92</v>
      </c>
      <c r="D277" s="1">
        <v>31771</v>
      </c>
      <c r="E277" s="1">
        <v>45331</v>
      </c>
      <c r="G277" t="s">
        <v>40</v>
      </c>
      <c r="I277" t="s">
        <v>41</v>
      </c>
      <c r="J277" t="s">
        <v>471</v>
      </c>
      <c r="K277" t="s">
        <v>33</v>
      </c>
      <c r="M277" t="s">
        <v>24</v>
      </c>
      <c r="O277" t="s">
        <v>36</v>
      </c>
    </row>
    <row r="278" spans="1:15" x14ac:dyDescent="0.2">
      <c r="A278">
        <v>276</v>
      </c>
      <c r="B278" t="s">
        <v>45</v>
      </c>
      <c r="C278" t="s">
        <v>17</v>
      </c>
      <c r="D278" s="1">
        <v>32368</v>
      </c>
      <c r="E278" s="1">
        <v>45444</v>
      </c>
      <c r="F278" s="1">
        <v>45453</v>
      </c>
      <c r="G278" t="s">
        <v>50</v>
      </c>
      <c r="H278" t="s">
        <v>19</v>
      </c>
      <c r="I278" t="s">
        <v>57</v>
      </c>
      <c r="J278">
        <v>995</v>
      </c>
      <c r="K278" t="s">
        <v>22</v>
      </c>
      <c r="L278" t="s">
        <v>23</v>
      </c>
      <c r="M278" t="s">
        <v>24</v>
      </c>
      <c r="N278">
        <v>7</v>
      </c>
      <c r="O278" t="s">
        <v>36</v>
      </c>
    </row>
    <row r="279" spans="1:15" x14ac:dyDescent="0.2">
      <c r="A279" t="s">
        <v>472</v>
      </c>
      <c r="B279" t="s">
        <v>38</v>
      </c>
      <c r="C279" t="s">
        <v>17</v>
      </c>
      <c r="D279" s="1">
        <v>32099</v>
      </c>
      <c r="E279" s="1">
        <v>45424</v>
      </c>
      <c r="F279" s="1">
        <v>45436</v>
      </c>
      <c r="G279" t="s">
        <v>29</v>
      </c>
      <c r="H279" t="s">
        <v>52</v>
      </c>
      <c r="I279" t="s">
        <v>41</v>
      </c>
      <c r="J279" t="s">
        <v>473</v>
      </c>
      <c r="K279" t="s">
        <v>22</v>
      </c>
      <c r="M279" t="s">
        <v>35</v>
      </c>
      <c r="N279">
        <v>10</v>
      </c>
      <c r="O279" t="s">
        <v>36</v>
      </c>
    </row>
    <row r="280" spans="1:15" x14ac:dyDescent="0.2">
      <c r="A280">
        <v>278</v>
      </c>
      <c r="B280" t="s">
        <v>85</v>
      </c>
      <c r="C280" t="s">
        <v>28</v>
      </c>
      <c r="D280" s="1">
        <v>24417</v>
      </c>
      <c r="E280" s="1">
        <v>45296</v>
      </c>
      <c r="G280" t="s">
        <v>40</v>
      </c>
      <c r="H280" t="s">
        <v>66</v>
      </c>
      <c r="I280" t="s">
        <v>67</v>
      </c>
      <c r="J280" t="s">
        <v>474</v>
      </c>
      <c r="K280" t="s">
        <v>33</v>
      </c>
      <c r="L280" t="s">
        <v>23</v>
      </c>
      <c r="M280" t="s">
        <v>24</v>
      </c>
      <c r="N280">
        <v>1</v>
      </c>
      <c r="O280" t="s">
        <v>25</v>
      </c>
    </row>
    <row r="281" spans="1:15" x14ac:dyDescent="0.2">
      <c r="A281" t="s">
        <v>475</v>
      </c>
      <c r="B281" t="s">
        <v>87</v>
      </c>
      <c r="C281" t="s">
        <v>17</v>
      </c>
      <c r="D281" s="1">
        <v>34437</v>
      </c>
      <c r="E281" s="1">
        <v>45379</v>
      </c>
      <c r="F281" s="1">
        <v>45392</v>
      </c>
      <c r="G281" t="s">
        <v>83</v>
      </c>
      <c r="H281" t="s">
        <v>19</v>
      </c>
      <c r="I281" t="s">
        <v>53</v>
      </c>
      <c r="J281" t="s">
        <v>476</v>
      </c>
      <c r="K281" t="s">
        <v>48</v>
      </c>
      <c r="L281" t="s">
        <v>23</v>
      </c>
      <c r="M281" t="s">
        <v>35</v>
      </c>
      <c r="O281" t="s">
        <v>36</v>
      </c>
    </row>
    <row r="282" spans="1:15" x14ac:dyDescent="0.2">
      <c r="A282" t="s">
        <v>477</v>
      </c>
      <c r="B282" t="s">
        <v>27</v>
      </c>
      <c r="C282" t="s">
        <v>28</v>
      </c>
      <c r="D282" s="1">
        <v>24214</v>
      </c>
      <c r="E282" s="1">
        <v>45356</v>
      </c>
      <c r="F282" s="1">
        <v>45358</v>
      </c>
      <c r="G282" t="s">
        <v>29</v>
      </c>
      <c r="I282" t="s">
        <v>76</v>
      </c>
      <c r="J282" t="s">
        <v>478</v>
      </c>
      <c r="K282" t="s">
        <v>22</v>
      </c>
      <c r="M282" t="s">
        <v>24</v>
      </c>
      <c r="N282">
        <v>9</v>
      </c>
    </row>
    <row r="283" spans="1:15" x14ac:dyDescent="0.2">
      <c r="A283" t="s">
        <v>479</v>
      </c>
      <c r="B283" t="s">
        <v>56</v>
      </c>
      <c r="C283" t="s">
        <v>28</v>
      </c>
      <c r="D283" s="1">
        <v>28491</v>
      </c>
      <c r="E283" s="1">
        <v>45332</v>
      </c>
      <c r="F283" s="1">
        <v>45341</v>
      </c>
      <c r="G283" t="s">
        <v>60</v>
      </c>
      <c r="H283" t="s">
        <v>19</v>
      </c>
      <c r="I283" t="s">
        <v>53</v>
      </c>
      <c r="J283" t="s">
        <v>480</v>
      </c>
      <c r="K283" t="s">
        <v>33</v>
      </c>
      <c r="L283" t="s">
        <v>34</v>
      </c>
      <c r="M283" t="s">
        <v>24</v>
      </c>
      <c r="O283" t="s">
        <v>25</v>
      </c>
    </row>
    <row r="284" spans="1:15" x14ac:dyDescent="0.2">
      <c r="A284" t="s">
        <v>481</v>
      </c>
      <c r="B284" t="s">
        <v>82</v>
      </c>
      <c r="C284" t="s">
        <v>92</v>
      </c>
      <c r="D284" s="1">
        <v>18757</v>
      </c>
      <c r="E284" s="1">
        <v>45362</v>
      </c>
      <c r="F284" s="1">
        <v>45366</v>
      </c>
      <c r="G284" t="s">
        <v>88</v>
      </c>
      <c r="H284" t="s">
        <v>61</v>
      </c>
      <c r="I284" t="s">
        <v>41</v>
      </c>
      <c r="J284" t="s">
        <v>482</v>
      </c>
      <c r="K284" t="s">
        <v>33</v>
      </c>
      <c r="L284" t="s">
        <v>34</v>
      </c>
      <c r="M284" t="s">
        <v>35</v>
      </c>
      <c r="O284" t="s">
        <v>25</v>
      </c>
    </row>
    <row r="285" spans="1:15" x14ac:dyDescent="0.2">
      <c r="A285" t="s">
        <v>483</v>
      </c>
      <c r="B285" t="s">
        <v>85</v>
      </c>
      <c r="C285" t="s">
        <v>92</v>
      </c>
      <c r="D285" s="1">
        <v>38748</v>
      </c>
      <c r="E285" s="1">
        <v>45307</v>
      </c>
      <c r="F285" s="1">
        <v>45319</v>
      </c>
      <c r="G285" t="s">
        <v>46</v>
      </c>
      <c r="H285" t="s">
        <v>19</v>
      </c>
      <c r="I285" t="s">
        <v>67</v>
      </c>
      <c r="J285" t="s">
        <v>484</v>
      </c>
      <c r="K285" t="s">
        <v>71</v>
      </c>
      <c r="L285" t="s">
        <v>23</v>
      </c>
      <c r="M285" t="s">
        <v>35</v>
      </c>
      <c r="N285">
        <v>6</v>
      </c>
    </row>
    <row r="286" spans="1:15" x14ac:dyDescent="0.2">
      <c r="A286" t="s">
        <v>485</v>
      </c>
      <c r="B286" t="s">
        <v>38</v>
      </c>
      <c r="C286" t="s">
        <v>17</v>
      </c>
      <c r="D286" s="1">
        <v>34166</v>
      </c>
      <c r="E286" s="1">
        <v>45435</v>
      </c>
      <c r="F286" s="1">
        <v>45443</v>
      </c>
      <c r="G286" t="s">
        <v>18</v>
      </c>
      <c r="H286" t="s">
        <v>52</v>
      </c>
      <c r="I286" t="s">
        <v>57</v>
      </c>
      <c r="J286" t="s">
        <v>486</v>
      </c>
      <c r="K286" t="s">
        <v>71</v>
      </c>
      <c r="M286" t="s">
        <v>24</v>
      </c>
      <c r="N286">
        <v>9</v>
      </c>
      <c r="O286" t="s">
        <v>25</v>
      </c>
    </row>
    <row r="287" spans="1:15" x14ac:dyDescent="0.2">
      <c r="A287" t="s">
        <v>487</v>
      </c>
      <c r="B287" t="s">
        <v>105</v>
      </c>
      <c r="C287" t="s">
        <v>97</v>
      </c>
      <c r="D287" s="1">
        <v>32989</v>
      </c>
      <c r="E287" s="1">
        <v>45359</v>
      </c>
      <c r="F287" s="1">
        <v>45372</v>
      </c>
      <c r="G287" t="s">
        <v>46</v>
      </c>
      <c r="H287" t="s">
        <v>66</v>
      </c>
      <c r="I287" t="s">
        <v>57</v>
      </c>
      <c r="J287" t="s">
        <v>488</v>
      </c>
      <c r="K287" t="s">
        <v>33</v>
      </c>
      <c r="L287" t="s">
        <v>34</v>
      </c>
      <c r="M287" t="s">
        <v>24</v>
      </c>
      <c r="N287">
        <v>14</v>
      </c>
      <c r="O287" t="s">
        <v>36</v>
      </c>
    </row>
    <row r="288" spans="1:15" x14ac:dyDescent="0.2">
      <c r="A288" t="s">
        <v>489</v>
      </c>
      <c r="B288" t="s">
        <v>105</v>
      </c>
      <c r="C288" t="s">
        <v>49</v>
      </c>
      <c r="D288" s="1">
        <v>34567</v>
      </c>
      <c r="E288" s="1">
        <v>45448</v>
      </c>
      <c r="F288" s="1">
        <v>45459</v>
      </c>
      <c r="G288" t="s">
        <v>74</v>
      </c>
      <c r="H288" t="s">
        <v>66</v>
      </c>
      <c r="I288" t="s">
        <v>57</v>
      </c>
      <c r="J288" t="s">
        <v>490</v>
      </c>
      <c r="K288" t="s">
        <v>48</v>
      </c>
      <c r="L288" t="s">
        <v>23</v>
      </c>
      <c r="M288" t="s">
        <v>35</v>
      </c>
      <c r="N288">
        <v>4</v>
      </c>
      <c r="O288" t="s">
        <v>25</v>
      </c>
    </row>
    <row r="289" spans="1:15" x14ac:dyDescent="0.2">
      <c r="A289">
        <v>287</v>
      </c>
      <c r="B289" t="s">
        <v>51</v>
      </c>
      <c r="C289" t="s">
        <v>17</v>
      </c>
      <c r="D289" s="1">
        <v>19306</v>
      </c>
      <c r="E289" s="1">
        <v>45460</v>
      </c>
      <c r="F289" s="1">
        <v>45472</v>
      </c>
      <c r="G289" t="s">
        <v>88</v>
      </c>
      <c r="H289" t="s">
        <v>30</v>
      </c>
      <c r="I289" t="s">
        <v>67</v>
      </c>
      <c r="J289" t="s">
        <v>491</v>
      </c>
      <c r="K289" t="s">
        <v>48</v>
      </c>
      <c r="L289" t="s">
        <v>23</v>
      </c>
      <c r="M289" t="s">
        <v>24</v>
      </c>
      <c r="N289">
        <v>15</v>
      </c>
      <c r="O289" t="s">
        <v>25</v>
      </c>
    </row>
    <row r="290" spans="1:15" x14ac:dyDescent="0.2">
      <c r="A290">
        <v>288</v>
      </c>
      <c r="B290" t="s">
        <v>80</v>
      </c>
      <c r="C290" t="s">
        <v>92</v>
      </c>
      <c r="D290" s="1">
        <v>36549</v>
      </c>
      <c r="E290" s="1">
        <v>45386</v>
      </c>
      <c r="F290" s="1">
        <v>45391</v>
      </c>
      <c r="G290" t="s">
        <v>74</v>
      </c>
      <c r="I290" t="s">
        <v>31</v>
      </c>
      <c r="J290" t="s">
        <v>301</v>
      </c>
      <c r="K290" t="s">
        <v>43</v>
      </c>
      <c r="L290" t="s">
        <v>34</v>
      </c>
      <c r="M290" t="s">
        <v>35</v>
      </c>
      <c r="N290">
        <v>9</v>
      </c>
      <c r="O290" t="s">
        <v>36</v>
      </c>
    </row>
    <row r="291" spans="1:15" x14ac:dyDescent="0.2">
      <c r="A291" t="s">
        <v>492</v>
      </c>
      <c r="B291" t="s">
        <v>51</v>
      </c>
      <c r="C291" t="s">
        <v>65</v>
      </c>
      <c r="D291" s="1">
        <v>39788</v>
      </c>
      <c r="E291" s="1">
        <v>45437</v>
      </c>
      <c r="F291" s="1">
        <v>45446</v>
      </c>
      <c r="G291" t="s">
        <v>74</v>
      </c>
      <c r="I291" t="s">
        <v>53</v>
      </c>
      <c r="J291" t="s">
        <v>493</v>
      </c>
      <c r="K291" t="s">
        <v>71</v>
      </c>
      <c r="M291" t="s">
        <v>35</v>
      </c>
      <c r="O291" t="s">
        <v>25</v>
      </c>
    </row>
    <row r="292" spans="1:15" x14ac:dyDescent="0.2">
      <c r="A292" t="s">
        <v>494</v>
      </c>
      <c r="B292" t="s">
        <v>118</v>
      </c>
      <c r="C292" t="s">
        <v>65</v>
      </c>
      <c r="D292" s="1">
        <v>29323</v>
      </c>
      <c r="E292" s="1">
        <v>45428</v>
      </c>
      <c r="F292" s="1">
        <v>45443</v>
      </c>
      <c r="G292" t="s">
        <v>40</v>
      </c>
      <c r="H292" t="s">
        <v>30</v>
      </c>
      <c r="I292" t="s">
        <v>41</v>
      </c>
      <c r="J292">
        <v>861</v>
      </c>
      <c r="K292" t="s">
        <v>71</v>
      </c>
      <c r="M292" t="s">
        <v>24</v>
      </c>
    </row>
    <row r="293" spans="1:15" x14ac:dyDescent="0.2">
      <c r="A293" t="s">
        <v>495</v>
      </c>
      <c r="B293" t="s">
        <v>118</v>
      </c>
      <c r="C293" t="s">
        <v>39</v>
      </c>
      <c r="D293" s="1">
        <v>36294</v>
      </c>
      <c r="E293" s="1">
        <v>45384</v>
      </c>
      <c r="F293" s="1">
        <v>45391</v>
      </c>
      <c r="G293" t="s">
        <v>88</v>
      </c>
      <c r="H293" t="s">
        <v>30</v>
      </c>
      <c r="I293" t="s">
        <v>57</v>
      </c>
      <c r="J293" t="s">
        <v>496</v>
      </c>
      <c r="K293" t="s">
        <v>33</v>
      </c>
      <c r="L293" t="s">
        <v>34</v>
      </c>
      <c r="M293" t="s">
        <v>78</v>
      </c>
      <c r="N293">
        <v>4</v>
      </c>
      <c r="O293" t="s">
        <v>36</v>
      </c>
    </row>
    <row r="294" spans="1:15" x14ac:dyDescent="0.2">
      <c r="A294" t="s">
        <v>497</v>
      </c>
      <c r="B294" t="s">
        <v>38</v>
      </c>
      <c r="C294" t="s">
        <v>65</v>
      </c>
      <c r="D294" s="1">
        <v>35017</v>
      </c>
      <c r="E294" s="1">
        <v>45316</v>
      </c>
      <c r="F294" s="1">
        <v>45319</v>
      </c>
      <c r="G294" t="s">
        <v>60</v>
      </c>
      <c r="H294" t="s">
        <v>30</v>
      </c>
      <c r="I294" t="s">
        <v>57</v>
      </c>
      <c r="J294" t="s">
        <v>498</v>
      </c>
      <c r="K294" t="s">
        <v>33</v>
      </c>
      <c r="M294" t="s">
        <v>35</v>
      </c>
      <c r="N294">
        <v>10</v>
      </c>
      <c r="O294" t="s">
        <v>25</v>
      </c>
    </row>
    <row r="295" spans="1:15" x14ac:dyDescent="0.2">
      <c r="A295" t="s">
        <v>499</v>
      </c>
      <c r="B295" t="s">
        <v>150</v>
      </c>
      <c r="C295" t="s">
        <v>49</v>
      </c>
      <c r="D295" s="1">
        <v>28903</v>
      </c>
      <c r="E295" s="1">
        <v>45336</v>
      </c>
      <c r="F295" s="1">
        <v>45348</v>
      </c>
      <c r="G295" t="s">
        <v>18</v>
      </c>
      <c r="H295" t="s">
        <v>75</v>
      </c>
      <c r="I295" t="s">
        <v>31</v>
      </c>
      <c r="J295">
        <v>176</v>
      </c>
      <c r="K295" t="s">
        <v>48</v>
      </c>
      <c r="L295" t="s">
        <v>34</v>
      </c>
      <c r="M295" t="s">
        <v>78</v>
      </c>
      <c r="N295">
        <v>14</v>
      </c>
      <c r="O295" t="s">
        <v>36</v>
      </c>
    </row>
    <row r="296" spans="1:15" x14ac:dyDescent="0.2">
      <c r="A296">
        <v>294</v>
      </c>
      <c r="B296" t="s">
        <v>16</v>
      </c>
      <c r="C296" t="s">
        <v>39</v>
      </c>
      <c r="D296" s="1">
        <v>25693</v>
      </c>
      <c r="E296" s="1">
        <v>45454</v>
      </c>
      <c r="G296" t="s">
        <v>40</v>
      </c>
      <c r="H296" t="s">
        <v>66</v>
      </c>
      <c r="I296" t="s">
        <v>31</v>
      </c>
      <c r="J296" t="s">
        <v>500</v>
      </c>
      <c r="K296" t="s">
        <v>33</v>
      </c>
      <c r="L296" t="s">
        <v>23</v>
      </c>
      <c r="M296" t="s">
        <v>35</v>
      </c>
    </row>
    <row r="297" spans="1:15" x14ac:dyDescent="0.2">
      <c r="A297">
        <v>295</v>
      </c>
      <c r="B297" t="s">
        <v>114</v>
      </c>
      <c r="C297" t="s">
        <v>39</v>
      </c>
      <c r="D297" s="1">
        <v>37765</v>
      </c>
      <c r="E297" s="1">
        <v>45348</v>
      </c>
      <c r="F297" s="1">
        <v>45355</v>
      </c>
      <c r="G297" t="s">
        <v>46</v>
      </c>
      <c r="H297" t="s">
        <v>30</v>
      </c>
      <c r="I297" t="s">
        <v>20</v>
      </c>
      <c r="J297" t="s">
        <v>501</v>
      </c>
      <c r="K297" t="s">
        <v>43</v>
      </c>
      <c r="M297" t="s">
        <v>78</v>
      </c>
    </row>
    <row r="298" spans="1:15" x14ac:dyDescent="0.2">
      <c r="A298">
        <v>296</v>
      </c>
      <c r="B298" t="s">
        <v>87</v>
      </c>
      <c r="C298" t="s">
        <v>39</v>
      </c>
      <c r="D298" s="1">
        <v>22683</v>
      </c>
      <c r="E298" s="1">
        <v>45435</v>
      </c>
      <c r="F298" s="1">
        <v>45446</v>
      </c>
      <c r="G298" t="s">
        <v>40</v>
      </c>
      <c r="H298" t="s">
        <v>61</v>
      </c>
      <c r="I298" t="s">
        <v>53</v>
      </c>
      <c r="J298" t="s">
        <v>502</v>
      </c>
      <c r="K298" t="s">
        <v>22</v>
      </c>
      <c r="L298" t="s">
        <v>34</v>
      </c>
      <c r="M298" t="s">
        <v>78</v>
      </c>
      <c r="N298">
        <v>6</v>
      </c>
    </row>
    <row r="299" spans="1:15" x14ac:dyDescent="0.2">
      <c r="A299" t="s">
        <v>503</v>
      </c>
      <c r="B299" t="s">
        <v>150</v>
      </c>
      <c r="C299" t="s">
        <v>17</v>
      </c>
      <c r="D299" s="1">
        <v>31816</v>
      </c>
      <c r="E299" s="1">
        <v>45385</v>
      </c>
      <c r="F299" s="1">
        <v>45391</v>
      </c>
      <c r="G299" t="s">
        <v>60</v>
      </c>
      <c r="H299" t="s">
        <v>52</v>
      </c>
      <c r="I299" t="s">
        <v>31</v>
      </c>
      <c r="J299">
        <v>1362</v>
      </c>
      <c r="K299" t="s">
        <v>43</v>
      </c>
      <c r="L299" t="s">
        <v>23</v>
      </c>
      <c r="M299" t="s">
        <v>78</v>
      </c>
      <c r="O299" t="s">
        <v>25</v>
      </c>
    </row>
    <row r="300" spans="1:15" x14ac:dyDescent="0.2">
      <c r="A300" t="s">
        <v>504</v>
      </c>
      <c r="B300" t="s">
        <v>102</v>
      </c>
      <c r="C300" t="s">
        <v>97</v>
      </c>
      <c r="D300" s="1">
        <v>21075</v>
      </c>
      <c r="E300" s="1">
        <v>45305</v>
      </c>
      <c r="F300" s="1">
        <v>45320</v>
      </c>
      <c r="G300" t="s">
        <v>60</v>
      </c>
      <c r="H300" t="s">
        <v>66</v>
      </c>
      <c r="I300" t="s">
        <v>31</v>
      </c>
      <c r="J300" t="s">
        <v>505</v>
      </c>
      <c r="K300" t="s">
        <v>71</v>
      </c>
      <c r="M300" t="s">
        <v>35</v>
      </c>
      <c r="N300">
        <v>12</v>
      </c>
    </row>
    <row r="301" spans="1:15" x14ac:dyDescent="0.2">
      <c r="A301" t="s">
        <v>506</v>
      </c>
      <c r="B301" t="s">
        <v>51</v>
      </c>
      <c r="C301" t="s">
        <v>65</v>
      </c>
      <c r="D301" s="1">
        <v>35410</v>
      </c>
      <c r="E301" s="1">
        <v>45432</v>
      </c>
      <c r="F301" s="1">
        <v>45435</v>
      </c>
      <c r="G301" t="s">
        <v>29</v>
      </c>
      <c r="H301" t="s">
        <v>61</v>
      </c>
      <c r="I301" t="s">
        <v>53</v>
      </c>
      <c r="J301" t="s">
        <v>507</v>
      </c>
      <c r="K301" t="s">
        <v>33</v>
      </c>
      <c r="L301" t="s">
        <v>23</v>
      </c>
      <c r="M301" t="s">
        <v>35</v>
      </c>
    </row>
    <row r="302" spans="1:15" x14ac:dyDescent="0.2">
      <c r="A302" t="s">
        <v>508</v>
      </c>
      <c r="B302" t="s">
        <v>38</v>
      </c>
      <c r="C302" t="s">
        <v>17</v>
      </c>
      <c r="D302" s="1">
        <v>33499</v>
      </c>
      <c r="E302" s="1">
        <v>45309</v>
      </c>
      <c r="F302" s="1">
        <v>45320</v>
      </c>
      <c r="G302" t="s">
        <v>74</v>
      </c>
      <c r="H302" t="s">
        <v>66</v>
      </c>
      <c r="I302" t="s">
        <v>31</v>
      </c>
      <c r="J302">
        <v>1429</v>
      </c>
      <c r="K302" t="s">
        <v>22</v>
      </c>
      <c r="M302" t="s">
        <v>24</v>
      </c>
      <c r="N302">
        <v>2</v>
      </c>
      <c r="O302" t="s">
        <v>36</v>
      </c>
    </row>
    <row r="303" spans="1:15" x14ac:dyDescent="0.2">
      <c r="A303">
        <v>301</v>
      </c>
      <c r="B303" t="s">
        <v>85</v>
      </c>
      <c r="C303" t="s">
        <v>65</v>
      </c>
      <c r="D303" s="1">
        <v>21148</v>
      </c>
      <c r="E303" s="1">
        <v>45342</v>
      </c>
      <c r="F303" s="1">
        <v>45354</v>
      </c>
      <c r="G303" t="s">
        <v>88</v>
      </c>
      <c r="H303" t="s">
        <v>52</v>
      </c>
      <c r="I303" t="s">
        <v>57</v>
      </c>
      <c r="J303" t="s">
        <v>509</v>
      </c>
      <c r="K303" t="s">
        <v>71</v>
      </c>
      <c r="M303" t="s">
        <v>24</v>
      </c>
      <c r="O303" t="s">
        <v>36</v>
      </c>
    </row>
    <row r="304" spans="1:15" x14ac:dyDescent="0.2">
      <c r="A304" t="s">
        <v>510</v>
      </c>
      <c r="B304" t="s">
        <v>102</v>
      </c>
      <c r="C304" t="s">
        <v>92</v>
      </c>
      <c r="D304" s="1">
        <v>38751</v>
      </c>
      <c r="E304" s="1">
        <v>45352</v>
      </c>
      <c r="F304" s="1">
        <v>45363</v>
      </c>
      <c r="G304" t="s">
        <v>29</v>
      </c>
      <c r="I304" t="s">
        <v>20</v>
      </c>
      <c r="J304" t="s">
        <v>511</v>
      </c>
      <c r="K304" t="s">
        <v>22</v>
      </c>
      <c r="L304" t="s">
        <v>23</v>
      </c>
      <c r="M304" t="s">
        <v>78</v>
      </c>
      <c r="N304">
        <v>11</v>
      </c>
      <c r="O304" t="s">
        <v>25</v>
      </c>
    </row>
    <row r="305" spans="1:15" x14ac:dyDescent="0.2">
      <c r="A305" t="s">
        <v>512</v>
      </c>
      <c r="B305" t="s">
        <v>118</v>
      </c>
      <c r="C305" t="s">
        <v>65</v>
      </c>
      <c r="D305" s="1">
        <v>38332</v>
      </c>
      <c r="E305" s="1">
        <v>45398</v>
      </c>
      <c r="F305" s="1">
        <v>45405</v>
      </c>
      <c r="G305" t="s">
        <v>18</v>
      </c>
      <c r="H305" t="s">
        <v>30</v>
      </c>
      <c r="I305" t="s">
        <v>76</v>
      </c>
      <c r="J305" t="s">
        <v>513</v>
      </c>
      <c r="K305" t="s">
        <v>22</v>
      </c>
      <c r="L305" t="s">
        <v>23</v>
      </c>
      <c r="M305" t="s">
        <v>24</v>
      </c>
      <c r="N305">
        <v>13</v>
      </c>
      <c r="O305" t="s">
        <v>25</v>
      </c>
    </row>
    <row r="306" spans="1:15" x14ac:dyDescent="0.2">
      <c r="A306" t="s">
        <v>514</v>
      </c>
      <c r="B306" t="s">
        <v>45</v>
      </c>
      <c r="C306" t="s">
        <v>49</v>
      </c>
      <c r="D306" s="1">
        <v>35428</v>
      </c>
      <c r="E306" s="1">
        <v>45402</v>
      </c>
      <c r="F306" s="1">
        <v>45412</v>
      </c>
      <c r="G306" t="s">
        <v>83</v>
      </c>
      <c r="H306" t="s">
        <v>66</v>
      </c>
      <c r="I306" t="s">
        <v>57</v>
      </c>
      <c r="J306" t="s">
        <v>515</v>
      </c>
      <c r="K306" t="s">
        <v>22</v>
      </c>
      <c r="M306" t="s">
        <v>35</v>
      </c>
      <c r="N306">
        <v>13</v>
      </c>
      <c r="O306" t="s">
        <v>36</v>
      </c>
    </row>
    <row r="307" spans="1:15" x14ac:dyDescent="0.2">
      <c r="A307">
        <v>305</v>
      </c>
      <c r="B307" t="s">
        <v>82</v>
      </c>
      <c r="C307" t="s">
        <v>92</v>
      </c>
      <c r="D307" s="1">
        <v>32780</v>
      </c>
      <c r="E307" s="1">
        <v>45330</v>
      </c>
      <c r="G307" t="s">
        <v>46</v>
      </c>
      <c r="H307" t="s">
        <v>66</v>
      </c>
      <c r="I307" t="s">
        <v>41</v>
      </c>
      <c r="J307" t="s">
        <v>516</v>
      </c>
      <c r="K307" t="s">
        <v>43</v>
      </c>
      <c r="L307" t="s">
        <v>23</v>
      </c>
      <c r="M307" t="s">
        <v>24</v>
      </c>
    </row>
    <row r="308" spans="1:15" x14ac:dyDescent="0.2">
      <c r="A308" t="s">
        <v>517</v>
      </c>
      <c r="B308" t="s">
        <v>102</v>
      </c>
      <c r="C308" t="s">
        <v>17</v>
      </c>
      <c r="D308" s="1">
        <v>33881</v>
      </c>
      <c r="E308" s="1">
        <v>45420</v>
      </c>
      <c r="F308" s="1">
        <v>45426</v>
      </c>
      <c r="G308" t="s">
        <v>29</v>
      </c>
      <c r="H308" t="s">
        <v>19</v>
      </c>
      <c r="I308" t="s">
        <v>76</v>
      </c>
      <c r="J308" t="s">
        <v>518</v>
      </c>
      <c r="K308" t="s">
        <v>22</v>
      </c>
      <c r="L308" t="s">
        <v>23</v>
      </c>
      <c r="M308" t="s">
        <v>35</v>
      </c>
      <c r="N308">
        <v>1</v>
      </c>
      <c r="O308" t="s">
        <v>36</v>
      </c>
    </row>
    <row r="309" spans="1:15" x14ac:dyDescent="0.2">
      <c r="A309">
        <v>307</v>
      </c>
      <c r="B309" t="s">
        <v>91</v>
      </c>
      <c r="C309" t="s">
        <v>49</v>
      </c>
      <c r="D309" s="1">
        <v>24910</v>
      </c>
      <c r="E309" s="1">
        <v>45308</v>
      </c>
      <c r="F309" s="1">
        <v>45316</v>
      </c>
      <c r="G309" t="s">
        <v>83</v>
      </c>
      <c r="I309" t="s">
        <v>76</v>
      </c>
      <c r="J309">
        <v>605</v>
      </c>
      <c r="K309" t="s">
        <v>71</v>
      </c>
      <c r="L309" t="s">
        <v>34</v>
      </c>
      <c r="M309" t="s">
        <v>24</v>
      </c>
      <c r="N309">
        <v>7</v>
      </c>
    </row>
    <row r="310" spans="1:15" x14ac:dyDescent="0.2">
      <c r="A310">
        <v>308</v>
      </c>
      <c r="B310" t="s">
        <v>118</v>
      </c>
      <c r="C310" t="s">
        <v>65</v>
      </c>
      <c r="D310" s="1">
        <v>37005</v>
      </c>
      <c r="E310" s="1">
        <v>45425</v>
      </c>
      <c r="F310" s="1">
        <v>45439</v>
      </c>
      <c r="G310" t="s">
        <v>50</v>
      </c>
      <c r="H310" t="s">
        <v>61</v>
      </c>
      <c r="I310" t="s">
        <v>57</v>
      </c>
      <c r="J310" t="s">
        <v>519</v>
      </c>
      <c r="K310" t="s">
        <v>43</v>
      </c>
      <c r="M310" t="s">
        <v>24</v>
      </c>
      <c r="N310">
        <v>1</v>
      </c>
      <c r="O310" t="s">
        <v>25</v>
      </c>
    </row>
    <row r="311" spans="1:15" x14ac:dyDescent="0.2">
      <c r="A311">
        <v>309</v>
      </c>
      <c r="B311" t="s">
        <v>114</v>
      </c>
      <c r="C311" t="s">
        <v>28</v>
      </c>
      <c r="D311" s="1">
        <v>28243</v>
      </c>
      <c r="E311" s="1">
        <v>45410</v>
      </c>
      <c r="F311" s="1">
        <v>45420</v>
      </c>
      <c r="G311" t="s">
        <v>40</v>
      </c>
      <c r="H311" t="s">
        <v>52</v>
      </c>
      <c r="I311" t="s">
        <v>76</v>
      </c>
      <c r="J311">
        <v>1423</v>
      </c>
      <c r="K311" t="s">
        <v>48</v>
      </c>
      <c r="L311" t="s">
        <v>34</v>
      </c>
      <c r="M311" t="s">
        <v>35</v>
      </c>
      <c r="N311">
        <v>15</v>
      </c>
    </row>
    <row r="312" spans="1:15" x14ac:dyDescent="0.2">
      <c r="A312" t="s">
        <v>520</v>
      </c>
      <c r="B312" t="s">
        <v>87</v>
      </c>
      <c r="C312" t="s">
        <v>28</v>
      </c>
      <c r="D312" s="1">
        <v>31815</v>
      </c>
      <c r="E312" s="1">
        <v>45407</v>
      </c>
      <c r="F312" s="1">
        <v>45417</v>
      </c>
      <c r="G312" t="s">
        <v>100</v>
      </c>
      <c r="H312" t="s">
        <v>66</v>
      </c>
      <c r="I312" t="s">
        <v>31</v>
      </c>
      <c r="J312" t="s">
        <v>521</v>
      </c>
      <c r="K312" t="s">
        <v>48</v>
      </c>
      <c r="L312" t="s">
        <v>34</v>
      </c>
      <c r="M312" t="s">
        <v>35</v>
      </c>
      <c r="N312">
        <v>11</v>
      </c>
      <c r="O312" t="s">
        <v>36</v>
      </c>
    </row>
    <row r="313" spans="1:15" x14ac:dyDescent="0.2">
      <c r="A313" t="s">
        <v>522</v>
      </c>
      <c r="B313" t="s">
        <v>105</v>
      </c>
      <c r="C313" t="s">
        <v>49</v>
      </c>
      <c r="D313" s="1">
        <v>30849</v>
      </c>
      <c r="E313" s="1">
        <v>45388</v>
      </c>
      <c r="G313" t="s">
        <v>46</v>
      </c>
      <c r="H313" t="s">
        <v>30</v>
      </c>
      <c r="I313" t="s">
        <v>57</v>
      </c>
      <c r="J313" t="s">
        <v>523</v>
      </c>
      <c r="K313" t="s">
        <v>22</v>
      </c>
      <c r="L313" t="s">
        <v>23</v>
      </c>
      <c r="M313" t="s">
        <v>35</v>
      </c>
      <c r="N313">
        <v>1</v>
      </c>
      <c r="O313" t="s">
        <v>36</v>
      </c>
    </row>
    <row r="314" spans="1:15" x14ac:dyDescent="0.2">
      <c r="A314">
        <v>312</v>
      </c>
      <c r="B314" t="s">
        <v>45</v>
      </c>
      <c r="C314" t="s">
        <v>49</v>
      </c>
      <c r="D314" s="1">
        <v>32886</v>
      </c>
      <c r="E314" s="1">
        <v>45452</v>
      </c>
      <c r="G314" t="s">
        <v>46</v>
      </c>
      <c r="H314" t="s">
        <v>52</v>
      </c>
      <c r="I314" t="s">
        <v>20</v>
      </c>
      <c r="J314" t="s">
        <v>524</v>
      </c>
      <c r="K314" t="s">
        <v>48</v>
      </c>
      <c r="M314" t="s">
        <v>78</v>
      </c>
      <c r="N314">
        <v>9</v>
      </c>
      <c r="O314" t="s">
        <v>25</v>
      </c>
    </row>
    <row r="315" spans="1:15" x14ac:dyDescent="0.2">
      <c r="A315" t="s">
        <v>525</v>
      </c>
      <c r="B315" t="s">
        <v>56</v>
      </c>
      <c r="C315" t="s">
        <v>97</v>
      </c>
      <c r="D315" s="1">
        <v>25370</v>
      </c>
      <c r="E315" s="1">
        <v>45408</v>
      </c>
      <c r="F315" s="1">
        <v>45418</v>
      </c>
      <c r="G315" t="s">
        <v>50</v>
      </c>
      <c r="H315" t="s">
        <v>61</v>
      </c>
      <c r="I315" t="s">
        <v>31</v>
      </c>
      <c r="J315" t="s">
        <v>526</v>
      </c>
      <c r="K315" t="s">
        <v>48</v>
      </c>
      <c r="L315" t="s">
        <v>23</v>
      </c>
      <c r="M315" t="s">
        <v>35</v>
      </c>
      <c r="O315" t="s">
        <v>36</v>
      </c>
    </row>
    <row r="316" spans="1:15" x14ac:dyDescent="0.2">
      <c r="A316" t="s">
        <v>527</v>
      </c>
      <c r="B316" t="s">
        <v>87</v>
      </c>
      <c r="C316" t="s">
        <v>39</v>
      </c>
      <c r="D316" s="1">
        <v>19326</v>
      </c>
      <c r="E316" s="1">
        <v>45376</v>
      </c>
      <c r="G316" t="s">
        <v>29</v>
      </c>
      <c r="H316" t="s">
        <v>52</v>
      </c>
      <c r="I316" t="s">
        <v>67</v>
      </c>
      <c r="J316" t="s">
        <v>528</v>
      </c>
      <c r="K316" t="s">
        <v>43</v>
      </c>
      <c r="L316" t="s">
        <v>23</v>
      </c>
      <c r="M316" t="s">
        <v>78</v>
      </c>
      <c r="N316">
        <v>6</v>
      </c>
      <c r="O316" t="s">
        <v>25</v>
      </c>
    </row>
    <row r="317" spans="1:15" x14ac:dyDescent="0.2">
      <c r="A317" t="s">
        <v>529</v>
      </c>
      <c r="B317" t="s">
        <v>45</v>
      </c>
      <c r="C317" t="s">
        <v>92</v>
      </c>
      <c r="D317" s="1">
        <v>30341</v>
      </c>
      <c r="E317" s="1">
        <v>45309</v>
      </c>
      <c r="F317" s="1">
        <v>45311</v>
      </c>
      <c r="G317" t="s">
        <v>100</v>
      </c>
      <c r="H317" t="s">
        <v>52</v>
      </c>
      <c r="I317" t="s">
        <v>20</v>
      </c>
      <c r="J317" t="s">
        <v>530</v>
      </c>
      <c r="K317" t="s">
        <v>43</v>
      </c>
      <c r="M317" t="s">
        <v>24</v>
      </c>
      <c r="O317" t="s">
        <v>25</v>
      </c>
    </row>
    <row r="318" spans="1:15" x14ac:dyDescent="0.2">
      <c r="A318" t="s">
        <v>531</v>
      </c>
      <c r="B318" t="s">
        <v>80</v>
      </c>
      <c r="C318" t="s">
        <v>17</v>
      </c>
      <c r="D318" s="1">
        <v>36986</v>
      </c>
      <c r="E318" s="1">
        <v>45415</v>
      </c>
      <c r="F318" s="1">
        <v>45429</v>
      </c>
      <c r="G318" t="s">
        <v>60</v>
      </c>
      <c r="H318" t="s">
        <v>61</v>
      </c>
      <c r="I318" t="s">
        <v>57</v>
      </c>
      <c r="J318" t="s">
        <v>532</v>
      </c>
      <c r="K318" t="s">
        <v>22</v>
      </c>
      <c r="M318" t="s">
        <v>24</v>
      </c>
      <c r="N318">
        <v>8</v>
      </c>
      <c r="O318" t="s">
        <v>36</v>
      </c>
    </row>
    <row r="319" spans="1:15" x14ac:dyDescent="0.2">
      <c r="A319" t="s">
        <v>533</v>
      </c>
      <c r="B319" t="s">
        <v>85</v>
      </c>
      <c r="C319" t="s">
        <v>97</v>
      </c>
      <c r="D319" s="1">
        <v>27782</v>
      </c>
      <c r="E319" s="1">
        <v>45292</v>
      </c>
      <c r="G319" t="s">
        <v>72</v>
      </c>
      <c r="I319" t="s">
        <v>20</v>
      </c>
      <c r="J319">
        <v>524</v>
      </c>
      <c r="K319" t="s">
        <v>71</v>
      </c>
      <c r="L319" t="s">
        <v>34</v>
      </c>
      <c r="M319" t="s">
        <v>78</v>
      </c>
      <c r="N319">
        <v>13</v>
      </c>
    </row>
    <row r="320" spans="1:15" x14ac:dyDescent="0.2">
      <c r="A320" t="s">
        <v>534</v>
      </c>
      <c r="B320" t="s">
        <v>64</v>
      </c>
      <c r="C320" t="s">
        <v>49</v>
      </c>
      <c r="D320" s="1">
        <v>24856</v>
      </c>
      <c r="E320" s="1">
        <v>45357</v>
      </c>
      <c r="F320" s="1">
        <v>45366</v>
      </c>
      <c r="G320" t="s">
        <v>88</v>
      </c>
      <c r="H320" t="s">
        <v>66</v>
      </c>
      <c r="I320" t="s">
        <v>53</v>
      </c>
      <c r="J320" t="s">
        <v>535</v>
      </c>
      <c r="K320" t="s">
        <v>71</v>
      </c>
      <c r="L320" t="s">
        <v>34</v>
      </c>
      <c r="M320" t="s">
        <v>35</v>
      </c>
      <c r="O320" t="s">
        <v>36</v>
      </c>
    </row>
    <row r="321" spans="1:15" x14ac:dyDescent="0.2">
      <c r="A321" t="s">
        <v>536</v>
      </c>
      <c r="B321" t="s">
        <v>56</v>
      </c>
      <c r="C321" t="s">
        <v>28</v>
      </c>
      <c r="D321" s="1">
        <v>19429</v>
      </c>
      <c r="E321" s="1">
        <v>45415</v>
      </c>
      <c r="F321" s="1">
        <v>45430</v>
      </c>
      <c r="G321" t="s">
        <v>100</v>
      </c>
      <c r="I321" t="s">
        <v>41</v>
      </c>
      <c r="J321" t="s">
        <v>537</v>
      </c>
      <c r="K321" t="s">
        <v>43</v>
      </c>
      <c r="M321" t="s">
        <v>24</v>
      </c>
      <c r="N321">
        <v>6</v>
      </c>
    </row>
    <row r="322" spans="1:15" x14ac:dyDescent="0.2">
      <c r="A322" t="s">
        <v>538</v>
      </c>
      <c r="B322" t="s">
        <v>64</v>
      </c>
      <c r="C322" t="s">
        <v>97</v>
      </c>
      <c r="D322" s="1">
        <v>37184</v>
      </c>
      <c r="E322" s="1">
        <v>45382</v>
      </c>
      <c r="F322" s="1">
        <v>45387</v>
      </c>
      <c r="G322" t="s">
        <v>83</v>
      </c>
      <c r="H322" t="s">
        <v>19</v>
      </c>
      <c r="I322" t="s">
        <v>53</v>
      </c>
      <c r="J322" t="s">
        <v>539</v>
      </c>
      <c r="K322" t="s">
        <v>43</v>
      </c>
      <c r="M322" t="s">
        <v>35</v>
      </c>
      <c r="N322">
        <v>14</v>
      </c>
      <c r="O322" t="s">
        <v>36</v>
      </c>
    </row>
    <row r="323" spans="1:15" x14ac:dyDescent="0.2">
      <c r="A323" t="s">
        <v>540</v>
      </c>
      <c r="B323" t="s">
        <v>59</v>
      </c>
      <c r="C323" t="s">
        <v>49</v>
      </c>
      <c r="D323" s="1">
        <v>19300</v>
      </c>
      <c r="E323" s="1">
        <v>45397</v>
      </c>
      <c r="F323" s="1">
        <v>45401</v>
      </c>
      <c r="G323" t="s">
        <v>100</v>
      </c>
      <c r="I323" t="s">
        <v>31</v>
      </c>
      <c r="J323" t="s">
        <v>541</v>
      </c>
      <c r="K323" t="s">
        <v>22</v>
      </c>
      <c r="L323" t="s">
        <v>34</v>
      </c>
      <c r="M323" t="s">
        <v>78</v>
      </c>
      <c r="N323">
        <v>13</v>
      </c>
      <c r="O323" t="s">
        <v>25</v>
      </c>
    </row>
    <row r="324" spans="1:15" x14ac:dyDescent="0.2">
      <c r="A324" t="s">
        <v>542</v>
      </c>
      <c r="B324" t="s">
        <v>114</v>
      </c>
      <c r="C324" t="s">
        <v>65</v>
      </c>
      <c r="D324" s="1">
        <v>19081</v>
      </c>
      <c r="E324" s="1">
        <v>45420</v>
      </c>
      <c r="F324" s="1">
        <v>45435</v>
      </c>
      <c r="G324" t="s">
        <v>40</v>
      </c>
      <c r="H324" t="s">
        <v>30</v>
      </c>
      <c r="I324" t="s">
        <v>41</v>
      </c>
      <c r="J324" t="s">
        <v>543</v>
      </c>
      <c r="K324" t="s">
        <v>48</v>
      </c>
      <c r="L324" t="s">
        <v>23</v>
      </c>
      <c r="M324" t="s">
        <v>35</v>
      </c>
      <c r="N324">
        <v>8</v>
      </c>
      <c r="O324" t="s">
        <v>36</v>
      </c>
    </row>
    <row r="325" spans="1:15" x14ac:dyDescent="0.2">
      <c r="A325" t="s">
        <v>544</v>
      </c>
      <c r="B325" t="s">
        <v>105</v>
      </c>
      <c r="C325" t="s">
        <v>17</v>
      </c>
      <c r="D325" s="1">
        <v>18398</v>
      </c>
      <c r="E325" s="1">
        <v>45303</v>
      </c>
      <c r="F325" s="1">
        <v>45318</v>
      </c>
      <c r="G325" t="s">
        <v>74</v>
      </c>
      <c r="H325" t="s">
        <v>61</v>
      </c>
      <c r="I325" t="s">
        <v>41</v>
      </c>
      <c r="J325" t="s">
        <v>545</v>
      </c>
      <c r="K325" t="s">
        <v>48</v>
      </c>
      <c r="M325" t="s">
        <v>24</v>
      </c>
      <c r="N325">
        <v>6</v>
      </c>
      <c r="O325" t="s">
        <v>25</v>
      </c>
    </row>
    <row r="326" spans="1:15" x14ac:dyDescent="0.2">
      <c r="A326" t="s">
        <v>546</v>
      </c>
      <c r="B326" t="s">
        <v>45</v>
      </c>
      <c r="C326" t="s">
        <v>92</v>
      </c>
      <c r="D326" s="1">
        <v>35705</v>
      </c>
      <c r="E326" s="1">
        <v>45404</v>
      </c>
      <c r="F326" s="1">
        <v>45407</v>
      </c>
      <c r="G326" t="s">
        <v>74</v>
      </c>
      <c r="H326" t="s">
        <v>66</v>
      </c>
      <c r="I326" t="s">
        <v>57</v>
      </c>
      <c r="J326" t="s">
        <v>547</v>
      </c>
      <c r="K326" t="s">
        <v>22</v>
      </c>
      <c r="M326" t="s">
        <v>24</v>
      </c>
      <c r="N326">
        <v>3</v>
      </c>
    </row>
    <row r="327" spans="1:15" x14ac:dyDescent="0.2">
      <c r="A327">
        <v>325</v>
      </c>
      <c r="B327" t="s">
        <v>119</v>
      </c>
      <c r="C327" t="s">
        <v>97</v>
      </c>
      <c r="D327" s="1">
        <v>23876</v>
      </c>
      <c r="E327" s="1">
        <v>45371</v>
      </c>
      <c r="F327" s="1">
        <v>45372</v>
      </c>
      <c r="G327" t="s">
        <v>88</v>
      </c>
      <c r="H327" t="s">
        <v>19</v>
      </c>
      <c r="I327" t="s">
        <v>53</v>
      </c>
      <c r="J327" t="s">
        <v>548</v>
      </c>
      <c r="K327" t="s">
        <v>71</v>
      </c>
      <c r="L327" t="s">
        <v>34</v>
      </c>
      <c r="M327" t="s">
        <v>35</v>
      </c>
      <c r="N327">
        <v>3</v>
      </c>
    </row>
    <row r="328" spans="1:15" x14ac:dyDescent="0.2">
      <c r="A328" t="s">
        <v>549</v>
      </c>
      <c r="B328" t="s">
        <v>119</v>
      </c>
      <c r="C328" t="s">
        <v>49</v>
      </c>
      <c r="D328" s="1">
        <v>32873</v>
      </c>
      <c r="E328" s="1">
        <v>45371</v>
      </c>
      <c r="F328" s="1">
        <v>45383</v>
      </c>
      <c r="G328" t="s">
        <v>100</v>
      </c>
      <c r="H328" t="s">
        <v>61</v>
      </c>
      <c r="I328" t="s">
        <v>67</v>
      </c>
      <c r="J328">
        <v>290</v>
      </c>
      <c r="K328" t="s">
        <v>48</v>
      </c>
      <c r="M328" t="s">
        <v>78</v>
      </c>
      <c r="N328">
        <v>12</v>
      </c>
      <c r="O328" t="s">
        <v>36</v>
      </c>
    </row>
    <row r="329" spans="1:15" x14ac:dyDescent="0.2">
      <c r="A329">
        <v>327</v>
      </c>
      <c r="B329" t="s">
        <v>91</v>
      </c>
      <c r="C329" t="s">
        <v>97</v>
      </c>
      <c r="D329" s="1">
        <v>22973</v>
      </c>
      <c r="E329" s="1">
        <v>45385</v>
      </c>
      <c r="F329" s="1">
        <v>45400</v>
      </c>
      <c r="G329" t="s">
        <v>83</v>
      </c>
      <c r="H329" t="s">
        <v>19</v>
      </c>
      <c r="I329" t="s">
        <v>76</v>
      </c>
      <c r="J329" t="s">
        <v>21</v>
      </c>
      <c r="K329" t="s">
        <v>71</v>
      </c>
      <c r="L329" t="s">
        <v>34</v>
      </c>
      <c r="M329" t="s">
        <v>78</v>
      </c>
      <c r="N329">
        <v>14</v>
      </c>
      <c r="O329" t="s">
        <v>25</v>
      </c>
    </row>
    <row r="330" spans="1:15" x14ac:dyDescent="0.2">
      <c r="A330">
        <v>328</v>
      </c>
      <c r="B330" t="s">
        <v>102</v>
      </c>
      <c r="C330" t="s">
        <v>65</v>
      </c>
      <c r="D330" s="1">
        <v>37095</v>
      </c>
      <c r="E330" s="1">
        <v>45422</v>
      </c>
      <c r="F330" s="1">
        <v>45434</v>
      </c>
      <c r="G330" t="s">
        <v>83</v>
      </c>
      <c r="H330" t="s">
        <v>61</v>
      </c>
      <c r="I330" t="s">
        <v>53</v>
      </c>
      <c r="J330" t="s">
        <v>550</v>
      </c>
      <c r="K330" t="s">
        <v>43</v>
      </c>
      <c r="M330" t="s">
        <v>78</v>
      </c>
      <c r="N330">
        <v>4</v>
      </c>
    </row>
    <row r="331" spans="1:15" x14ac:dyDescent="0.2">
      <c r="A331" t="s">
        <v>551</v>
      </c>
      <c r="B331" t="s">
        <v>27</v>
      </c>
      <c r="C331" t="s">
        <v>97</v>
      </c>
      <c r="D331" s="1">
        <v>34070</v>
      </c>
      <c r="E331" s="1">
        <v>45308</v>
      </c>
      <c r="F331" s="1">
        <v>45320</v>
      </c>
      <c r="G331" t="s">
        <v>29</v>
      </c>
      <c r="H331" t="s">
        <v>61</v>
      </c>
      <c r="I331" t="s">
        <v>41</v>
      </c>
      <c r="J331" t="s">
        <v>552</v>
      </c>
      <c r="K331" t="s">
        <v>22</v>
      </c>
      <c r="L331" t="s">
        <v>34</v>
      </c>
      <c r="M331" t="s">
        <v>24</v>
      </c>
      <c r="N331">
        <v>10</v>
      </c>
      <c r="O331" t="s">
        <v>36</v>
      </c>
    </row>
    <row r="332" spans="1:15" x14ac:dyDescent="0.2">
      <c r="A332" t="s">
        <v>553</v>
      </c>
      <c r="B332" t="s">
        <v>119</v>
      </c>
      <c r="C332" t="s">
        <v>65</v>
      </c>
      <c r="D332" s="1">
        <v>33432</v>
      </c>
      <c r="E332" s="1">
        <v>45434</v>
      </c>
      <c r="F332" s="1">
        <v>45437</v>
      </c>
      <c r="G332" t="s">
        <v>29</v>
      </c>
      <c r="H332" t="s">
        <v>66</v>
      </c>
      <c r="I332" t="s">
        <v>57</v>
      </c>
      <c r="J332">
        <v>322</v>
      </c>
      <c r="K332" t="s">
        <v>33</v>
      </c>
      <c r="M332" t="s">
        <v>24</v>
      </c>
      <c r="N332">
        <v>2</v>
      </c>
      <c r="O332" t="s">
        <v>25</v>
      </c>
    </row>
    <row r="333" spans="1:15" x14ac:dyDescent="0.2">
      <c r="A333" t="s">
        <v>554</v>
      </c>
      <c r="B333" t="s">
        <v>119</v>
      </c>
      <c r="C333" t="s">
        <v>39</v>
      </c>
      <c r="D333" s="1">
        <v>39108</v>
      </c>
      <c r="E333" s="1">
        <v>45329</v>
      </c>
      <c r="F333" s="1">
        <v>45334</v>
      </c>
      <c r="G333" t="s">
        <v>18</v>
      </c>
      <c r="H333" t="s">
        <v>61</v>
      </c>
      <c r="I333" t="s">
        <v>76</v>
      </c>
      <c r="J333" t="s">
        <v>555</v>
      </c>
      <c r="K333" t="s">
        <v>33</v>
      </c>
      <c r="M333" t="s">
        <v>24</v>
      </c>
      <c r="N333">
        <v>11</v>
      </c>
      <c r="O333" t="s">
        <v>36</v>
      </c>
    </row>
    <row r="334" spans="1:15" x14ac:dyDescent="0.2">
      <c r="A334">
        <v>332</v>
      </c>
      <c r="B334" t="s">
        <v>102</v>
      </c>
      <c r="C334" t="s">
        <v>17</v>
      </c>
      <c r="D334" s="1">
        <v>37358</v>
      </c>
      <c r="E334" s="1">
        <v>45448</v>
      </c>
      <c r="F334" s="1">
        <v>45462</v>
      </c>
      <c r="G334" t="s">
        <v>88</v>
      </c>
      <c r="H334" t="s">
        <v>30</v>
      </c>
      <c r="I334" t="s">
        <v>57</v>
      </c>
      <c r="J334" t="s">
        <v>556</v>
      </c>
      <c r="K334" t="s">
        <v>43</v>
      </c>
      <c r="M334" t="s">
        <v>35</v>
      </c>
      <c r="N334">
        <v>14</v>
      </c>
      <c r="O334" t="s">
        <v>25</v>
      </c>
    </row>
    <row r="335" spans="1:15" x14ac:dyDescent="0.2">
      <c r="A335" t="s">
        <v>557</v>
      </c>
      <c r="B335" t="s">
        <v>82</v>
      </c>
      <c r="C335" t="s">
        <v>49</v>
      </c>
      <c r="D335" s="1">
        <v>37602</v>
      </c>
      <c r="E335" s="1">
        <v>45452</v>
      </c>
      <c r="F335" s="1">
        <v>45459</v>
      </c>
      <c r="G335" t="s">
        <v>29</v>
      </c>
      <c r="H335" t="s">
        <v>61</v>
      </c>
      <c r="I335" t="s">
        <v>67</v>
      </c>
      <c r="J335" t="s">
        <v>558</v>
      </c>
      <c r="K335" t="s">
        <v>71</v>
      </c>
      <c r="L335" t="s">
        <v>23</v>
      </c>
      <c r="M335" t="s">
        <v>35</v>
      </c>
      <c r="N335">
        <v>14</v>
      </c>
      <c r="O335" t="s">
        <v>36</v>
      </c>
    </row>
    <row r="336" spans="1:15" x14ac:dyDescent="0.2">
      <c r="A336">
        <v>334</v>
      </c>
      <c r="B336" t="s">
        <v>87</v>
      </c>
      <c r="C336" t="s">
        <v>92</v>
      </c>
      <c r="D336" s="1">
        <v>22377</v>
      </c>
      <c r="E336" s="1">
        <v>45294</v>
      </c>
      <c r="F336" s="1">
        <v>45297</v>
      </c>
      <c r="G336" t="s">
        <v>72</v>
      </c>
      <c r="H336" t="s">
        <v>19</v>
      </c>
      <c r="I336" t="s">
        <v>67</v>
      </c>
      <c r="J336" t="s">
        <v>559</v>
      </c>
      <c r="K336" t="s">
        <v>71</v>
      </c>
      <c r="M336" t="s">
        <v>24</v>
      </c>
      <c r="N336">
        <v>7</v>
      </c>
    </row>
    <row r="337" spans="1:15" x14ac:dyDescent="0.2">
      <c r="A337" t="s">
        <v>560</v>
      </c>
      <c r="B337" t="s">
        <v>114</v>
      </c>
      <c r="C337" t="s">
        <v>65</v>
      </c>
      <c r="D337" s="1">
        <v>32161</v>
      </c>
      <c r="E337" s="1">
        <v>45390</v>
      </c>
      <c r="F337" s="1">
        <v>45397</v>
      </c>
      <c r="G337" t="s">
        <v>18</v>
      </c>
      <c r="H337" t="s">
        <v>19</v>
      </c>
      <c r="I337" t="s">
        <v>41</v>
      </c>
      <c r="J337" t="s">
        <v>561</v>
      </c>
      <c r="K337" t="s">
        <v>71</v>
      </c>
      <c r="M337" t="s">
        <v>35</v>
      </c>
      <c r="N337">
        <v>10</v>
      </c>
      <c r="O337" t="s">
        <v>36</v>
      </c>
    </row>
    <row r="338" spans="1:15" x14ac:dyDescent="0.2">
      <c r="A338" t="s">
        <v>562</v>
      </c>
      <c r="B338" t="s">
        <v>102</v>
      </c>
      <c r="C338" t="s">
        <v>17</v>
      </c>
      <c r="D338" s="1">
        <v>37278</v>
      </c>
      <c r="E338" s="1">
        <v>45468</v>
      </c>
      <c r="G338" t="s">
        <v>40</v>
      </c>
      <c r="I338" t="s">
        <v>41</v>
      </c>
      <c r="J338">
        <v>672</v>
      </c>
      <c r="K338" t="s">
        <v>43</v>
      </c>
      <c r="L338" t="s">
        <v>34</v>
      </c>
      <c r="M338" t="s">
        <v>24</v>
      </c>
      <c r="N338">
        <v>2</v>
      </c>
      <c r="O338" t="s">
        <v>25</v>
      </c>
    </row>
    <row r="339" spans="1:15" x14ac:dyDescent="0.2">
      <c r="A339">
        <v>337</v>
      </c>
      <c r="B339" t="s">
        <v>150</v>
      </c>
      <c r="C339" t="s">
        <v>49</v>
      </c>
      <c r="D339" s="1">
        <v>39028</v>
      </c>
      <c r="E339" s="1">
        <v>45448</v>
      </c>
      <c r="F339" s="1">
        <v>45457</v>
      </c>
      <c r="G339" t="s">
        <v>100</v>
      </c>
      <c r="H339" t="s">
        <v>19</v>
      </c>
      <c r="I339" t="s">
        <v>57</v>
      </c>
      <c r="J339" t="s">
        <v>563</v>
      </c>
      <c r="K339" t="s">
        <v>71</v>
      </c>
      <c r="M339" t="s">
        <v>78</v>
      </c>
      <c r="O339" t="s">
        <v>25</v>
      </c>
    </row>
    <row r="340" spans="1:15" x14ac:dyDescent="0.2">
      <c r="A340" t="s">
        <v>564</v>
      </c>
      <c r="B340" t="s">
        <v>85</v>
      </c>
      <c r="C340" t="s">
        <v>49</v>
      </c>
      <c r="D340" s="1">
        <v>28227</v>
      </c>
      <c r="E340" s="1">
        <v>45307</v>
      </c>
      <c r="F340" s="1">
        <v>45317</v>
      </c>
      <c r="G340" t="s">
        <v>72</v>
      </c>
      <c r="H340" t="s">
        <v>30</v>
      </c>
      <c r="I340" t="s">
        <v>41</v>
      </c>
      <c r="J340" t="s">
        <v>565</v>
      </c>
      <c r="K340" t="s">
        <v>33</v>
      </c>
      <c r="M340" t="s">
        <v>35</v>
      </c>
      <c r="O340" t="s">
        <v>25</v>
      </c>
    </row>
    <row r="341" spans="1:15" x14ac:dyDescent="0.2">
      <c r="A341">
        <v>339</v>
      </c>
      <c r="B341" t="s">
        <v>38</v>
      </c>
      <c r="C341" t="s">
        <v>97</v>
      </c>
      <c r="D341" s="1">
        <v>38442</v>
      </c>
      <c r="E341" s="1">
        <v>45362</v>
      </c>
      <c r="G341" t="s">
        <v>74</v>
      </c>
      <c r="H341" t="s">
        <v>61</v>
      </c>
      <c r="I341" t="s">
        <v>67</v>
      </c>
      <c r="J341" t="s">
        <v>566</v>
      </c>
      <c r="K341" t="s">
        <v>71</v>
      </c>
      <c r="M341" t="s">
        <v>35</v>
      </c>
    </row>
    <row r="342" spans="1:15" x14ac:dyDescent="0.2">
      <c r="A342" t="s">
        <v>567</v>
      </c>
      <c r="B342" t="s">
        <v>56</v>
      </c>
      <c r="C342" t="s">
        <v>97</v>
      </c>
      <c r="D342" s="1">
        <v>35545</v>
      </c>
      <c r="E342" s="1">
        <v>45379</v>
      </c>
      <c r="F342" s="1">
        <v>45389</v>
      </c>
      <c r="G342" t="s">
        <v>100</v>
      </c>
      <c r="I342" t="s">
        <v>76</v>
      </c>
      <c r="J342" t="s">
        <v>568</v>
      </c>
      <c r="K342" t="s">
        <v>71</v>
      </c>
      <c r="L342" t="s">
        <v>23</v>
      </c>
      <c r="M342" t="s">
        <v>35</v>
      </c>
      <c r="N342">
        <v>14</v>
      </c>
      <c r="O342" t="s">
        <v>36</v>
      </c>
    </row>
    <row r="343" spans="1:15" x14ac:dyDescent="0.2">
      <c r="A343" t="s">
        <v>569</v>
      </c>
      <c r="B343" t="s">
        <v>38</v>
      </c>
      <c r="C343" t="s">
        <v>39</v>
      </c>
      <c r="D343" s="1">
        <v>22064</v>
      </c>
      <c r="E343" s="1">
        <v>45334</v>
      </c>
      <c r="F343" s="1">
        <v>45339</v>
      </c>
      <c r="G343" t="s">
        <v>40</v>
      </c>
      <c r="H343" t="s">
        <v>52</v>
      </c>
      <c r="I343" t="s">
        <v>76</v>
      </c>
      <c r="J343">
        <v>1499</v>
      </c>
      <c r="K343" t="s">
        <v>71</v>
      </c>
      <c r="M343" t="s">
        <v>35</v>
      </c>
      <c r="N343">
        <v>7</v>
      </c>
      <c r="O343" t="s">
        <v>25</v>
      </c>
    </row>
    <row r="344" spans="1:15" x14ac:dyDescent="0.2">
      <c r="A344">
        <v>342</v>
      </c>
      <c r="B344" t="s">
        <v>114</v>
      </c>
      <c r="C344" t="s">
        <v>28</v>
      </c>
      <c r="D344" s="1">
        <v>28608</v>
      </c>
      <c r="E344" s="1">
        <v>45316</v>
      </c>
      <c r="F344" s="1">
        <v>45323</v>
      </c>
      <c r="G344" t="s">
        <v>83</v>
      </c>
      <c r="H344" t="s">
        <v>30</v>
      </c>
      <c r="I344" t="s">
        <v>31</v>
      </c>
      <c r="J344" t="s">
        <v>570</v>
      </c>
      <c r="K344" t="s">
        <v>43</v>
      </c>
      <c r="M344" t="s">
        <v>78</v>
      </c>
      <c r="N344">
        <v>12</v>
      </c>
      <c r="O344" t="s">
        <v>25</v>
      </c>
    </row>
    <row r="345" spans="1:15" x14ac:dyDescent="0.2">
      <c r="A345" t="s">
        <v>571</v>
      </c>
      <c r="B345" t="s">
        <v>119</v>
      </c>
      <c r="C345" t="s">
        <v>39</v>
      </c>
      <c r="D345" s="1">
        <v>24651</v>
      </c>
      <c r="E345" s="1">
        <v>45465</v>
      </c>
      <c r="F345" s="1">
        <v>45466</v>
      </c>
      <c r="G345" t="s">
        <v>74</v>
      </c>
      <c r="H345" t="s">
        <v>66</v>
      </c>
      <c r="I345" t="s">
        <v>76</v>
      </c>
      <c r="J345" t="s">
        <v>572</v>
      </c>
      <c r="K345" t="s">
        <v>71</v>
      </c>
      <c r="M345" t="s">
        <v>35</v>
      </c>
      <c r="N345">
        <v>5</v>
      </c>
      <c r="O345" t="s">
        <v>25</v>
      </c>
    </row>
    <row r="346" spans="1:15" x14ac:dyDescent="0.2">
      <c r="A346" t="s">
        <v>573</v>
      </c>
      <c r="B346" t="s">
        <v>64</v>
      </c>
      <c r="C346" t="s">
        <v>65</v>
      </c>
      <c r="D346" s="1">
        <v>21276</v>
      </c>
      <c r="E346" s="1">
        <v>45444</v>
      </c>
      <c r="F346" s="1">
        <v>45455</v>
      </c>
      <c r="G346" t="s">
        <v>74</v>
      </c>
      <c r="H346" t="s">
        <v>66</v>
      </c>
      <c r="I346" t="s">
        <v>41</v>
      </c>
      <c r="J346" t="s">
        <v>574</v>
      </c>
      <c r="K346" t="s">
        <v>71</v>
      </c>
      <c r="L346" t="s">
        <v>23</v>
      </c>
      <c r="M346" t="s">
        <v>35</v>
      </c>
      <c r="N346">
        <v>5</v>
      </c>
      <c r="O346" t="s">
        <v>36</v>
      </c>
    </row>
    <row r="347" spans="1:15" x14ac:dyDescent="0.2">
      <c r="A347">
        <v>345</v>
      </c>
      <c r="B347" t="s">
        <v>150</v>
      </c>
      <c r="C347" t="s">
        <v>49</v>
      </c>
      <c r="D347" s="1">
        <v>33122</v>
      </c>
      <c r="E347" s="1">
        <v>45401</v>
      </c>
      <c r="F347" s="1">
        <v>45414</v>
      </c>
      <c r="G347" t="s">
        <v>60</v>
      </c>
      <c r="I347" t="s">
        <v>20</v>
      </c>
      <c r="J347">
        <v>883</v>
      </c>
      <c r="K347" t="s">
        <v>33</v>
      </c>
      <c r="L347" t="s">
        <v>34</v>
      </c>
      <c r="M347" t="s">
        <v>78</v>
      </c>
      <c r="N347">
        <v>5</v>
      </c>
      <c r="O347" t="s">
        <v>25</v>
      </c>
    </row>
    <row r="348" spans="1:15" x14ac:dyDescent="0.2">
      <c r="A348">
        <v>346</v>
      </c>
      <c r="B348" t="s">
        <v>150</v>
      </c>
      <c r="C348" t="s">
        <v>28</v>
      </c>
      <c r="D348" s="1">
        <v>24839</v>
      </c>
      <c r="E348" s="1">
        <v>45337</v>
      </c>
      <c r="G348" t="s">
        <v>40</v>
      </c>
      <c r="I348" t="s">
        <v>76</v>
      </c>
      <c r="J348" t="s">
        <v>575</v>
      </c>
      <c r="K348" t="s">
        <v>71</v>
      </c>
      <c r="M348" t="s">
        <v>35</v>
      </c>
      <c r="O348" t="s">
        <v>25</v>
      </c>
    </row>
    <row r="349" spans="1:15" x14ac:dyDescent="0.2">
      <c r="A349" t="s">
        <v>576</v>
      </c>
      <c r="B349" t="s">
        <v>38</v>
      </c>
      <c r="C349" t="s">
        <v>39</v>
      </c>
      <c r="D349" s="1">
        <v>32874</v>
      </c>
      <c r="E349" s="1">
        <v>45419</v>
      </c>
      <c r="F349" s="1">
        <v>45420</v>
      </c>
      <c r="G349" t="s">
        <v>72</v>
      </c>
      <c r="H349" t="s">
        <v>19</v>
      </c>
      <c r="I349" t="s">
        <v>31</v>
      </c>
      <c r="J349" t="s">
        <v>577</v>
      </c>
      <c r="K349" t="s">
        <v>71</v>
      </c>
      <c r="L349" t="s">
        <v>34</v>
      </c>
      <c r="M349" t="s">
        <v>24</v>
      </c>
      <c r="N349">
        <v>13</v>
      </c>
      <c r="O349" t="s">
        <v>36</v>
      </c>
    </row>
    <row r="350" spans="1:15" x14ac:dyDescent="0.2">
      <c r="A350">
        <v>348</v>
      </c>
      <c r="B350" t="s">
        <v>82</v>
      </c>
      <c r="C350" t="s">
        <v>28</v>
      </c>
      <c r="D350" s="1">
        <v>20561</v>
      </c>
      <c r="E350" s="1">
        <v>45292</v>
      </c>
      <c r="F350" s="1">
        <v>45306</v>
      </c>
      <c r="G350" t="s">
        <v>74</v>
      </c>
      <c r="H350" t="s">
        <v>61</v>
      </c>
      <c r="I350" t="s">
        <v>57</v>
      </c>
      <c r="J350" t="s">
        <v>578</v>
      </c>
      <c r="K350" t="s">
        <v>33</v>
      </c>
      <c r="M350" t="s">
        <v>35</v>
      </c>
      <c r="N350">
        <v>11</v>
      </c>
      <c r="O350" t="s">
        <v>25</v>
      </c>
    </row>
    <row r="351" spans="1:15" x14ac:dyDescent="0.2">
      <c r="A351">
        <v>349</v>
      </c>
      <c r="B351" t="s">
        <v>27</v>
      </c>
      <c r="C351" t="s">
        <v>39</v>
      </c>
      <c r="D351" s="1">
        <v>29407</v>
      </c>
      <c r="E351" s="1">
        <v>45409</v>
      </c>
      <c r="F351" s="1">
        <v>45412</v>
      </c>
      <c r="G351" t="s">
        <v>29</v>
      </c>
      <c r="H351" t="s">
        <v>75</v>
      </c>
      <c r="I351" t="s">
        <v>67</v>
      </c>
      <c r="J351">
        <v>712</v>
      </c>
      <c r="K351" t="s">
        <v>48</v>
      </c>
      <c r="M351" t="s">
        <v>78</v>
      </c>
    </row>
    <row r="352" spans="1:15" x14ac:dyDescent="0.2">
      <c r="A352">
        <v>350</v>
      </c>
      <c r="B352" t="s">
        <v>51</v>
      </c>
      <c r="C352" t="s">
        <v>97</v>
      </c>
      <c r="D352" s="1">
        <v>19433</v>
      </c>
      <c r="E352" s="1">
        <v>45298</v>
      </c>
      <c r="F352" s="1">
        <v>45300</v>
      </c>
      <c r="G352" t="s">
        <v>100</v>
      </c>
      <c r="H352" t="s">
        <v>61</v>
      </c>
      <c r="I352" t="s">
        <v>41</v>
      </c>
      <c r="J352" t="s">
        <v>579</v>
      </c>
      <c r="K352" t="s">
        <v>48</v>
      </c>
      <c r="M352" t="s">
        <v>35</v>
      </c>
      <c r="N352">
        <v>12</v>
      </c>
      <c r="O352" t="s">
        <v>25</v>
      </c>
    </row>
    <row r="353" spans="1:15" x14ac:dyDescent="0.2">
      <c r="A353">
        <v>351</v>
      </c>
      <c r="B353" t="s">
        <v>16</v>
      </c>
      <c r="C353" t="s">
        <v>97</v>
      </c>
      <c r="D353" s="1">
        <v>39689</v>
      </c>
      <c r="E353" s="1">
        <v>45465</v>
      </c>
      <c r="F353" s="1">
        <v>45469</v>
      </c>
      <c r="G353" t="s">
        <v>88</v>
      </c>
      <c r="H353" t="s">
        <v>75</v>
      </c>
      <c r="I353" t="s">
        <v>67</v>
      </c>
      <c r="J353" t="s">
        <v>580</v>
      </c>
      <c r="K353" t="s">
        <v>71</v>
      </c>
      <c r="L353" t="s">
        <v>34</v>
      </c>
      <c r="M353" t="s">
        <v>35</v>
      </c>
      <c r="N353">
        <v>3</v>
      </c>
      <c r="O353" t="s">
        <v>25</v>
      </c>
    </row>
    <row r="354" spans="1:15" x14ac:dyDescent="0.2">
      <c r="A354" t="s">
        <v>581</v>
      </c>
      <c r="B354" t="s">
        <v>80</v>
      </c>
      <c r="C354" t="s">
        <v>92</v>
      </c>
      <c r="D354" s="1">
        <v>21452</v>
      </c>
      <c r="E354" s="1">
        <v>45448</v>
      </c>
      <c r="F354" s="1">
        <v>45450</v>
      </c>
      <c r="G354" t="s">
        <v>74</v>
      </c>
      <c r="H354" t="s">
        <v>19</v>
      </c>
      <c r="I354" t="s">
        <v>57</v>
      </c>
      <c r="J354" t="s">
        <v>582</v>
      </c>
      <c r="K354" t="s">
        <v>48</v>
      </c>
      <c r="L354" t="s">
        <v>23</v>
      </c>
      <c r="M354" t="s">
        <v>78</v>
      </c>
      <c r="N354">
        <v>14</v>
      </c>
    </row>
    <row r="355" spans="1:15" x14ac:dyDescent="0.2">
      <c r="A355" t="s">
        <v>583</v>
      </c>
      <c r="B355" t="s">
        <v>118</v>
      </c>
      <c r="C355" t="s">
        <v>92</v>
      </c>
      <c r="D355" s="1">
        <v>22222</v>
      </c>
      <c r="E355" s="1">
        <v>45374</v>
      </c>
      <c r="F355" s="1">
        <v>45384</v>
      </c>
      <c r="G355" t="s">
        <v>83</v>
      </c>
      <c r="H355" t="s">
        <v>66</v>
      </c>
      <c r="I355" t="s">
        <v>20</v>
      </c>
      <c r="J355" t="s">
        <v>584</v>
      </c>
      <c r="K355" t="s">
        <v>71</v>
      </c>
      <c r="L355" t="s">
        <v>23</v>
      </c>
      <c r="M355" t="s">
        <v>24</v>
      </c>
      <c r="N355">
        <v>3</v>
      </c>
      <c r="O355" t="s">
        <v>36</v>
      </c>
    </row>
    <row r="356" spans="1:15" x14ac:dyDescent="0.2">
      <c r="A356" t="s">
        <v>585</v>
      </c>
      <c r="B356" t="s">
        <v>119</v>
      </c>
      <c r="C356" t="s">
        <v>17</v>
      </c>
      <c r="D356" s="1">
        <v>22634</v>
      </c>
      <c r="E356" s="1">
        <v>45453</v>
      </c>
      <c r="F356" s="1">
        <v>45454</v>
      </c>
      <c r="G356" t="s">
        <v>74</v>
      </c>
      <c r="H356" t="s">
        <v>66</v>
      </c>
      <c r="I356" t="s">
        <v>20</v>
      </c>
      <c r="J356" t="s">
        <v>586</v>
      </c>
      <c r="K356" t="s">
        <v>43</v>
      </c>
      <c r="M356" t="s">
        <v>78</v>
      </c>
      <c r="N356">
        <v>13</v>
      </c>
      <c r="O356" t="s">
        <v>36</v>
      </c>
    </row>
    <row r="357" spans="1:15" x14ac:dyDescent="0.2">
      <c r="A357" t="s">
        <v>587</v>
      </c>
      <c r="B357" t="s">
        <v>87</v>
      </c>
      <c r="C357" t="s">
        <v>97</v>
      </c>
      <c r="D357" s="1">
        <v>22952</v>
      </c>
      <c r="E357" s="1">
        <v>45425</v>
      </c>
      <c r="F357" s="1">
        <v>45428</v>
      </c>
      <c r="G357" t="s">
        <v>18</v>
      </c>
      <c r="H357" t="s">
        <v>52</v>
      </c>
      <c r="I357" t="s">
        <v>53</v>
      </c>
      <c r="J357" t="s">
        <v>588</v>
      </c>
      <c r="K357" t="s">
        <v>33</v>
      </c>
      <c r="M357" t="s">
        <v>78</v>
      </c>
      <c r="O357" t="s">
        <v>25</v>
      </c>
    </row>
    <row r="358" spans="1:15" x14ac:dyDescent="0.2">
      <c r="A358" t="s">
        <v>589</v>
      </c>
      <c r="B358" t="s">
        <v>16</v>
      </c>
      <c r="C358" t="s">
        <v>65</v>
      </c>
      <c r="D358" s="1">
        <v>21399</v>
      </c>
      <c r="E358" s="1">
        <v>45430</v>
      </c>
      <c r="F358" s="1">
        <v>45441</v>
      </c>
      <c r="G358" t="s">
        <v>60</v>
      </c>
      <c r="H358" t="s">
        <v>66</v>
      </c>
      <c r="I358" t="s">
        <v>67</v>
      </c>
      <c r="J358" t="s">
        <v>590</v>
      </c>
      <c r="K358" t="s">
        <v>71</v>
      </c>
      <c r="M358" t="s">
        <v>35</v>
      </c>
      <c r="O358" t="s">
        <v>25</v>
      </c>
    </row>
    <row r="359" spans="1:15" x14ac:dyDescent="0.2">
      <c r="A359" t="s">
        <v>591</v>
      </c>
      <c r="B359" t="s">
        <v>102</v>
      </c>
      <c r="C359" t="s">
        <v>92</v>
      </c>
      <c r="D359" s="1">
        <v>25131</v>
      </c>
      <c r="E359" s="1">
        <v>45356</v>
      </c>
      <c r="F359" s="1">
        <v>45371</v>
      </c>
      <c r="G359" t="s">
        <v>88</v>
      </c>
      <c r="H359" t="s">
        <v>66</v>
      </c>
      <c r="I359" t="s">
        <v>53</v>
      </c>
      <c r="J359" t="s">
        <v>592</v>
      </c>
      <c r="K359" t="s">
        <v>22</v>
      </c>
      <c r="L359" t="s">
        <v>34</v>
      </c>
      <c r="M359" t="s">
        <v>78</v>
      </c>
      <c r="N359">
        <v>2</v>
      </c>
      <c r="O359" t="s">
        <v>25</v>
      </c>
    </row>
    <row r="360" spans="1:15" x14ac:dyDescent="0.2">
      <c r="A360" t="s">
        <v>593</v>
      </c>
      <c r="B360" t="s">
        <v>114</v>
      </c>
      <c r="C360" t="s">
        <v>65</v>
      </c>
      <c r="D360" s="1">
        <v>37261</v>
      </c>
      <c r="E360" s="1">
        <v>45399</v>
      </c>
      <c r="F360" s="1">
        <v>45414</v>
      </c>
      <c r="G360" t="s">
        <v>50</v>
      </c>
      <c r="I360" t="s">
        <v>20</v>
      </c>
      <c r="J360" t="s">
        <v>594</v>
      </c>
      <c r="K360" t="s">
        <v>48</v>
      </c>
      <c r="L360" t="s">
        <v>23</v>
      </c>
      <c r="M360" t="s">
        <v>24</v>
      </c>
      <c r="N360">
        <v>4</v>
      </c>
      <c r="O360" t="s">
        <v>36</v>
      </c>
    </row>
    <row r="361" spans="1:15" x14ac:dyDescent="0.2">
      <c r="A361" t="s">
        <v>595</v>
      </c>
      <c r="B361" t="s">
        <v>150</v>
      </c>
      <c r="C361" t="s">
        <v>28</v>
      </c>
      <c r="D361" s="1">
        <v>37436</v>
      </c>
      <c r="E361" s="1">
        <v>45305</v>
      </c>
      <c r="G361" t="s">
        <v>18</v>
      </c>
      <c r="H361" t="s">
        <v>19</v>
      </c>
      <c r="I361" t="s">
        <v>67</v>
      </c>
      <c r="J361" t="s">
        <v>596</v>
      </c>
      <c r="K361" t="s">
        <v>22</v>
      </c>
      <c r="M361" t="s">
        <v>24</v>
      </c>
      <c r="O361" t="s">
        <v>36</v>
      </c>
    </row>
    <row r="362" spans="1:15" x14ac:dyDescent="0.2">
      <c r="A362">
        <v>360</v>
      </c>
      <c r="B362" t="s">
        <v>51</v>
      </c>
      <c r="C362" t="s">
        <v>92</v>
      </c>
      <c r="D362" s="1">
        <v>22432</v>
      </c>
      <c r="E362" s="1">
        <v>45469</v>
      </c>
      <c r="F362" s="1">
        <v>45471</v>
      </c>
      <c r="G362" t="s">
        <v>100</v>
      </c>
      <c r="H362" t="s">
        <v>19</v>
      </c>
      <c r="I362" t="s">
        <v>67</v>
      </c>
      <c r="J362" t="s">
        <v>597</v>
      </c>
      <c r="K362" t="s">
        <v>33</v>
      </c>
      <c r="L362" t="s">
        <v>23</v>
      </c>
      <c r="M362" t="s">
        <v>24</v>
      </c>
      <c r="N362">
        <v>15</v>
      </c>
      <c r="O362" t="s">
        <v>25</v>
      </c>
    </row>
    <row r="363" spans="1:15" x14ac:dyDescent="0.2">
      <c r="A363" t="s">
        <v>598</v>
      </c>
      <c r="B363" t="s">
        <v>27</v>
      </c>
      <c r="C363" t="s">
        <v>39</v>
      </c>
      <c r="D363" s="1">
        <v>25790</v>
      </c>
      <c r="E363" s="1">
        <v>45397</v>
      </c>
      <c r="F363" s="1">
        <v>45401</v>
      </c>
      <c r="G363" t="s">
        <v>100</v>
      </c>
      <c r="H363" t="s">
        <v>30</v>
      </c>
      <c r="I363" t="s">
        <v>20</v>
      </c>
      <c r="J363" t="s">
        <v>599</v>
      </c>
      <c r="K363" t="s">
        <v>22</v>
      </c>
      <c r="M363" t="s">
        <v>78</v>
      </c>
      <c r="N363">
        <v>15</v>
      </c>
    </row>
    <row r="364" spans="1:15" x14ac:dyDescent="0.2">
      <c r="A364" t="s">
        <v>600</v>
      </c>
      <c r="B364" t="s">
        <v>119</v>
      </c>
      <c r="C364" t="s">
        <v>17</v>
      </c>
      <c r="D364" s="1">
        <v>31953</v>
      </c>
      <c r="E364" s="1">
        <v>45302</v>
      </c>
      <c r="F364" s="1">
        <v>45311</v>
      </c>
      <c r="G364" t="s">
        <v>29</v>
      </c>
      <c r="H364" t="s">
        <v>61</v>
      </c>
      <c r="I364" t="s">
        <v>76</v>
      </c>
      <c r="J364" t="s">
        <v>601</v>
      </c>
      <c r="K364" t="s">
        <v>71</v>
      </c>
      <c r="M364" t="s">
        <v>35</v>
      </c>
      <c r="O364" t="s">
        <v>25</v>
      </c>
    </row>
    <row r="365" spans="1:15" x14ac:dyDescent="0.2">
      <c r="A365" t="s">
        <v>602</v>
      </c>
      <c r="B365" t="s">
        <v>82</v>
      </c>
      <c r="C365" t="s">
        <v>97</v>
      </c>
      <c r="D365" s="1">
        <v>22612</v>
      </c>
      <c r="E365" s="1">
        <v>45367</v>
      </c>
      <c r="F365" s="1">
        <v>45369</v>
      </c>
      <c r="G365" t="s">
        <v>100</v>
      </c>
      <c r="H365" t="s">
        <v>75</v>
      </c>
      <c r="I365" t="s">
        <v>31</v>
      </c>
      <c r="J365">
        <v>431</v>
      </c>
      <c r="K365" t="s">
        <v>43</v>
      </c>
      <c r="L365" t="s">
        <v>34</v>
      </c>
      <c r="M365" t="s">
        <v>78</v>
      </c>
      <c r="N365">
        <v>3</v>
      </c>
    </row>
    <row r="366" spans="1:15" x14ac:dyDescent="0.2">
      <c r="A366">
        <v>364</v>
      </c>
      <c r="B366" t="s">
        <v>140</v>
      </c>
      <c r="C366" t="s">
        <v>39</v>
      </c>
      <c r="D366" s="1">
        <v>30401</v>
      </c>
      <c r="E366" s="1">
        <v>45472</v>
      </c>
      <c r="F366" s="1">
        <v>45474</v>
      </c>
      <c r="G366" t="s">
        <v>83</v>
      </c>
      <c r="H366" t="s">
        <v>61</v>
      </c>
      <c r="I366" t="s">
        <v>20</v>
      </c>
      <c r="J366">
        <v>707</v>
      </c>
      <c r="K366" t="s">
        <v>33</v>
      </c>
      <c r="L366" t="s">
        <v>23</v>
      </c>
      <c r="M366" t="s">
        <v>24</v>
      </c>
      <c r="O366" t="s">
        <v>36</v>
      </c>
    </row>
    <row r="367" spans="1:15" x14ac:dyDescent="0.2">
      <c r="A367" t="s">
        <v>603</v>
      </c>
      <c r="B367" t="s">
        <v>80</v>
      </c>
      <c r="C367" t="s">
        <v>65</v>
      </c>
      <c r="D367" s="1">
        <v>30191</v>
      </c>
      <c r="E367" s="1">
        <v>45320</v>
      </c>
      <c r="F367" s="1">
        <v>45330</v>
      </c>
      <c r="G367" t="s">
        <v>83</v>
      </c>
      <c r="H367" t="s">
        <v>30</v>
      </c>
      <c r="I367" t="s">
        <v>67</v>
      </c>
      <c r="J367" t="s">
        <v>283</v>
      </c>
      <c r="K367" t="s">
        <v>43</v>
      </c>
      <c r="L367" t="s">
        <v>23</v>
      </c>
      <c r="M367" t="s">
        <v>35</v>
      </c>
      <c r="N367">
        <v>4</v>
      </c>
    </row>
    <row r="368" spans="1:15" x14ac:dyDescent="0.2">
      <c r="A368" t="s">
        <v>604</v>
      </c>
      <c r="B368" t="s">
        <v>56</v>
      </c>
      <c r="C368" t="s">
        <v>49</v>
      </c>
      <c r="D368" s="1">
        <v>37273</v>
      </c>
      <c r="E368" s="1">
        <v>45349</v>
      </c>
      <c r="F368" s="1">
        <v>45354</v>
      </c>
      <c r="G368" t="s">
        <v>60</v>
      </c>
      <c r="H368" t="s">
        <v>66</v>
      </c>
      <c r="I368" t="s">
        <v>20</v>
      </c>
      <c r="J368" t="s">
        <v>605</v>
      </c>
      <c r="K368" t="s">
        <v>71</v>
      </c>
      <c r="M368" t="s">
        <v>24</v>
      </c>
      <c r="N368">
        <v>2</v>
      </c>
      <c r="O368" t="s">
        <v>36</v>
      </c>
    </row>
    <row r="369" spans="1:15" x14ac:dyDescent="0.2">
      <c r="A369" t="s">
        <v>606</v>
      </c>
      <c r="B369" t="s">
        <v>27</v>
      </c>
      <c r="C369" t="s">
        <v>49</v>
      </c>
      <c r="D369" s="1">
        <v>35724</v>
      </c>
      <c r="E369" s="1">
        <v>45407</v>
      </c>
      <c r="F369" s="1">
        <v>45419</v>
      </c>
      <c r="G369" t="s">
        <v>50</v>
      </c>
      <c r="H369" t="s">
        <v>19</v>
      </c>
      <c r="I369" t="s">
        <v>20</v>
      </c>
      <c r="J369">
        <v>264</v>
      </c>
      <c r="K369" t="s">
        <v>22</v>
      </c>
      <c r="M369" t="s">
        <v>35</v>
      </c>
      <c r="O369" t="s">
        <v>36</v>
      </c>
    </row>
    <row r="370" spans="1:15" x14ac:dyDescent="0.2">
      <c r="A370" t="s">
        <v>607</v>
      </c>
      <c r="B370" t="s">
        <v>87</v>
      </c>
      <c r="C370" t="s">
        <v>28</v>
      </c>
      <c r="D370" s="1">
        <v>23195</v>
      </c>
      <c r="E370" s="1">
        <v>45425</v>
      </c>
      <c r="F370" s="1">
        <v>45436</v>
      </c>
      <c r="G370" t="s">
        <v>100</v>
      </c>
      <c r="H370" t="s">
        <v>30</v>
      </c>
      <c r="I370" t="s">
        <v>76</v>
      </c>
      <c r="J370" t="s">
        <v>608</v>
      </c>
      <c r="K370" t="s">
        <v>33</v>
      </c>
      <c r="L370" t="s">
        <v>23</v>
      </c>
      <c r="M370" t="s">
        <v>35</v>
      </c>
      <c r="O370" t="s">
        <v>25</v>
      </c>
    </row>
    <row r="371" spans="1:15" x14ac:dyDescent="0.2">
      <c r="A371" t="s">
        <v>609</v>
      </c>
      <c r="B371" t="s">
        <v>59</v>
      </c>
      <c r="C371" t="s">
        <v>28</v>
      </c>
      <c r="D371" s="1">
        <v>37226</v>
      </c>
      <c r="E371" s="1">
        <v>45459</v>
      </c>
      <c r="F371" s="1">
        <v>45470</v>
      </c>
      <c r="G371" t="s">
        <v>100</v>
      </c>
      <c r="H371" t="s">
        <v>30</v>
      </c>
      <c r="I371" t="s">
        <v>57</v>
      </c>
      <c r="J371" t="s">
        <v>610</v>
      </c>
      <c r="K371" t="s">
        <v>22</v>
      </c>
      <c r="M371" t="s">
        <v>35</v>
      </c>
      <c r="N371">
        <v>5</v>
      </c>
      <c r="O371" t="s">
        <v>25</v>
      </c>
    </row>
    <row r="372" spans="1:15" x14ac:dyDescent="0.2">
      <c r="A372" t="s">
        <v>611</v>
      </c>
      <c r="B372" t="s">
        <v>102</v>
      </c>
      <c r="C372" t="s">
        <v>92</v>
      </c>
      <c r="D372" s="1">
        <v>33203</v>
      </c>
      <c r="E372" s="1">
        <v>45450</v>
      </c>
      <c r="F372" s="1">
        <v>45455</v>
      </c>
      <c r="G372" t="s">
        <v>46</v>
      </c>
      <c r="I372" t="s">
        <v>53</v>
      </c>
      <c r="J372" t="s">
        <v>612</v>
      </c>
      <c r="K372" t="s">
        <v>22</v>
      </c>
      <c r="L372" t="s">
        <v>23</v>
      </c>
      <c r="M372" t="s">
        <v>35</v>
      </c>
      <c r="O372" t="s">
        <v>36</v>
      </c>
    </row>
    <row r="373" spans="1:15" x14ac:dyDescent="0.2">
      <c r="A373" t="s">
        <v>613</v>
      </c>
      <c r="B373" t="s">
        <v>87</v>
      </c>
      <c r="C373" t="s">
        <v>28</v>
      </c>
      <c r="D373" s="1">
        <v>26797</v>
      </c>
      <c r="E373" s="1">
        <v>45339</v>
      </c>
      <c r="F373" s="1">
        <v>45340</v>
      </c>
      <c r="G373" t="s">
        <v>83</v>
      </c>
      <c r="H373" t="s">
        <v>52</v>
      </c>
      <c r="I373" t="s">
        <v>31</v>
      </c>
      <c r="J373" t="s">
        <v>614</v>
      </c>
      <c r="K373" t="s">
        <v>43</v>
      </c>
      <c r="M373" t="s">
        <v>35</v>
      </c>
      <c r="N373">
        <v>7</v>
      </c>
      <c r="O373" t="s">
        <v>36</v>
      </c>
    </row>
    <row r="374" spans="1:15" x14ac:dyDescent="0.2">
      <c r="A374" t="s">
        <v>615</v>
      </c>
      <c r="B374" t="s">
        <v>114</v>
      </c>
      <c r="C374" t="s">
        <v>92</v>
      </c>
      <c r="D374" s="1">
        <v>23377</v>
      </c>
      <c r="E374" s="1">
        <v>45431</v>
      </c>
      <c r="F374" s="1">
        <v>45436</v>
      </c>
      <c r="G374" t="s">
        <v>60</v>
      </c>
      <c r="I374" t="s">
        <v>57</v>
      </c>
      <c r="J374" t="s">
        <v>616</v>
      </c>
      <c r="K374" t="s">
        <v>43</v>
      </c>
      <c r="M374" t="s">
        <v>78</v>
      </c>
      <c r="N374">
        <v>12</v>
      </c>
      <c r="O374" t="s">
        <v>36</v>
      </c>
    </row>
    <row r="375" spans="1:15" x14ac:dyDescent="0.2">
      <c r="A375" t="s">
        <v>617</v>
      </c>
      <c r="B375" t="s">
        <v>87</v>
      </c>
      <c r="C375" t="s">
        <v>49</v>
      </c>
      <c r="D375" s="1">
        <v>36317</v>
      </c>
      <c r="E375" s="1">
        <v>45370</v>
      </c>
      <c r="F375" s="1">
        <v>45384</v>
      </c>
      <c r="G375" t="s">
        <v>100</v>
      </c>
      <c r="H375" t="s">
        <v>30</v>
      </c>
      <c r="I375" t="s">
        <v>20</v>
      </c>
      <c r="J375" t="s">
        <v>618</v>
      </c>
      <c r="K375" t="s">
        <v>43</v>
      </c>
      <c r="L375" t="s">
        <v>23</v>
      </c>
      <c r="M375" t="s">
        <v>24</v>
      </c>
      <c r="N375">
        <v>13</v>
      </c>
      <c r="O375" t="s">
        <v>36</v>
      </c>
    </row>
    <row r="376" spans="1:15" x14ac:dyDescent="0.2">
      <c r="A376" t="s">
        <v>619</v>
      </c>
      <c r="B376" t="s">
        <v>64</v>
      </c>
      <c r="C376" t="s">
        <v>17</v>
      </c>
      <c r="D376" s="1">
        <v>35906</v>
      </c>
      <c r="E376" s="1">
        <v>45465</v>
      </c>
      <c r="F376" s="1">
        <v>45472</v>
      </c>
      <c r="G376" t="s">
        <v>100</v>
      </c>
      <c r="H376" t="s">
        <v>30</v>
      </c>
      <c r="I376" t="s">
        <v>57</v>
      </c>
      <c r="J376" t="s">
        <v>620</v>
      </c>
      <c r="K376" t="s">
        <v>33</v>
      </c>
      <c r="M376" t="s">
        <v>35</v>
      </c>
      <c r="N376">
        <v>7</v>
      </c>
      <c r="O376" t="s">
        <v>36</v>
      </c>
    </row>
    <row r="377" spans="1:15" x14ac:dyDescent="0.2">
      <c r="A377">
        <v>375</v>
      </c>
      <c r="B377" t="s">
        <v>102</v>
      </c>
      <c r="C377" t="s">
        <v>17</v>
      </c>
      <c r="D377" s="1">
        <v>27591</v>
      </c>
      <c r="E377" s="1">
        <v>45381</v>
      </c>
      <c r="F377" s="1">
        <v>45395</v>
      </c>
      <c r="G377" t="s">
        <v>50</v>
      </c>
      <c r="H377" t="s">
        <v>75</v>
      </c>
      <c r="I377" t="s">
        <v>76</v>
      </c>
      <c r="J377">
        <v>951</v>
      </c>
      <c r="K377" t="s">
        <v>33</v>
      </c>
      <c r="L377" t="s">
        <v>23</v>
      </c>
      <c r="M377" t="s">
        <v>24</v>
      </c>
      <c r="N377">
        <v>7</v>
      </c>
    </row>
    <row r="378" spans="1:15" x14ac:dyDescent="0.2">
      <c r="A378">
        <v>376</v>
      </c>
      <c r="B378" t="s">
        <v>87</v>
      </c>
      <c r="C378" t="s">
        <v>39</v>
      </c>
      <c r="D378" s="1">
        <v>37504</v>
      </c>
      <c r="E378" s="1">
        <v>45328</v>
      </c>
      <c r="F378" s="1">
        <v>45342</v>
      </c>
      <c r="G378" t="s">
        <v>74</v>
      </c>
      <c r="H378" t="s">
        <v>61</v>
      </c>
      <c r="I378" t="s">
        <v>41</v>
      </c>
      <c r="J378" t="s">
        <v>621</v>
      </c>
      <c r="K378" t="s">
        <v>48</v>
      </c>
      <c r="M378" t="s">
        <v>24</v>
      </c>
      <c r="N378">
        <v>7</v>
      </c>
      <c r="O378" t="s">
        <v>25</v>
      </c>
    </row>
    <row r="379" spans="1:15" x14ac:dyDescent="0.2">
      <c r="A379" t="s">
        <v>622</v>
      </c>
      <c r="B379" t="s">
        <v>114</v>
      </c>
      <c r="C379" t="s">
        <v>49</v>
      </c>
      <c r="D379" s="1">
        <v>36873</v>
      </c>
      <c r="E379" s="1">
        <v>45343</v>
      </c>
      <c r="F379" s="1">
        <v>45348</v>
      </c>
      <c r="G379" t="s">
        <v>88</v>
      </c>
      <c r="I379" t="s">
        <v>41</v>
      </c>
      <c r="J379" t="s">
        <v>623</v>
      </c>
      <c r="K379" t="s">
        <v>71</v>
      </c>
      <c r="M379" t="s">
        <v>35</v>
      </c>
      <c r="O379" t="s">
        <v>25</v>
      </c>
    </row>
    <row r="380" spans="1:15" x14ac:dyDescent="0.2">
      <c r="A380" t="s">
        <v>624</v>
      </c>
      <c r="B380" t="s">
        <v>38</v>
      </c>
      <c r="C380" t="s">
        <v>92</v>
      </c>
      <c r="D380" s="1">
        <v>39253</v>
      </c>
      <c r="E380" s="1">
        <v>45323</v>
      </c>
      <c r="F380" s="1">
        <v>45331</v>
      </c>
      <c r="G380" t="s">
        <v>88</v>
      </c>
      <c r="H380" t="s">
        <v>66</v>
      </c>
      <c r="I380" t="s">
        <v>41</v>
      </c>
      <c r="J380">
        <v>667</v>
      </c>
      <c r="K380" t="s">
        <v>48</v>
      </c>
      <c r="M380" t="s">
        <v>24</v>
      </c>
      <c r="N380">
        <v>7</v>
      </c>
      <c r="O380" t="s">
        <v>36</v>
      </c>
    </row>
    <row r="381" spans="1:15" x14ac:dyDescent="0.2">
      <c r="A381" t="s">
        <v>625</v>
      </c>
      <c r="B381" t="s">
        <v>56</v>
      </c>
      <c r="C381" t="s">
        <v>49</v>
      </c>
      <c r="D381" s="1">
        <v>22182</v>
      </c>
      <c r="E381" s="1">
        <v>45423</v>
      </c>
      <c r="F381" s="1">
        <v>45426</v>
      </c>
      <c r="G381" t="s">
        <v>46</v>
      </c>
      <c r="H381" t="s">
        <v>30</v>
      </c>
      <c r="I381" t="s">
        <v>76</v>
      </c>
      <c r="J381" t="s">
        <v>626</v>
      </c>
      <c r="K381" t="s">
        <v>22</v>
      </c>
      <c r="L381" t="s">
        <v>34</v>
      </c>
      <c r="M381" t="s">
        <v>78</v>
      </c>
      <c r="N381">
        <v>11</v>
      </c>
      <c r="O381" t="s">
        <v>36</v>
      </c>
    </row>
    <row r="382" spans="1:15" x14ac:dyDescent="0.2">
      <c r="A382" t="s">
        <v>627</v>
      </c>
      <c r="B382" t="s">
        <v>45</v>
      </c>
      <c r="C382" t="s">
        <v>92</v>
      </c>
      <c r="D382" s="1">
        <v>35618</v>
      </c>
      <c r="E382" s="1">
        <v>45423</v>
      </c>
      <c r="F382" s="1">
        <v>45426</v>
      </c>
      <c r="G382" t="s">
        <v>18</v>
      </c>
      <c r="I382" t="s">
        <v>67</v>
      </c>
      <c r="J382" t="s">
        <v>628</v>
      </c>
      <c r="K382" t="s">
        <v>33</v>
      </c>
      <c r="M382" t="s">
        <v>78</v>
      </c>
      <c r="N382">
        <v>12</v>
      </c>
      <c r="O382" t="s">
        <v>36</v>
      </c>
    </row>
    <row r="383" spans="1:15" x14ac:dyDescent="0.2">
      <c r="A383" t="s">
        <v>629</v>
      </c>
      <c r="B383" t="s">
        <v>27</v>
      </c>
      <c r="C383" t="s">
        <v>65</v>
      </c>
      <c r="D383" s="1">
        <v>29786</v>
      </c>
      <c r="E383" s="1">
        <v>45295</v>
      </c>
      <c r="F383" s="1">
        <v>45301</v>
      </c>
      <c r="G383" t="s">
        <v>29</v>
      </c>
      <c r="H383" t="s">
        <v>30</v>
      </c>
      <c r="I383" t="s">
        <v>67</v>
      </c>
      <c r="J383" t="s">
        <v>630</v>
      </c>
      <c r="K383" t="s">
        <v>22</v>
      </c>
      <c r="L383" t="s">
        <v>23</v>
      </c>
      <c r="M383" t="s">
        <v>35</v>
      </c>
      <c r="N383">
        <v>9</v>
      </c>
    </row>
    <row r="384" spans="1:15" x14ac:dyDescent="0.2">
      <c r="A384" t="s">
        <v>631</v>
      </c>
      <c r="B384" t="s">
        <v>105</v>
      </c>
      <c r="C384" t="s">
        <v>39</v>
      </c>
      <c r="D384" s="1">
        <v>35699</v>
      </c>
      <c r="E384" s="1">
        <v>45398</v>
      </c>
      <c r="F384" s="1">
        <v>45400</v>
      </c>
      <c r="G384" t="s">
        <v>88</v>
      </c>
      <c r="H384" t="s">
        <v>19</v>
      </c>
      <c r="I384" t="s">
        <v>31</v>
      </c>
      <c r="J384" t="s">
        <v>632</v>
      </c>
      <c r="K384" t="s">
        <v>22</v>
      </c>
      <c r="M384" t="s">
        <v>24</v>
      </c>
      <c r="N384">
        <v>6</v>
      </c>
      <c r="O384" t="s">
        <v>25</v>
      </c>
    </row>
    <row r="385" spans="1:15" x14ac:dyDescent="0.2">
      <c r="A385" t="s">
        <v>633</v>
      </c>
      <c r="B385" t="s">
        <v>45</v>
      </c>
      <c r="C385" t="s">
        <v>17</v>
      </c>
      <c r="D385" s="1">
        <v>22150</v>
      </c>
      <c r="E385" s="1">
        <v>45324</v>
      </c>
      <c r="F385" s="1">
        <v>45329</v>
      </c>
      <c r="G385" t="s">
        <v>50</v>
      </c>
      <c r="H385" t="s">
        <v>52</v>
      </c>
      <c r="I385" t="s">
        <v>20</v>
      </c>
      <c r="J385" t="s">
        <v>634</v>
      </c>
      <c r="K385" t="s">
        <v>48</v>
      </c>
      <c r="L385" t="s">
        <v>34</v>
      </c>
      <c r="M385" t="s">
        <v>78</v>
      </c>
      <c r="N385">
        <v>1</v>
      </c>
      <c r="O385" t="s">
        <v>25</v>
      </c>
    </row>
    <row r="386" spans="1:15" x14ac:dyDescent="0.2">
      <c r="A386" t="s">
        <v>635</v>
      </c>
      <c r="B386" t="s">
        <v>80</v>
      </c>
      <c r="C386" t="s">
        <v>39</v>
      </c>
      <c r="D386" s="1">
        <v>39883</v>
      </c>
      <c r="E386" s="1">
        <v>45412</v>
      </c>
      <c r="F386" s="1">
        <v>45413</v>
      </c>
      <c r="G386" t="s">
        <v>60</v>
      </c>
      <c r="H386" t="s">
        <v>75</v>
      </c>
      <c r="I386" t="s">
        <v>20</v>
      </c>
      <c r="J386" t="s">
        <v>636</v>
      </c>
      <c r="K386" t="s">
        <v>43</v>
      </c>
      <c r="L386" t="s">
        <v>23</v>
      </c>
      <c r="M386" t="s">
        <v>24</v>
      </c>
      <c r="N386">
        <v>3</v>
      </c>
    </row>
    <row r="387" spans="1:15" x14ac:dyDescent="0.2">
      <c r="A387">
        <v>385</v>
      </c>
      <c r="B387" t="s">
        <v>64</v>
      </c>
      <c r="C387" t="s">
        <v>17</v>
      </c>
      <c r="D387" s="1">
        <v>23033</v>
      </c>
      <c r="E387" s="1">
        <v>45440</v>
      </c>
      <c r="F387" s="1">
        <v>45454</v>
      </c>
      <c r="G387" t="s">
        <v>40</v>
      </c>
      <c r="H387" t="s">
        <v>61</v>
      </c>
      <c r="I387" t="s">
        <v>20</v>
      </c>
      <c r="J387" t="s">
        <v>637</v>
      </c>
      <c r="K387" t="s">
        <v>43</v>
      </c>
      <c r="L387" t="s">
        <v>23</v>
      </c>
      <c r="M387" t="s">
        <v>24</v>
      </c>
      <c r="O387" t="s">
        <v>36</v>
      </c>
    </row>
    <row r="388" spans="1:15" x14ac:dyDescent="0.2">
      <c r="A388" t="s">
        <v>638</v>
      </c>
      <c r="B388" t="s">
        <v>27</v>
      </c>
      <c r="C388" t="s">
        <v>17</v>
      </c>
      <c r="D388" s="1">
        <v>21497</v>
      </c>
      <c r="E388" s="1">
        <v>45421</v>
      </c>
      <c r="F388" s="1">
        <v>45431</v>
      </c>
      <c r="G388" t="s">
        <v>100</v>
      </c>
      <c r="H388" t="s">
        <v>75</v>
      </c>
      <c r="I388" t="s">
        <v>20</v>
      </c>
      <c r="J388" t="s">
        <v>639</v>
      </c>
      <c r="K388" t="s">
        <v>71</v>
      </c>
      <c r="M388" t="s">
        <v>35</v>
      </c>
      <c r="N388">
        <v>7</v>
      </c>
      <c r="O388" t="s">
        <v>25</v>
      </c>
    </row>
    <row r="389" spans="1:15" x14ac:dyDescent="0.2">
      <c r="A389">
        <v>387</v>
      </c>
      <c r="B389" t="s">
        <v>16</v>
      </c>
      <c r="C389" t="s">
        <v>28</v>
      </c>
      <c r="D389" s="1">
        <v>21878</v>
      </c>
      <c r="E389" s="1">
        <v>45418</v>
      </c>
      <c r="F389" s="1">
        <v>45427</v>
      </c>
      <c r="G389" t="s">
        <v>74</v>
      </c>
      <c r="H389" t="s">
        <v>30</v>
      </c>
      <c r="I389" t="s">
        <v>76</v>
      </c>
      <c r="J389">
        <v>336</v>
      </c>
      <c r="K389" t="s">
        <v>33</v>
      </c>
      <c r="M389" t="s">
        <v>24</v>
      </c>
      <c r="N389">
        <v>11</v>
      </c>
      <c r="O389" t="s">
        <v>36</v>
      </c>
    </row>
    <row r="390" spans="1:15" x14ac:dyDescent="0.2">
      <c r="A390" t="s">
        <v>640</v>
      </c>
      <c r="B390" t="s">
        <v>27</v>
      </c>
      <c r="C390" t="s">
        <v>28</v>
      </c>
      <c r="D390" s="1">
        <v>27786</v>
      </c>
      <c r="E390" s="1">
        <v>45340</v>
      </c>
      <c r="F390" s="1">
        <v>45353</v>
      </c>
      <c r="G390" t="s">
        <v>72</v>
      </c>
      <c r="H390" t="s">
        <v>30</v>
      </c>
      <c r="I390" t="s">
        <v>67</v>
      </c>
      <c r="J390">
        <v>126</v>
      </c>
      <c r="K390" t="s">
        <v>48</v>
      </c>
      <c r="M390" t="s">
        <v>78</v>
      </c>
      <c r="N390">
        <v>11</v>
      </c>
      <c r="O390" t="s">
        <v>25</v>
      </c>
    </row>
    <row r="391" spans="1:15" x14ac:dyDescent="0.2">
      <c r="A391" t="s">
        <v>641</v>
      </c>
      <c r="B391" t="s">
        <v>87</v>
      </c>
      <c r="C391" t="s">
        <v>28</v>
      </c>
      <c r="D391" s="1">
        <v>31391</v>
      </c>
      <c r="E391" s="1">
        <v>45335</v>
      </c>
      <c r="F391" s="1">
        <v>45339</v>
      </c>
      <c r="G391" t="s">
        <v>50</v>
      </c>
      <c r="H391" t="s">
        <v>61</v>
      </c>
      <c r="I391" t="s">
        <v>41</v>
      </c>
      <c r="J391" t="s">
        <v>642</v>
      </c>
      <c r="K391" t="s">
        <v>22</v>
      </c>
      <c r="M391" t="s">
        <v>24</v>
      </c>
      <c r="N391">
        <v>13</v>
      </c>
    </row>
    <row r="392" spans="1:15" x14ac:dyDescent="0.2">
      <c r="A392" t="s">
        <v>643</v>
      </c>
      <c r="B392" t="s">
        <v>119</v>
      </c>
      <c r="C392" t="s">
        <v>92</v>
      </c>
      <c r="D392" s="1">
        <v>39361</v>
      </c>
      <c r="E392" s="1">
        <v>45383</v>
      </c>
      <c r="F392" s="1">
        <v>45390</v>
      </c>
      <c r="G392" t="s">
        <v>40</v>
      </c>
      <c r="H392" t="s">
        <v>30</v>
      </c>
      <c r="I392" t="s">
        <v>67</v>
      </c>
      <c r="J392" t="s">
        <v>644</v>
      </c>
      <c r="K392" t="s">
        <v>48</v>
      </c>
      <c r="M392" t="s">
        <v>78</v>
      </c>
      <c r="N392">
        <v>11</v>
      </c>
      <c r="O392" t="s">
        <v>25</v>
      </c>
    </row>
    <row r="393" spans="1:15" x14ac:dyDescent="0.2">
      <c r="A393" t="s">
        <v>645</v>
      </c>
      <c r="B393" t="s">
        <v>16</v>
      </c>
      <c r="C393" t="s">
        <v>49</v>
      </c>
      <c r="D393" s="1">
        <v>19995</v>
      </c>
      <c r="E393" s="1">
        <v>45419</v>
      </c>
      <c r="F393" s="1">
        <v>45426</v>
      </c>
      <c r="G393" t="s">
        <v>46</v>
      </c>
      <c r="H393" t="s">
        <v>30</v>
      </c>
      <c r="I393" t="s">
        <v>57</v>
      </c>
      <c r="J393" t="s">
        <v>646</v>
      </c>
      <c r="K393" t="s">
        <v>48</v>
      </c>
      <c r="M393" t="s">
        <v>78</v>
      </c>
    </row>
    <row r="394" spans="1:15" x14ac:dyDescent="0.2">
      <c r="A394">
        <v>392</v>
      </c>
      <c r="B394" t="s">
        <v>56</v>
      </c>
      <c r="C394" t="s">
        <v>65</v>
      </c>
      <c r="D394" s="1">
        <v>26838</v>
      </c>
      <c r="E394" s="1">
        <v>45430</v>
      </c>
      <c r="F394" s="1">
        <v>45431</v>
      </c>
      <c r="G394" t="s">
        <v>74</v>
      </c>
      <c r="H394" t="s">
        <v>19</v>
      </c>
      <c r="I394" t="s">
        <v>76</v>
      </c>
      <c r="J394">
        <v>744</v>
      </c>
      <c r="K394" t="s">
        <v>71</v>
      </c>
      <c r="M394" t="s">
        <v>35</v>
      </c>
    </row>
    <row r="395" spans="1:15" x14ac:dyDescent="0.2">
      <c r="A395" t="s">
        <v>647</v>
      </c>
      <c r="B395" t="s">
        <v>45</v>
      </c>
      <c r="C395" t="s">
        <v>49</v>
      </c>
      <c r="D395" s="1">
        <v>23642</v>
      </c>
      <c r="E395" s="1">
        <v>45402</v>
      </c>
      <c r="F395" s="1">
        <v>45409</v>
      </c>
      <c r="G395" t="s">
        <v>74</v>
      </c>
      <c r="H395" t="s">
        <v>61</v>
      </c>
      <c r="I395" t="s">
        <v>53</v>
      </c>
      <c r="J395">
        <v>1104</v>
      </c>
      <c r="K395" t="s">
        <v>71</v>
      </c>
      <c r="L395" t="s">
        <v>23</v>
      </c>
      <c r="M395" t="s">
        <v>24</v>
      </c>
      <c r="O395" t="s">
        <v>36</v>
      </c>
    </row>
    <row r="396" spans="1:15" x14ac:dyDescent="0.2">
      <c r="A396">
        <v>394</v>
      </c>
      <c r="B396" t="s">
        <v>119</v>
      </c>
      <c r="C396" t="s">
        <v>28</v>
      </c>
      <c r="D396" s="1">
        <v>38479</v>
      </c>
      <c r="E396" s="1">
        <v>45364</v>
      </c>
      <c r="G396" t="s">
        <v>18</v>
      </c>
      <c r="H396" t="s">
        <v>66</v>
      </c>
      <c r="I396" t="s">
        <v>67</v>
      </c>
      <c r="J396" t="s">
        <v>648</v>
      </c>
      <c r="K396" t="s">
        <v>43</v>
      </c>
      <c r="L396" t="s">
        <v>34</v>
      </c>
      <c r="M396" t="s">
        <v>24</v>
      </c>
      <c r="N396">
        <v>2</v>
      </c>
      <c r="O396" t="s">
        <v>36</v>
      </c>
    </row>
    <row r="397" spans="1:15" x14ac:dyDescent="0.2">
      <c r="A397">
        <v>395</v>
      </c>
      <c r="B397" t="s">
        <v>102</v>
      </c>
      <c r="C397" t="s">
        <v>28</v>
      </c>
      <c r="D397" s="1">
        <v>29774</v>
      </c>
      <c r="E397" s="1">
        <v>45461</v>
      </c>
      <c r="F397" s="1">
        <v>45472</v>
      </c>
      <c r="G397" t="s">
        <v>18</v>
      </c>
      <c r="H397" t="s">
        <v>66</v>
      </c>
      <c r="I397" t="s">
        <v>53</v>
      </c>
      <c r="J397" t="s">
        <v>649</v>
      </c>
      <c r="K397" t="s">
        <v>48</v>
      </c>
      <c r="M397" t="s">
        <v>35</v>
      </c>
      <c r="O397" t="s">
        <v>36</v>
      </c>
    </row>
    <row r="398" spans="1:15" x14ac:dyDescent="0.2">
      <c r="A398" t="s">
        <v>650</v>
      </c>
      <c r="B398" t="s">
        <v>114</v>
      </c>
      <c r="C398" t="s">
        <v>49</v>
      </c>
      <c r="D398" s="1">
        <v>32107</v>
      </c>
      <c r="E398" s="1">
        <v>45360</v>
      </c>
      <c r="F398" s="1">
        <v>45370</v>
      </c>
      <c r="G398" t="s">
        <v>83</v>
      </c>
      <c r="H398" t="s">
        <v>19</v>
      </c>
      <c r="I398" t="s">
        <v>57</v>
      </c>
      <c r="J398" t="s">
        <v>651</v>
      </c>
      <c r="K398" t="s">
        <v>43</v>
      </c>
      <c r="L398" t="s">
        <v>34</v>
      </c>
      <c r="M398" t="s">
        <v>78</v>
      </c>
    </row>
    <row r="399" spans="1:15" x14ac:dyDescent="0.2">
      <c r="A399" t="s">
        <v>652</v>
      </c>
      <c r="B399" t="s">
        <v>59</v>
      </c>
      <c r="C399" t="s">
        <v>28</v>
      </c>
      <c r="D399" s="1">
        <v>34738</v>
      </c>
      <c r="E399" s="1">
        <v>45334</v>
      </c>
      <c r="F399" s="1">
        <v>45341</v>
      </c>
      <c r="G399" t="s">
        <v>100</v>
      </c>
      <c r="H399" t="s">
        <v>75</v>
      </c>
      <c r="I399" t="s">
        <v>41</v>
      </c>
      <c r="J399" t="s">
        <v>653</v>
      </c>
      <c r="K399" t="s">
        <v>33</v>
      </c>
      <c r="M399" t="s">
        <v>35</v>
      </c>
    </row>
    <row r="400" spans="1:15" x14ac:dyDescent="0.2">
      <c r="A400">
        <v>398</v>
      </c>
      <c r="B400" t="s">
        <v>91</v>
      </c>
      <c r="C400" t="s">
        <v>65</v>
      </c>
      <c r="D400" s="1">
        <v>21277</v>
      </c>
      <c r="E400" s="1">
        <v>45443</v>
      </c>
      <c r="F400" s="1">
        <v>45453</v>
      </c>
      <c r="G400" t="s">
        <v>29</v>
      </c>
      <c r="H400" t="s">
        <v>52</v>
      </c>
      <c r="I400" t="s">
        <v>31</v>
      </c>
      <c r="J400" t="s">
        <v>654</v>
      </c>
      <c r="K400" t="s">
        <v>43</v>
      </c>
      <c r="M400" t="s">
        <v>78</v>
      </c>
      <c r="N400">
        <v>6</v>
      </c>
      <c r="O400" t="s">
        <v>25</v>
      </c>
    </row>
    <row r="401" spans="1:15" x14ac:dyDescent="0.2">
      <c r="A401">
        <v>399</v>
      </c>
      <c r="B401" t="s">
        <v>118</v>
      </c>
      <c r="C401" t="s">
        <v>92</v>
      </c>
      <c r="D401" s="1">
        <v>38742</v>
      </c>
      <c r="E401" s="1">
        <v>45463</v>
      </c>
      <c r="F401" s="1">
        <v>45474</v>
      </c>
      <c r="G401" t="s">
        <v>18</v>
      </c>
      <c r="H401" t="s">
        <v>19</v>
      </c>
      <c r="I401" t="s">
        <v>67</v>
      </c>
      <c r="J401">
        <v>1453</v>
      </c>
      <c r="K401" t="s">
        <v>33</v>
      </c>
      <c r="M401" t="s">
        <v>24</v>
      </c>
      <c r="N401">
        <v>1</v>
      </c>
    </row>
    <row r="402" spans="1:15" x14ac:dyDescent="0.2">
      <c r="A402" t="s">
        <v>655</v>
      </c>
      <c r="B402" t="s">
        <v>102</v>
      </c>
      <c r="C402" t="s">
        <v>28</v>
      </c>
      <c r="D402" s="1">
        <v>23105</v>
      </c>
      <c r="E402" s="1">
        <v>45330</v>
      </c>
      <c r="F402" s="1">
        <v>45337</v>
      </c>
      <c r="G402" t="s">
        <v>74</v>
      </c>
      <c r="H402" t="s">
        <v>75</v>
      </c>
      <c r="I402" t="s">
        <v>67</v>
      </c>
      <c r="J402" t="s">
        <v>656</v>
      </c>
      <c r="K402" t="s">
        <v>33</v>
      </c>
      <c r="L402" t="s">
        <v>23</v>
      </c>
      <c r="M402" t="s">
        <v>78</v>
      </c>
      <c r="N402">
        <v>4</v>
      </c>
      <c r="O402" t="s">
        <v>36</v>
      </c>
    </row>
    <row r="403" spans="1:15" x14ac:dyDescent="0.2">
      <c r="A403" t="s">
        <v>657</v>
      </c>
      <c r="B403" t="s">
        <v>16</v>
      </c>
      <c r="C403" t="s">
        <v>97</v>
      </c>
      <c r="D403" s="1">
        <v>24552</v>
      </c>
      <c r="E403" s="1">
        <v>45354</v>
      </c>
      <c r="F403" s="1">
        <v>45363</v>
      </c>
      <c r="G403" t="s">
        <v>29</v>
      </c>
      <c r="H403" t="s">
        <v>75</v>
      </c>
      <c r="I403" t="s">
        <v>20</v>
      </c>
      <c r="J403" t="s">
        <v>658</v>
      </c>
      <c r="K403" t="s">
        <v>33</v>
      </c>
      <c r="L403" t="s">
        <v>23</v>
      </c>
      <c r="M403" t="s">
        <v>35</v>
      </c>
      <c r="O403" t="s">
        <v>36</v>
      </c>
    </row>
    <row r="404" spans="1:15" x14ac:dyDescent="0.2">
      <c r="A404" t="s">
        <v>659</v>
      </c>
      <c r="B404" t="s">
        <v>27</v>
      </c>
      <c r="C404" t="s">
        <v>97</v>
      </c>
      <c r="D404" s="1">
        <v>39376</v>
      </c>
      <c r="E404" s="1">
        <v>45416</v>
      </c>
      <c r="G404" t="s">
        <v>74</v>
      </c>
      <c r="H404" t="s">
        <v>30</v>
      </c>
      <c r="I404" t="s">
        <v>57</v>
      </c>
      <c r="J404" t="s">
        <v>660</v>
      </c>
      <c r="K404" t="s">
        <v>71</v>
      </c>
      <c r="M404" t="s">
        <v>24</v>
      </c>
      <c r="N404">
        <v>2</v>
      </c>
      <c r="O404" t="s">
        <v>36</v>
      </c>
    </row>
    <row r="405" spans="1:15" x14ac:dyDescent="0.2">
      <c r="A405" t="s">
        <v>661</v>
      </c>
      <c r="B405" t="s">
        <v>87</v>
      </c>
      <c r="C405" t="s">
        <v>97</v>
      </c>
      <c r="D405" s="1">
        <v>21931</v>
      </c>
      <c r="E405" s="1">
        <v>45425</v>
      </c>
      <c r="F405" s="1">
        <v>45427</v>
      </c>
      <c r="G405" t="s">
        <v>18</v>
      </c>
      <c r="H405" t="s">
        <v>66</v>
      </c>
      <c r="I405" t="s">
        <v>41</v>
      </c>
      <c r="J405" t="s">
        <v>662</v>
      </c>
      <c r="K405" t="s">
        <v>43</v>
      </c>
      <c r="M405" t="s">
        <v>24</v>
      </c>
      <c r="N405">
        <v>15</v>
      </c>
      <c r="O405" t="s">
        <v>36</v>
      </c>
    </row>
    <row r="406" spans="1:15" x14ac:dyDescent="0.2">
      <c r="A406" t="s">
        <v>663</v>
      </c>
      <c r="B406" t="s">
        <v>87</v>
      </c>
      <c r="C406" t="s">
        <v>17</v>
      </c>
      <c r="D406" s="1">
        <v>24003</v>
      </c>
      <c r="E406" s="1">
        <v>45362</v>
      </c>
      <c r="F406" s="1">
        <v>45376</v>
      </c>
      <c r="G406" t="s">
        <v>100</v>
      </c>
      <c r="H406" t="s">
        <v>61</v>
      </c>
      <c r="I406" t="s">
        <v>31</v>
      </c>
      <c r="J406" t="s">
        <v>664</v>
      </c>
      <c r="K406" t="s">
        <v>43</v>
      </c>
      <c r="M406" t="s">
        <v>78</v>
      </c>
      <c r="N406">
        <v>5</v>
      </c>
      <c r="O406" t="s">
        <v>25</v>
      </c>
    </row>
    <row r="407" spans="1:15" x14ac:dyDescent="0.2">
      <c r="A407">
        <v>405</v>
      </c>
      <c r="B407" t="s">
        <v>56</v>
      </c>
      <c r="C407" t="s">
        <v>49</v>
      </c>
      <c r="D407" s="1">
        <v>30314</v>
      </c>
      <c r="E407" s="1">
        <v>45297</v>
      </c>
      <c r="F407" s="1">
        <v>45308</v>
      </c>
      <c r="G407" t="s">
        <v>72</v>
      </c>
      <c r="H407" t="s">
        <v>52</v>
      </c>
      <c r="I407" t="s">
        <v>31</v>
      </c>
      <c r="J407">
        <v>1231</v>
      </c>
      <c r="K407" t="s">
        <v>33</v>
      </c>
      <c r="M407" t="s">
        <v>24</v>
      </c>
      <c r="O407" t="s">
        <v>25</v>
      </c>
    </row>
    <row r="408" spans="1:15" x14ac:dyDescent="0.2">
      <c r="A408">
        <v>406</v>
      </c>
      <c r="B408" t="s">
        <v>118</v>
      </c>
      <c r="C408" t="s">
        <v>17</v>
      </c>
      <c r="D408" s="1">
        <v>31141</v>
      </c>
      <c r="E408" s="1">
        <v>45369</v>
      </c>
      <c r="F408" s="1">
        <v>45382</v>
      </c>
      <c r="G408" t="s">
        <v>60</v>
      </c>
      <c r="H408" t="s">
        <v>52</v>
      </c>
      <c r="I408" t="s">
        <v>41</v>
      </c>
      <c r="J408">
        <v>428</v>
      </c>
      <c r="K408" t="s">
        <v>33</v>
      </c>
      <c r="M408" t="s">
        <v>35</v>
      </c>
      <c r="O408" t="s">
        <v>25</v>
      </c>
    </row>
    <row r="409" spans="1:15" x14ac:dyDescent="0.2">
      <c r="A409">
        <v>407</v>
      </c>
      <c r="B409" t="s">
        <v>56</v>
      </c>
      <c r="C409" t="s">
        <v>49</v>
      </c>
      <c r="D409" s="1">
        <v>31795</v>
      </c>
      <c r="E409" s="1">
        <v>45400</v>
      </c>
      <c r="F409" s="1">
        <v>45412</v>
      </c>
      <c r="G409" t="s">
        <v>40</v>
      </c>
      <c r="H409" t="s">
        <v>66</v>
      </c>
      <c r="I409" t="s">
        <v>31</v>
      </c>
      <c r="J409" t="s">
        <v>665</v>
      </c>
      <c r="K409" t="s">
        <v>71</v>
      </c>
      <c r="L409" t="s">
        <v>34</v>
      </c>
      <c r="M409" t="s">
        <v>35</v>
      </c>
      <c r="N409">
        <v>3</v>
      </c>
    </row>
    <row r="410" spans="1:15" x14ac:dyDescent="0.2">
      <c r="A410">
        <v>408</v>
      </c>
      <c r="B410" t="s">
        <v>87</v>
      </c>
      <c r="C410" t="s">
        <v>17</v>
      </c>
      <c r="D410" s="1">
        <v>31392</v>
      </c>
      <c r="E410" s="1">
        <v>45452</v>
      </c>
      <c r="F410" s="1">
        <v>45454</v>
      </c>
      <c r="G410" t="s">
        <v>46</v>
      </c>
      <c r="H410" t="s">
        <v>52</v>
      </c>
      <c r="I410" t="s">
        <v>57</v>
      </c>
      <c r="J410" t="s">
        <v>666</v>
      </c>
      <c r="K410" t="s">
        <v>43</v>
      </c>
      <c r="M410" t="s">
        <v>78</v>
      </c>
      <c r="N410">
        <v>14</v>
      </c>
    </row>
    <row r="411" spans="1:15" x14ac:dyDescent="0.2">
      <c r="A411" t="s">
        <v>667</v>
      </c>
      <c r="B411" t="s">
        <v>38</v>
      </c>
      <c r="C411" t="s">
        <v>97</v>
      </c>
      <c r="D411" s="1">
        <v>37696</v>
      </c>
      <c r="E411" s="1">
        <v>45364</v>
      </c>
      <c r="G411" t="s">
        <v>83</v>
      </c>
      <c r="H411" t="s">
        <v>52</v>
      </c>
      <c r="I411" t="s">
        <v>76</v>
      </c>
      <c r="J411" t="s">
        <v>668</v>
      </c>
      <c r="K411" t="s">
        <v>48</v>
      </c>
      <c r="L411" t="s">
        <v>34</v>
      </c>
      <c r="M411" t="s">
        <v>24</v>
      </c>
      <c r="N411">
        <v>11</v>
      </c>
      <c r="O411" t="s">
        <v>25</v>
      </c>
    </row>
    <row r="412" spans="1:15" x14ac:dyDescent="0.2">
      <c r="A412" t="s">
        <v>669</v>
      </c>
      <c r="B412" t="s">
        <v>114</v>
      </c>
      <c r="C412" t="s">
        <v>97</v>
      </c>
      <c r="D412" s="1">
        <v>26842</v>
      </c>
      <c r="E412" s="1">
        <v>45304</v>
      </c>
      <c r="F412" s="1">
        <v>45314</v>
      </c>
      <c r="G412" t="s">
        <v>46</v>
      </c>
      <c r="H412" t="s">
        <v>66</v>
      </c>
      <c r="I412" t="s">
        <v>31</v>
      </c>
      <c r="J412" t="s">
        <v>670</v>
      </c>
      <c r="K412" t="s">
        <v>48</v>
      </c>
      <c r="M412" t="s">
        <v>78</v>
      </c>
      <c r="N412">
        <v>8</v>
      </c>
      <c r="O412" t="s">
        <v>25</v>
      </c>
    </row>
    <row r="413" spans="1:15" x14ac:dyDescent="0.2">
      <c r="A413" t="s">
        <v>671</v>
      </c>
      <c r="B413" t="s">
        <v>51</v>
      </c>
      <c r="C413" t="s">
        <v>97</v>
      </c>
      <c r="D413" s="1">
        <v>26986</v>
      </c>
      <c r="E413" s="1">
        <v>45418</v>
      </c>
      <c r="G413" t="s">
        <v>50</v>
      </c>
      <c r="H413" t="s">
        <v>61</v>
      </c>
      <c r="I413" t="s">
        <v>67</v>
      </c>
      <c r="J413" t="s">
        <v>672</v>
      </c>
      <c r="K413" t="s">
        <v>71</v>
      </c>
      <c r="L413" t="s">
        <v>23</v>
      </c>
      <c r="M413" t="s">
        <v>78</v>
      </c>
      <c r="N413">
        <v>1</v>
      </c>
      <c r="O413" t="s">
        <v>36</v>
      </c>
    </row>
    <row r="414" spans="1:15" x14ac:dyDescent="0.2">
      <c r="A414">
        <v>412</v>
      </c>
      <c r="B414" t="s">
        <v>91</v>
      </c>
      <c r="C414" t="s">
        <v>65</v>
      </c>
      <c r="D414" s="1">
        <v>33041</v>
      </c>
      <c r="E414" s="1">
        <v>45386</v>
      </c>
      <c r="G414" t="s">
        <v>100</v>
      </c>
      <c r="H414" t="s">
        <v>52</v>
      </c>
      <c r="I414" t="s">
        <v>41</v>
      </c>
      <c r="J414">
        <v>762</v>
      </c>
      <c r="K414" t="s">
        <v>22</v>
      </c>
      <c r="M414" t="s">
        <v>24</v>
      </c>
      <c r="N414">
        <v>10</v>
      </c>
      <c r="O414" t="s">
        <v>36</v>
      </c>
    </row>
    <row r="415" spans="1:15" x14ac:dyDescent="0.2">
      <c r="A415" t="s">
        <v>673</v>
      </c>
      <c r="B415" t="s">
        <v>16</v>
      </c>
      <c r="C415" t="s">
        <v>65</v>
      </c>
      <c r="D415" s="1">
        <v>20189</v>
      </c>
      <c r="E415" s="1">
        <v>45377</v>
      </c>
      <c r="F415" s="1">
        <v>45383</v>
      </c>
      <c r="G415" t="s">
        <v>88</v>
      </c>
      <c r="H415" t="s">
        <v>30</v>
      </c>
      <c r="I415" t="s">
        <v>57</v>
      </c>
      <c r="J415">
        <v>1369</v>
      </c>
      <c r="K415" t="s">
        <v>33</v>
      </c>
      <c r="M415" t="s">
        <v>24</v>
      </c>
      <c r="N415">
        <v>15</v>
      </c>
    </row>
    <row r="416" spans="1:15" x14ac:dyDescent="0.2">
      <c r="A416" t="s">
        <v>674</v>
      </c>
      <c r="B416" t="s">
        <v>119</v>
      </c>
      <c r="C416" t="s">
        <v>97</v>
      </c>
      <c r="D416" s="1">
        <v>26793</v>
      </c>
      <c r="E416" s="1">
        <v>45420</v>
      </c>
      <c r="F416" s="1">
        <v>45435</v>
      </c>
      <c r="G416" t="s">
        <v>46</v>
      </c>
      <c r="H416" t="s">
        <v>66</v>
      </c>
      <c r="I416" t="s">
        <v>31</v>
      </c>
      <c r="J416">
        <v>1186</v>
      </c>
      <c r="K416" t="s">
        <v>22</v>
      </c>
      <c r="M416" t="s">
        <v>35</v>
      </c>
      <c r="N416">
        <v>3</v>
      </c>
      <c r="O416" t="s">
        <v>36</v>
      </c>
    </row>
    <row r="417" spans="1:15" x14ac:dyDescent="0.2">
      <c r="A417">
        <v>415</v>
      </c>
      <c r="B417" t="s">
        <v>102</v>
      </c>
      <c r="C417" t="s">
        <v>28</v>
      </c>
      <c r="D417" s="1">
        <v>27534</v>
      </c>
      <c r="E417" s="1">
        <v>45448</v>
      </c>
      <c r="F417" s="1">
        <v>45455</v>
      </c>
      <c r="G417" t="s">
        <v>83</v>
      </c>
      <c r="H417" t="s">
        <v>75</v>
      </c>
      <c r="I417" t="s">
        <v>76</v>
      </c>
      <c r="J417">
        <v>409</v>
      </c>
      <c r="K417" t="s">
        <v>48</v>
      </c>
      <c r="L417" t="s">
        <v>23</v>
      </c>
      <c r="M417" t="s">
        <v>35</v>
      </c>
      <c r="O417" t="s">
        <v>25</v>
      </c>
    </row>
    <row r="418" spans="1:15" x14ac:dyDescent="0.2">
      <c r="A418" t="s">
        <v>675</v>
      </c>
      <c r="B418" t="s">
        <v>56</v>
      </c>
      <c r="C418" t="s">
        <v>92</v>
      </c>
      <c r="D418" s="1">
        <v>23623</v>
      </c>
      <c r="E418" s="1">
        <v>45403</v>
      </c>
      <c r="F418" s="1">
        <v>45418</v>
      </c>
      <c r="G418" t="s">
        <v>88</v>
      </c>
      <c r="H418" t="s">
        <v>19</v>
      </c>
      <c r="I418" t="s">
        <v>31</v>
      </c>
      <c r="J418">
        <v>1248</v>
      </c>
      <c r="K418" t="s">
        <v>71</v>
      </c>
      <c r="M418" t="s">
        <v>35</v>
      </c>
      <c r="N418">
        <v>14</v>
      </c>
      <c r="O418" t="s">
        <v>25</v>
      </c>
    </row>
    <row r="419" spans="1:15" x14ac:dyDescent="0.2">
      <c r="A419" t="s">
        <v>676</v>
      </c>
      <c r="B419" t="s">
        <v>102</v>
      </c>
      <c r="C419" t="s">
        <v>17</v>
      </c>
      <c r="D419" s="1">
        <v>24939</v>
      </c>
      <c r="E419" s="1">
        <v>45338</v>
      </c>
      <c r="F419" s="1">
        <v>45352</v>
      </c>
      <c r="G419" t="s">
        <v>18</v>
      </c>
      <c r="H419" t="s">
        <v>75</v>
      </c>
      <c r="I419" t="s">
        <v>57</v>
      </c>
      <c r="J419" t="s">
        <v>677</v>
      </c>
      <c r="K419" t="s">
        <v>43</v>
      </c>
      <c r="L419" t="s">
        <v>23</v>
      </c>
      <c r="M419" t="s">
        <v>78</v>
      </c>
      <c r="N419">
        <v>4</v>
      </c>
      <c r="O419" t="s">
        <v>36</v>
      </c>
    </row>
    <row r="420" spans="1:15" x14ac:dyDescent="0.2">
      <c r="A420" t="s">
        <v>678</v>
      </c>
      <c r="B420" t="s">
        <v>16</v>
      </c>
      <c r="C420" t="s">
        <v>92</v>
      </c>
      <c r="D420" s="1">
        <v>19114</v>
      </c>
      <c r="E420" s="1">
        <v>45466</v>
      </c>
      <c r="F420" s="1">
        <v>45476</v>
      </c>
      <c r="G420" t="s">
        <v>83</v>
      </c>
      <c r="H420" t="s">
        <v>52</v>
      </c>
      <c r="I420" t="s">
        <v>20</v>
      </c>
      <c r="J420">
        <v>266</v>
      </c>
      <c r="K420" t="s">
        <v>71</v>
      </c>
      <c r="M420" t="s">
        <v>24</v>
      </c>
      <c r="N420">
        <v>10</v>
      </c>
    </row>
    <row r="421" spans="1:15" x14ac:dyDescent="0.2">
      <c r="A421" t="s">
        <v>679</v>
      </c>
      <c r="B421" t="s">
        <v>59</v>
      </c>
      <c r="C421" t="s">
        <v>17</v>
      </c>
      <c r="D421" s="1">
        <v>39765</v>
      </c>
      <c r="E421" s="1">
        <v>45375</v>
      </c>
      <c r="F421" s="1">
        <v>45376</v>
      </c>
      <c r="G421" t="s">
        <v>83</v>
      </c>
      <c r="I421" t="s">
        <v>20</v>
      </c>
      <c r="J421">
        <v>244</v>
      </c>
      <c r="K421" t="s">
        <v>48</v>
      </c>
      <c r="M421" t="s">
        <v>78</v>
      </c>
      <c r="O421" t="s">
        <v>36</v>
      </c>
    </row>
    <row r="422" spans="1:15" x14ac:dyDescent="0.2">
      <c r="A422" t="s">
        <v>680</v>
      </c>
      <c r="B422" t="s">
        <v>64</v>
      </c>
      <c r="C422" t="s">
        <v>39</v>
      </c>
      <c r="D422" s="1">
        <v>25087</v>
      </c>
      <c r="E422" s="1">
        <v>45391</v>
      </c>
      <c r="F422" s="1">
        <v>45404</v>
      </c>
      <c r="G422" t="s">
        <v>74</v>
      </c>
      <c r="H422" t="s">
        <v>30</v>
      </c>
      <c r="I422" t="s">
        <v>76</v>
      </c>
      <c r="J422" t="s">
        <v>681</v>
      </c>
      <c r="K422" t="s">
        <v>43</v>
      </c>
      <c r="L422" t="s">
        <v>23</v>
      </c>
      <c r="M422" t="s">
        <v>78</v>
      </c>
      <c r="N422">
        <v>14</v>
      </c>
      <c r="O422" t="s">
        <v>36</v>
      </c>
    </row>
    <row r="423" spans="1:15" x14ac:dyDescent="0.2">
      <c r="A423" t="s">
        <v>682</v>
      </c>
      <c r="B423" t="s">
        <v>51</v>
      </c>
      <c r="C423" t="s">
        <v>28</v>
      </c>
      <c r="D423" s="1">
        <v>32860</v>
      </c>
      <c r="E423" s="1">
        <v>45413</v>
      </c>
      <c r="F423" s="1">
        <v>45420</v>
      </c>
      <c r="G423" t="s">
        <v>29</v>
      </c>
      <c r="I423" t="s">
        <v>31</v>
      </c>
      <c r="J423" t="s">
        <v>284</v>
      </c>
      <c r="K423" t="s">
        <v>71</v>
      </c>
      <c r="M423" t="s">
        <v>35</v>
      </c>
      <c r="O423" t="s">
        <v>36</v>
      </c>
    </row>
    <row r="424" spans="1:15" x14ac:dyDescent="0.2">
      <c r="A424">
        <v>422</v>
      </c>
      <c r="B424" t="s">
        <v>91</v>
      </c>
      <c r="C424" t="s">
        <v>49</v>
      </c>
      <c r="D424" s="1">
        <v>23345</v>
      </c>
      <c r="E424" s="1">
        <v>45426</v>
      </c>
      <c r="F424" s="1">
        <v>45433</v>
      </c>
      <c r="G424" t="s">
        <v>100</v>
      </c>
      <c r="H424" t="s">
        <v>30</v>
      </c>
      <c r="I424" t="s">
        <v>67</v>
      </c>
      <c r="J424" t="s">
        <v>683</v>
      </c>
      <c r="K424" t="s">
        <v>22</v>
      </c>
      <c r="M424" t="s">
        <v>78</v>
      </c>
      <c r="N424">
        <v>9</v>
      </c>
      <c r="O424" t="s">
        <v>25</v>
      </c>
    </row>
    <row r="425" spans="1:15" x14ac:dyDescent="0.2">
      <c r="A425" t="s">
        <v>684</v>
      </c>
      <c r="B425" t="s">
        <v>105</v>
      </c>
      <c r="C425" t="s">
        <v>17</v>
      </c>
      <c r="D425" s="1">
        <v>34997</v>
      </c>
      <c r="E425" s="1">
        <v>45397</v>
      </c>
      <c r="F425" s="1">
        <v>45409</v>
      </c>
      <c r="G425" t="s">
        <v>83</v>
      </c>
      <c r="H425" t="s">
        <v>30</v>
      </c>
      <c r="I425" t="s">
        <v>57</v>
      </c>
      <c r="J425" t="s">
        <v>685</v>
      </c>
      <c r="K425" t="s">
        <v>48</v>
      </c>
      <c r="M425" t="s">
        <v>35</v>
      </c>
      <c r="N425">
        <v>14</v>
      </c>
      <c r="O425" t="s">
        <v>36</v>
      </c>
    </row>
    <row r="426" spans="1:15" x14ac:dyDescent="0.2">
      <c r="A426" t="s">
        <v>686</v>
      </c>
      <c r="B426" t="s">
        <v>150</v>
      </c>
      <c r="C426" t="s">
        <v>28</v>
      </c>
      <c r="D426" s="1">
        <v>28017</v>
      </c>
      <c r="E426" s="1">
        <v>45442</v>
      </c>
      <c r="F426" s="1">
        <v>45450</v>
      </c>
      <c r="G426" t="s">
        <v>83</v>
      </c>
      <c r="I426" t="s">
        <v>41</v>
      </c>
      <c r="J426" t="s">
        <v>687</v>
      </c>
      <c r="K426" t="s">
        <v>22</v>
      </c>
      <c r="L426" t="s">
        <v>34</v>
      </c>
      <c r="M426" t="s">
        <v>24</v>
      </c>
      <c r="N426">
        <v>5</v>
      </c>
    </row>
    <row r="427" spans="1:15" x14ac:dyDescent="0.2">
      <c r="A427" t="s">
        <v>688</v>
      </c>
      <c r="B427" t="s">
        <v>82</v>
      </c>
      <c r="C427" t="s">
        <v>65</v>
      </c>
      <c r="D427" s="1">
        <v>18851</v>
      </c>
      <c r="E427" s="1">
        <v>45393</v>
      </c>
      <c r="G427" t="s">
        <v>72</v>
      </c>
      <c r="H427" t="s">
        <v>19</v>
      </c>
      <c r="I427" t="s">
        <v>76</v>
      </c>
      <c r="J427">
        <v>929</v>
      </c>
      <c r="K427" t="s">
        <v>33</v>
      </c>
      <c r="M427" t="s">
        <v>24</v>
      </c>
      <c r="N427">
        <v>12</v>
      </c>
    </row>
    <row r="428" spans="1:15" x14ac:dyDescent="0.2">
      <c r="A428">
        <v>426</v>
      </c>
      <c r="B428" t="s">
        <v>45</v>
      </c>
      <c r="C428" t="s">
        <v>17</v>
      </c>
      <c r="D428" s="1">
        <v>22362</v>
      </c>
      <c r="E428" s="1">
        <v>45295</v>
      </c>
      <c r="G428" t="s">
        <v>88</v>
      </c>
      <c r="H428" t="s">
        <v>75</v>
      </c>
      <c r="I428" t="s">
        <v>67</v>
      </c>
      <c r="J428" t="s">
        <v>689</v>
      </c>
      <c r="K428" t="s">
        <v>71</v>
      </c>
      <c r="L428" t="s">
        <v>23</v>
      </c>
      <c r="M428" t="s">
        <v>24</v>
      </c>
    </row>
    <row r="429" spans="1:15" x14ac:dyDescent="0.2">
      <c r="A429" t="s">
        <v>690</v>
      </c>
      <c r="B429" t="s">
        <v>51</v>
      </c>
      <c r="C429" t="s">
        <v>17</v>
      </c>
      <c r="D429" s="1">
        <v>28124</v>
      </c>
      <c r="E429" s="1">
        <v>45329</v>
      </c>
      <c r="F429" s="1">
        <v>45331</v>
      </c>
      <c r="G429" t="s">
        <v>46</v>
      </c>
      <c r="H429" t="s">
        <v>75</v>
      </c>
      <c r="I429" t="s">
        <v>53</v>
      </c>
      <c r="J429">
        <v>1011</v>
      </c>
      <c r="K429" t="s">
        <v>71</v>
      </c>
      <c r="L429" t="s">
        <v>34</v>
      </c>
      <c r="M429" t="s">
        <v>78</v>
      </c>
      <c r="N429">
        <v>4</v>
      </c>
      <c r="O429" t="s">
        <v>36</v>
      </c>
    </row>
    <row r="430" spans="1:15" x14ac:dyDescent="0.2">
      <c r="A430" t="s">
        <v>691</v>
      </c>
      <c r="B430" t="s">
        <v>118</v>
      </c>
      <c r="C430" t="s">
        <v>17</v>
      </c>
      <c r="D430" s="1">
        <v>29203</v>
      </c>
      <c r="E430" s="1">
        <v>45318</v>
      </c>
      <c r="F430" s="1">
        <v>45332</v>
      </c>
      <c r="G430" t="s">
        <v>18</v>
      </c>
      <c r="H430" t="s">
        <v>61</v>
      </c>
      <c r="I430" t="s">
        <v>53</v>
      </c>
      <c r="J430" t="s">
        <v>692</v>
      </c>
      <c r="K430" t="s">
        <v>48</v>
      </c>
      <c r="M430" t="s">
        <v>78</v>
      </c>
      <c r="N430">
        <v>10</v>
      </c>
    </row>
    <row r="431" spans="1:15" x14ac:dyDescent="0.2">
      <c r="A431" t="s">
        <v>693</v>
      </c>
      <c r="B431" t="s">
        <v>56</v>
      </c>
      <c r="C431" t="s">
        <v>97</v>
      </c>
      <c r="D431" s="1">
        <v>20253</v>
      </c>
      <c r="E431" s="1">
        <v>45400</v>
      </c>
      <c r="F431" s="1">
        <v>45405</v>
      </c>
      <c r="G431" t="s">
        <v>100</v>
      </c>
      <c r="H431" t="s">
        <v>66</v>
      </c>
      <c r="I431" t="s">
        <v>76</v>
      </c>
      <c r="J431" t="s">
        <v>524</v>
      </c>
      <c r="K431" t="s">
        <v>71</v>
      </c>
      <c r="M431" t="s">
        <v>35</v>
      </c>
    </row>
    <row r="432" spans="1:15" x14ac:dyDescent="0.2">
      <c r="A432" t="s">
        <v>694</v>
      </c>
      <c r="B432" t="s">
        <v>56</v>
      </c>
      <c r="C432" t="s">
        <v>92</v>
      </c>
      <c r="D432" s="1">
        <v>32620</v>
      </c>
      <c r="E432" s="1">
        <v>45421</v>
      </c>
      <c r="F432" s="1">
        <v>45432</v>
      </c>
      <c r="G432" t="s">
        <v>18</v>
      </c>
      <c r="I432" t="s">
        <v>41</v>
      </c>
      <c r="J432">
        <v>1445</v>
      </c>
      <c r="K432" t="s">
        <v>22</v>
      </c>
      <c r="M432" t="s">
        <v>24</v>
      </c>
      <c r="N432">
        <v>7</v>
      </c>
    </row>
    <row r="433" spans="1:15" x14ac:dyDescent="0.2">
      <c r="A433" t="s">
        <v>695</v>
      </c>
      <c r="B433" t="s">
        <v>102</v>
      </c>
      <c r="C433" t="s">
        <v>39</v>
      </c>
      <c r="D433" s="1">
        <v>33741</v>
      </c>
      <c r="E433" s="1">
        <v>45451</v>
      </c>
      <c r="F433" s="1">
        <v>45463</v>
      </c>
      <c r="G433" t="s">
        <v>72</v>
      </c>
      <c r="H433" t="s">
        <v>19</v>
      </c>
      <c r="I433" t="s">
        <v>67</v>
      </c>
      <c r="J433" t="s">
        <v>696</v>
      </c>
      <c r="K433" t="s">
        <v>22</v>
      </c>
      <c r="M433" t="s">
        <v>35</v>
      </c>
      <c r="N433">
        <v>8</v>
      </c>
      <c r="O433" t="s">
        <v>36</v>
      </c>
    </row>
    <row r="434" spans="1:15" x14ac:dyDescent="0.2">
      <c r="A434" t="s">
        <v>697</v>
      </c>
      <c r="B434" t="s">
        <v>51</v>
      </c>
      <c r="C434" t="s">
        <v>65</v>
      </c>
      <c r="D434" s="1">
        <v>19805</v>
      </c>
      <c r="E434" s="1">
        <v>45383</v>
      </c>
      <c r="F434" s="1">
        <v>45386</v>
      </c>
      <c r="G434" t="s">
        <v>40</v>
      </c>
      <c r="H434" t="s">
        <v>66</v>
      </c>
      <c r="I434" t="s">
        <v>41</v>
      </c>
      <c r="J434" t="s">
        <v>698</v>
      </c>
      <c r="K434" t="s">
        <v>71</v>
      </c>
      <c r="L434" t="s">
        <v>34</v>
      </c>
      <c r="M434" t="s">
        <v>24</v>
      </c>
    </row>
    <row r="435" spans="1:15" x14ac:dyDescent="0.2">
      <c r="A435" t="s">
        <v>699</v>
      </c>
      <c r="B435" t="s">
        <v>56</v>
      </c>
      <c r="C435" t="s">
        <v>92</v>
      </c>
      <c r="D435" s="1">
        <v>29415</v>
      </c>
      <c r="E435" s="1">
        <v>45303</v>
      </c>
      <c r="F435" s="1">
        <v>45317</v>
      </c>
      <c r="G435" t="s">
        <v>88</v>
      </c>
      <c r="H435" t="s">
        <v>19</v>
      </c>
      <c r="I435" t="s">
        <v>41</v>
      </c>
      <c r="J435" t="s">
        <v>700</v>
      </c>
      <c r="K435" t="s">
        <v>48</v>
      </c>
      <c r="L435" t="s">
        <v>34</v>
      </c>
      <c r="M435" t="s">
        <v>24</v>
      </c>
      <c r="O435" t="s">
        <v>25</v>
      </c>
    </row>
    <row r="436" spans="1:15" x14ac:dyDescent="0.2">
      <c r="A436" t="s">
        <v>701</v>
      </c>
      <c r="B436" t="s">
        <v>16</v>
      </c>
      <c r="C436" t="s">
        <v>39</v>
      </c>
      <c r="D436" s="1">
        <v>24994</v>
      </c>
      <c r="E436" s="1">
        <v>45332</v>
      </c>
      <c r="F436" s="1">
        <v>45345</v>
      </c>
      <c r="G436" t="s">
        <v>74</v>
      </c>
      <c r="H436" t="s">
        <v>52</v>
      </c>
      <c r="I436" t="s">
        <v>53</v>
      </c>
      <c r="J436" t="s">
        <v>702</v>
      </c>
      <c r="K436" t="s">
        <v>22</v>
      </c>
      <c r="L436" t="s">
        <v>34</v>
      </c>
      <c r="M436" t="s">
        <v>35</v>
      </c>
      <c r="N436">
        <v>7</v>
      </c>
      <c r="O436" t="s">
        <v>25</v>
      </c>
    </row>
    <row r="437" spans="1:15" x14ac:dyDescent="0.2">
      <c r="A437" t="s">
        <v>703</v>
      </c>
      <c r="B437" t="s">
        <v>56</v>
      </c>
      <c r="C437" t="s">
        <v>92</v>
      </c>
      <c r="D437" s="1">
        <v>27660</v>
      </c>
      <c r="E437" s="1">
        <v>45313</v>
      </c>
      <c r="F437" s="1">
        <v>45326</v>
      </c>
      <c r="G437" t="s">
        <v>83</v>
      </c>
      <c r="H437" t="s">
        <v>75</v>
      </c>
      <c r="I437" t="s">
        <v>53</v>
      </c>
      <c r="J437" t="s">
        <v>704</v>
      </c>
      <c r="K437" t="s">
        <v>43</v>
      </c>
      <c r="M437" t="s">
        <v>35</v>
      </c>
      <c r="O437" t="s">
        <v>36</v>
      </c>
    </row>
    <row r="438" spans="1:15" x14ac:dyDescent="0.2">
      <c r="A438">
        <v>436</v>
      </c>
      <c r="B438" t="s">
        <v>82</v>
      </c>
      <c r="C438" t="s">
        <v>28</v>
      </c>
      <c r="D438" s="1">
        <v>35177</v>
      </c>
      <c r="E438" s="1">
        <v>45299</v>
      </c>
      <c r="G438" t="s">
        <v>88</v>
      </c>
      <c r="H438" t="s">
        <v>75</v>
      </c>
      <c r="I438" t="s">
        <v>41</v>
      </c>
      <c r="J438" t="s">
        <v>705</v>
      </c>
      <c r="K438" t="s">
        <v>48</v>
      </c>
      <c r="M438" t="s">
        <v>78</v>
      </c>
      <c r="N438">
        <v>13</v>
      </c>
      <c r="O438" t="s">
        <v>25</v>
      </c>
    </row>
    <row r="439" spans="1:15" x14ac:dyDescent="0.2">
      <c r="A439">
        <v>437</v>
      </c>
      <c r="B439" t="s">
        <v>80</v>
      </c>
      <c r="C439" t="s">
        <v>28</v>
      </c>
      <c r="D439" s="1">
        <v>19479</v>
      </c>
      <c r="E439" s="1">
        <v>45439</v>
      </c>
      <c r="F439" s="1">
        <v>45451</v>
      </c>
      <c r="G439" t="s">
        <v>29</v>
      </c>
      <c r="H439" t="s">
        <v>19</v>
      </c>
      <c r="I439" t="s">
        <v>53</v>
      </c>
      <c r="J439" t="s">
        <v>226</v>
      </c>
      <c r="K439" t="s">
        <v>33</v>
      </c>
      <c r="M439" t="s">
        <v>35</v>
      </c>
      <c r="N439">
        <v>15</v>
      </c>
    </row>
    <row r="440" spans="1:15" x14ac:dyDescent="0.2">
      <c r="A440" t="s">
        <v>706</v>
      </c>
      <c r="B440" t="s">
        <v>87</v>
      </c>
      <c r="C440" t="s">
        <v>49</v>
      </c>
      <c r="D440" s="1">
        <v>31500</v>
      </c>
      <c r="E440" s="1">
        <v>45456</v>
      </c>
      <c r="F440" s="1">
        <v>45466</v>
      </c>
      <c r="G440" t="s">
        <v>83</v>
      </c>
      <c r="I440" t="s">
        <v>41</v>
      </c>
      <c r="J440">
        <v>1428</v>
      </c>
      <c r="K440" t="s">
        <v>22</v>
      </c>
      <c r="M440" t="s">
        <v>35</v>
      </c>
      <c r="O440" t="s">
        <v>36</v>
      </c>
    </row>
    <row r="441" spans="1:15" x14ac:dyDescent="0.2">
      <c r="A441">
        <v>439</v>
      </c>
      <c r="B441" t="s">
        <v>87</v>
      </c>
      <c r="C441" t="s">
        <v>65</v>
      </c>
      <c r="D441" s="1">
        <v>35984</v>
      </c>
      <c r="E441" s="1">
        <v>45346</v>
      </c>
      <c r="F441" s="1">
        <v>45351</v>
      </c>
      <c r="G441" t="s">
        <v>72</v>
      </c>
      <c r="H441" t="s">
        <v>52</v>
      </c>
      <c r="I441" t="s">
        <v>20</v>
      </c>
      <c r="J441" t="s">
        <v>707</v>
      </c>
      <c r="K441" t="s">
        <v>22</v>
      </c>
      <c r="M441" t="s">
        <v>24</v>
      </c>
      <c r="N441">
        <v>9</v>
      </c>
      <c r="O441" t="s">
        <v>25</v>
      </c>
    </row>
    <row r="442" spans="1:15" x14ac:dyDescent="0.2">
      <c r="A442" t="s">
        <v>708</v>
      </c>
      <c r="B442" t="s">
        <v>80</v>
      </c>
      <c r="C442" t="s">
        <v>39</v>
      </c>
      <c r="D442" s="1">
        <v>30485</v>
      </c>
      <c r="E442" s="1">
        <v>45452</v>
      </c>
      <c r="G442" t="s">
        <v>72</v>
      </c>
      <c r="H442" t="s">
        <v>66</v>
      </c>
      <c r="I442" t="s">
        <v>76</v>
      </c>
      <c r="J442" t="s">
        <v>660</v>
      </c>
      <c r="K442" t="s">
        <v>71</v>
      </c>
      <c r="M442" t="s">
        <v>35</v>
      </c>
      <c r="N442">
        <v>10</v>
      </c>
    </row>
    <row r="443" spans="1:15" x14ac:dyDescent="0.2">
      <c r="A443" t="s">
        <v>709</v>
      </c>
      <c r="B443" t="s">
        <v>27</v>
      </c>
      <c r="C443" t="s">
        <v>39</v>
      </c>
      <c r="D443" s="1">
        <v>37778</v>
      </c>
      <c r="E443" s="1">
        <v>45381</v>
      </c>
      <c r="F443" s="1">
        <v>45394</v>
      </c>
      <c r="G443" t="s">
        <v>29</v>
      </c>
      <c r="H443" t="s">
        <v>61</v>
      </c>
      <c r="I443" t="s">
        <v>53</v>
      </c>
      <c r="J443" t="s">
        <v>710</v>
      </c>
      <c r="K443" t="s">
        <v>33</v>
      </c>
      <c r="L443" t="s">
        <v>23</v>
      </c>
      <c r="M443" t="s">
        <v>78</v>
      </c>
      <c r="N443">
        <v>3</v>
      </c>
    </row>
    <row r="444" spans="1:15" x14ac:dyDescent="0.2">
      <c r="A444">
        <v>442</v>
      </c>
      <c r="B444" t="s">
        <v>82</v>
      </c>
      <c r="C444" t="s">
        <v>17</v>
      </c>
      <c r="D444" s="1">
        <v>21286</v>
      </c>
      <c r="E444" s="1">
        <v>45400</v>
      </c>
      <c r="F444" s="1">
        <v>45408</v>
      </c>
      <c r="G444" t="s">
        <v>83</v>
      </c>
      <c r="H444" t="s">
        <v>75</v>
      </c>
      <c r="I444" t="s">
        <v>57</v>
      </c>
      <c r="J444">
        <v>924</v>
      </c>
      <c r="K444" t="s">
        <v>33</v>
      </c>
      <c r="M444" t="s">
        <v>24</v>
      </c>
      <c r="N444">
        <v>8</v>
      </c>
    </row>
    <row r="445" spans="1:15" x14ac:dyDescent="0.2">
      <c r="A445">
        <v>443</v>
      </c>
      <c r="B445" t="s">
        <v>82</v>
      </c>
      <c r="C445" t="s">
        <v>39</v>
      </c>
      <c r="D445" s="1">
        <v>23600</v>
      </c>
      <c r="E445" s="1">
        <v>45421</v>
      </c>
      <c r="F445" s="1">
        <v>45429</v>
      </c>
      <c r="G445" t="s">
        <v>40</v>
      </c>
      <c r="I445" t="s">
        <v>57</v>
      </c>
      <c r="J445" t="s">
        <v>711</v>
      </c>
      <c r="K445" t="s">
        <v>71</v>
      </c>
      <c r="M445" t="s">
        <v>35</v>
      </c>
      <c r="N445">
        <v>9</v>
      </c>
      <c r="O445" t="s">
        <v>36</v>
      </c>
    </row>
    <row r="446" spans="1:15" x14ac:dyDescent="0.2">
      <c r="A446" t="s">
        <v>712</v>
      </c>
      <c r="B446" t="s">
        <v>85</v>
      </c>
      <c r="C446" t="s">
        <v>39</v>
      </c>
      <c r="D446" s="1">
        <v>31653</v>
      </c>
      <c r="E446" s="1">
        <v>45322</v>
      </c>
      <c r="F446" s="1">
        <v>45323</v>
      </c>
      <c r="G446" t="s">
        <v>74</v>
      </c>
      <c r="H446" t="s">
        <v>30</v>
      </c>
      <c r="I446" t="s">
        <v>31</v>
      </c>
      <c r="J446" t="s">
        <v>713</v>
      </c>
      <c r="K446" t="s">
        <v>33</v>
      </c>
      <c r="M446" t="s">
        <v>35</v>
      </c>
      <c r="N446">
        <v>3</v>
      </c>
    </row>
    <row r="447" spans="1:15" x14ac:dyDescent="0.2">
      <c r="A447">
        <v>445</v>
      </c>
      <c r="B447" t="s">
        <v>80</v>
      </c>
      <c r="C447" t="s">
        <v>92</v>
      </c>
      <c r="D447" s="1">
        <v>27553</v>
      </c>
      <c r="E447" s="1">
        <v>45338</v>
      </c>
      <c r="G447" t="s">
        <v>40</v>
      </c>
      <c r="H447" t="s">
        <v>30</v>
      </c>
      <c r="I447" t="s">
        <v>20</v>
      </c>
      <c r="J447">
        <v>191</v>
      </c>
      <c r="K447" t="s">
        <v>71</v>
      </c>
      <c r="M447" t="s">
        <v>24</v>
      </c>
      <c r="N447">
        <v>6</v>
      </c>
      <c r="O447" t="s">
        <v>36</v>
      </c>
    </row>
    <row r="448" spans="1:15" x14ac:dyDescent="0.2">
      <c r="A448">
        <v>446</v>
      </c>
      <c r="B448" t="s">
        <v>85</v>
      </c>
      <c r="C448" t="s">
        <v>97</v>
      </c>
      <c r="D448" s="1">
        <v>22803</v>
      </c>
      <c r="E448" s="1">
        <v>45407</v>
      </c>
      <c r="G448" t="s">
        <v>83</v>
      </c>
      <c r="H448" t="s">
        <v>66</v>
      </c>
      <c r="I448" t="s">
        <v>41</v>
      </c>
      <c r="J448">
        <v>1379</v>
      </c>
      <c r="K448" t="s">
        <v>71</v>
      </c>
      <c r="L448" t="s">
        <v>23</v>
      </c>
      <c r="M448" t="s">
        <v>78</v>
      </c>
      <c r="N448">
        <v>1</v>
      </c>
    </row>
    <row r="449" spans="1:15" x14ac:dyDescent="0.2">
      <c r="A449">
        <v>447</v>
      </c>
      <c r="B449" t="s">
        <v>38</v>
      </c>
      <c r="C449" t="s">
        <v>49</v>
      </c>
      <c r="D449" s="1">
        <v>21164</v>
      </c>
      <c r="E449" s="1">
        <v>45473</v>
      </c>
      <c r="F449" s="1">
        <v>45486</v>
      </c>
      <c r="G449" t="s">
        <v>40</v>
      </c>
      <c r="H449" t="s">
        <v>75</v>
      </c>
      <c r="I449" t="s">
        <v>20</v>
      </c>
      <c r="J449" t="s">
        <v>714</v>
      </c>
      <c r="K449" t="s">
        <v>22</v>
      </c>
      <c r="L449" t="s">
        <v>34</v>
      </c>
      <c r="M449" t="s">
        <v>24</v>
      </c>
      <c r="N449">
        <v>13</v>
      </c>
      <c r="O449" t="s">
        <v>36</v>
      </c>
    </row>
    <row r="450" spans="1:15" x14ac:dyDescent="0.2">
      <c r="A450" t="s">
        <v>715</v>
      </c>
      <c r="B450" t="s">
        <v>64</v>
      </c>
      <c r="C450" t="s">
        <v>17</v>
      </c>
      <c r="D450" s="1">
        <v>39833</v>
      </c>
      <c r="E450" s="1">
        <v>45296</v>
      </c>
      <c r="F450" s="1">
        <v>45300</v>
      </c>
      <c r="G450" t="s">
        <v>74</v>
      </c>
      <c r="I450" t="s">
        <v>57</v>
      </c>
      <c r="J450" t="s">
        <v>716</v>
      </c>
      <c r="K450" t="s">
        <v>71</v>
      </c>
      <c r="L450" t="s">
        <v>34</v>
      </c>
      <c r="M450" t="s">
        <v>78</v>
      </c>
      <c r="N450">
        <v>1</v>
      </c>
      <c r="O450" t="s">
        <v>36</v>
      </c>
    </row>
    <row r="451" spans="1:15" x14ac:dyDescent="0.2">
      <c r="A451">
        <v>449</v>
      </c>
      <c r="B451" t="s">
        <v>140</v>
      </c>
      <c r="C451" t="s">
        <v>28</v>
      </c>
      <c r="D451" s="1">
        <v>19052</v>
      </c>
      <c r="E451" s="1">
        <v>45389</v>
      </c>
      <c r="G451" t="s">
        <v>74</v>
      </c>
      <c r="H451" t="s">
        <v>61</v>
      </c>
      <c r="I451" t="s">
        <v>67</v>
      </c>
      <c r="J451" t="s">
        <v>717</v>
      </c>
      <c r="K451" t="s">
        <v>22</v>
      </c>
      <c r="M451" t="s">
        <v>35</v>
      </c>
      <c r="O451" t="s">
        <v>36</v>
      </c>
    </row>
    <row r="452" spans="1:15" x14ac:dyDescent="0.2">
      <c r="A452" t="s">
        <v>718</v>
      </c>
      <c r="B452" t="s">
        <v>140</v>
      </c>
      <c r="C452" t="s">
        <v>17</v>
      </c>
      <c r="D452" s="1">
        <v>38399</v>
      </c>
      <c r="E452" s="1">
        <v>45338</v>
      </c>
      <c r="F452" s="1">
        <v>45343</v>
      </c>
      <c r="G452" t="s">
        <v>74</v>
      </c>
      <c r="H452" t="s">
        <v>30</v>
      </c>
      <c r="I452" t="s">
        <v>67</v>
      </c>
      <c r="J452" t="s">
        <v>323</v>
      </c>
      <c r="K452" t="s">
        <v>33</v>
      </c>
      <c r="M452" t="s">
        <v>35</v>
      </c>
      <c r="O452" t="s">
        <v>25</v>
      </c>
    </row>
    <row r="453" spans="1:15" x14ac:dyDescent="0.2">
      <c r="A453" t="s">
        <v>719</v>
      </c>
      <c r="B453" t="s">
        <v>119</v>
      </c>
      <c r="C453" t="s">
        <v>97</v>
      </c>
      <c r="D453" s="1">
        <v>34417</v>
      </c>
      <c r="E453" s="1">
        <v>45321</v>
      </c>
      <c r="G453" t="s">
        <v>100</v>
      </c>
      <c r="H453" t="s">
        <v>61</v>
      </c>
      <c r="I453" t="s">
        <v>76</v>
      </c>
      <c r="J453">
        <v>234</v>
      </c>
      <c r="K453" t="s">
        <v>48</v>
      </c>
      <c r="M453" t="s">
        <v>24</v>
      </c>
      <c r="O453" t="s">
        <v>25</v>
      </c>
    </row>
    <row r="454" spans="1:15" x14ac:dyDescent="0.2">
      <c r="A454">
        <v>452</v>
      </c>
      <c r="B454" t="s">
        <v>27</v>
      </c>
      <c r="C454" t="s">
        <v>65</v>
      </c>
      <c r="D454" s="1">
        <v>21590</v>
      </c>
      <c r="E454" s="1">
        <v>45434</v>
      </c>
      <c r="F454" s="1">
        <v>45441</v>
      </c>
      <c r="G454" t="s">
        <v>74</v>
      </c>
      <c r="I454" t="s">
        <v>53</v>
      </c>
      <c r="J454" t="s">
        <v>720</v>
      </c>
      <c r="K454" t="s">
        <v>22</v>
      </c>
      <c r="M454" t="s">
        <v>24</v>
      </c>
      <c r="N454">
        <v>13</v>
      </c>
      <c r="O454" t="s">
        <v>25</v>
      </c>
    </row>
    <row r="455" spans="1:15" x14ac:dyDescent="0.2">
      <c r="A455" t="s">
        <v>721</v>
      </c>
      <c r="B455" t="s">
        <v>82</v>
      </c>
      <c r="C455" t="s">
        <v>65</v>
      </c>
      <c r="D455" s="1">
        <v>33066</v>
      </c>
      <c r="E455" s="1">
        <v>45292</v>
      </c>
      <c r="F455" s="1">
        <v>45302</v>
      </c>
      <c r="G455" t="s">
        <v>72</v>
      </c>
      <c r="H455" t="s">
        <v>52</v>
      </c>
      <c r="I455" t="s">
        <v>20</v>
      </c>
      <c r="J455">
        <v>223</v>
      </c>
      <c r="K455" t="s">
        <v>33</v>
      </c>
      <c r="M455" t="s">
        <v>24</v>
      </c>
      <c r="N455">
        <v>6</v>
      </c>
    </row>
    <row r="456" spans="1:15" x14ac:dyDescent="0.2">
      <c r="A456" t="s">
        <v>722</v>
      </c>
      <c r="B456" t="s">
        <v>119</v>
      </c>
      <c r="C456" t="s">
        <v>39</v>
      </c>
      <c r="D456" s="1">
        <v>34986</v>
      </c>
      <c r="E456" s="1">
        <v>45303</v>
      </c>
      <c r="F456" s="1">
        <v>45313</v>
      </c>
      <c r="G456" t="s">
        <v>60</v>
      </c>
      <c r="H456" t="s">
        <v>66</v>
      </c>
      <c r="I456" t="s">
        <v>76</v>
      </c>
      <c r="J456" t="s">
        <v>723</v>
      </c>
      <c r="K456" t="s">
        <v>43</v>
      </c>
      <c r="M456" t="s">
        <v>78</v>
      </c>
    </row>
    <row r="457" spans="1:15" x14ac:dyDescent="0.2">
      <c r="A457">
        <v>455</v>
      </c>
      <c r="B457" t="s">
        <v>59</v>
      </c>
      <c r="C457" t="s">
        <v>49</v>
      </c>
      <c r="D457" s="1">
        <v>26828</v>
      </c>
      <c r="E457" s="1">
        <v>45361</v>
      </c>
      <c r="F457" s="1">
        <v>45367</v>
      </c>
      <c r="G457" t="s">
        <v>50</v>
      </c>
      <c r="H457" t="s">
        <v>19</v>
      </c>
      <c r="I457" t="s">
        <v>57</v>
      </c>
      <c r="J457" t="s">
        <v>724</v>
      </c>
      <c r="K457" t="s">
        <v>22</v>
      </c>
      <c r="L457" t="s">
        <v>34</v>
      </c>
      <c r="M457" t="s">
        <v>24</v>
      </c>
      <c r="N457">
        <v>15</v>
      </c>
      <c r="O457" t="s">
        <v>25</v>
      </c>
    </row>
    <row r="458" spans="1:15" x14ac:dyDescent="0.2">
      <c r="A458" t="s">
        <v>725</v>
      </c>
      <c r="B458" t="s">
        <v>140</v>
      </c>
      <c r="C458" t="s">
        <v>28</v>
      </c>
      <c r="D458" s="1">
        <v>36476</v>
      </c>
      <c r="E458" s="1">
        <v>45392</v>
      </c>
      <c r="F458" s="1">
        <v>45403</v>
      </c>
      <c r="G458" t="s">
        <v>40</v>
      </c>
      <c r="H458" t="s">
        <v>66</v>
      </c>
      <c r="I458" t="s">
        <v>41</v>
      </c>
      <c r="J458">
        <v>1475</v>
      </c>
      <c r="K458" t="s">
        <v>48</v>
      </c>
      <c r="M458" t="s">
        <v>78</v>
      </c>
      <c r="N458">
        <v>6</v>
      </c>
      <c r="O458" t="s">
        <v>36</v>
      </c>
    </row>
    <row r="459" spans="1:15" x14ac:dyDescent="0.2">
      <c r="A459" t="s">
        <v>726</v>
      </c>
      <c r="B459" t="s">
        <v>64</v>
      </c>
      <c r="C459" t="s">
        <v>17</v>
      </c>
      <c r="D459" s="1">
        <v>33425</v>
      </c>
      <c r="E459" s="1">
        <v>45341</v>
      </c>
      <c r="G459" t="s">
        <v>88</v>
      </c>
      <c r="I459" t="s">
        <v>31</v>
      </c>
      <c r="J459" t="s">
        <v>727</v>
      </c>
      <c r="K459" t="s">
        <v>22</v>
      </c>
      <c r="L459" t="s">
        <v>34</v>
      </c>
      <c r="M459" t="s">
        <v>24</v>
      </c>
      <c r="N459">
        <v>13</v>
      </c>
    </row>
    <row r="460" spans="1:15" x14ac:dyDescent="0.2">
      <c r="A460" t="s">
        <v>728</v>
      </c>
      <c r="B460" t="s">
        <v>91</v>
      </c>
      <c r="C460" t="s">
        <v>28</v>
      </c>
      <c r="D460" s="1">
        <v>30158</v>
      </c>
      <c r="E460" s="1">
        <v>45363</v>
      </c>
      <c r="F460" s="1">
        <v>45375</v>
      </c>
      <c r="G460" t="s">
        <v>88</v>
      </c>
      <c r="H460" t="s">
        <v>52</v>
      </c>
      <c r="I460" t="s">
        <v>41</v>
      </c>
      <c r="J460">
        <v>1407</v>
      </c>
      <c r="K460" t="s">
        <v>48</v>
      </c>
      <c r="M460" t="s">
        <v>24</v>
      </c>
      <c r="N460">
        <v>3</v>
      </c>
    </row>
    <row r="461" spans="1:15" x14ac:dyDescent="0.2">
      <c r="A461" t="s">
        <v>729</v>
      </c>
      <c r="B461" t="s">
        <v>119</v>
      </c>
      <c r="C461" t="s">
        <v>49</v>
      </c>
      <c r="D461" s="1">
        <v>38022</v>
      </c>
      <c r="E461" s="1">
        <v>45308</v>
      </c>
      <c r="F461" s="1">
        <v>45311</v>
      </c>
      <c r="G461" t="s">
        <v>18</v>
      </c>
      <c r="I461" t="s">
        <v>67</v>
      </c>
      <c r="J461" t="s">
        <v>730</v>
      </c>
      <c r="K461" t="s">
        <v>22</v>
      </c>
      <c r="L461" t="s">
        <v>34</v>
      </c>
      <c r="M461" t="s">
        <v>24</v>
      </c>
      <c r="N461">
        <v>10</v>
      </c>
      <c r="O461" t="s">
        <v>36</v>
      </c>
    </row>
    <row r="462" spans="1:15" x14ac:dyDescent="0.2">
      <c r="A462" t="s">
        <v>731</v>
      </c>
      <c r="B462" t="s">
        <v>27</v>
      </c>
      <c r="C462" t="s">
        <v>28</v>
      </c>
      <c r="D462" s="1">
        <v>18328</v>
      </c>
      <c r="E462" s="1">
        <v>45456</v>
      </c>
      <c r="F462" s="1">
        <v>45462</v>
      </c>
      <c r="G462" t="s">
        <v>29</v>
      </c>
      <c r="H462" t="s">
        <v>30</v>
      </c>
      <c r="I462" t="s">
        <v>20</v>
      </c>
      <c r="J462">
        <v>1492</v>
      </c>
      <c r="K462" t="s">
        <v>71</v>
      </c>
      <c r="M462" t="s">
        <v>24</v>
      </c>
      <c r="N462">
        <v>15</v>
      </c>
    </row>
    <row r="463" spans="1:15" x14ac:dyDescent="0.2">
      <c r="A463" t="s">
        <v>732</v>
      </c>
      <c r="B463" t="s">
        <v>80</v>
      </c>
      <c r="C463" t="s">
        <v>92</v>
      </c>
      <c r="D463" s="1">
        <v>32028</v>
      </c>
      <c r="E463" s="1">
        <v>45372</v>
      </c>
      <c r="F463" s="1">
        <v>45378</v>
      </c>
      <c r="G463" t="s">
        <v>18</v>
      </c>
      <c r="I463" t="s">
        <v>20</v>
      </c>
      <c r="J463">
        <v>562</v>
      </c>
      <c r="K463" t="s">
        <v>48</v>
      </c>
      <c r="L463" t="s">
        <v>23</v>
      </c>
      <c r="M463" t="s">
        <v>35</v>
      </c>
      <c r="O463" t="s">
        <v>36</v>
      </c>
    </row>
    <row r="464" spans="1:15" x14ac:dyDescent="0.2">
      <c r="A464" t="s">
        <v>733</v>
      </c>
      <c r="B464" t="s">
        <v>16</v>
      </c>
      <c r="C464" t="s">
        <v>17</v>
      </c>
      <c r="D464" s="1">
        <v>33991</v>
      </c>
      <c r="E464" s="1">
        <v>45298</v>
      </c>
      <c r="F464" s="1">
        <v>45302</v>
      </c>
      <c r="G464" t="s">
        <v>100</v>
      </c>
      <c r="H464" t="s">
        <v>52</v>
      </c>
      <c r="I464" t="s">
        <v>31</v>
      </c>
      <c r="J464" t="s">
        <v>734</v>
      </c>
      <c r="K464" t="s">
        <v>43</v>
      </c>
      <c r="L464" t="s">
        <v>23</v>
      </c>
      <c r="M464" t="s">
        <v>35</v>
      </c>
      <c r="N464">
        <v>10</v>
      </c>
      <c r="O464" t="s">
        <v>36</v>
      </c>
    </row>
    <row r="465" spans="1:15" x14ac:dyDescent="0.2">
      <c r="A465" t="s">
        <v>735</v>
      </c>
      <c r="B465" t="s">
        <v>114</v>
      </c>
      <c r="C465" t="s">
        <v>65</v>
      </c>
      <c r="D465" s="1">
        <v>22354</v>
      </c>
      <c r="E465" s="1">
        <v>45307</v>
      </c>
      <c r="F465" s="1">
        <v>45322</v>
      </c>
      <c r="G465" t="s">
        <v>46</v>
      </c>
      <c r="H465" t="s">
        <v>66</v>
      </c>
      <c r="I465" t="s">
        <v>41</v>
      </c>
      <c r="J465" t="s">
        <v>736</v>
      </c>
      <c r="K465" t="s">
        <v>33</v>
      </c>
      <c r="M465" t="s">
        <v>35</v>
      </c>
      <c r="O465" t="s">
        <v>25</v>
      </c>
    </row>
    <row r="466" spans="1:15" x14ac:dyDescent="0.2">
      <c r="A466" t="s">
        <v>737</v>
      </c>
      <c r="B466" t="s">
        <v>80</v>
      </c>
      <c r="C466" t="s">
        <v>92</v>
      </c>
      <c r="D466" s="1">
        <v>30763</v>
      </c>
      <c r="E466" s="1">
        <v>45316</v>
      </c>
      <c r="F466" s="1">
        <v>45326</v>
      </c>
      <c r="G466" t="s">
        <v>100</v>
      </c>
      <c r="H466" t="s">
        <v>19</v>
      </c>
      <c r="I466" t="s">
        <v>76</v>
      </c>
      <c r="J466" t="s">
        <v>738</v>
      </c>
      <c r="K466" t="s">
        <v>33</v>
      </c>
      <c r="L466" t="s">
        <v>34</v>
      </c>
      <c r="M466" t="s">
        <v>78</v>
      </c>
      <c r="N466">
        <v>10</v>
      </c>
      <c r="O466" t="s">
        <v>25</v>
      </c>
    </row>
    <row r="467" spans="1:15" x14ac:dyDescent="0.2">
      <c r="A467" t="s">
        <v>739</v>
      </c>
      <c r="B467" t="s">
        <v>16</v>
      </c>
      <c r="C467" t="s">
        <v>17</v>
      </c>
      <c r="D467" s="1">
        <v>37766</v>
      </c>
      <c r="E467" s="1">
        <v>45443</v>
      </c>
      <c r="F467" s="1">
        <v>45446</v>
      </c>
      <c r="G467" t="s">
        <v>83</v>
      </c>
      <c r="H467" t="s">
        <v>19</v>
      </c>
      <c r="I467" t="s">
        <v>76</v>
      </c>
      <c r="J467">
        <v>1371</v>
      </c>
      <c r="K467" t="s">
        <v>22</v>
      </c>
      <c r="L467" t="s">
        <v>23</v>
      </c>
      <c r="M467" t="s">
        <v>35</v>
      </c>
      <c r="N467">
        <v>1</v>
      </c>
      <c r="O467" t="s">
        <v>25</v>
      </c>
    </row>
    <row r="468" spans="1:15" x14ac:dyDescent="0.2">
      <c r="A468">
        <v>466</v>
      </c>
      <c r="B468" t="s">
        <v>119</v>
      </c>
      <c r="C468" t="s">
        <v>28</v>
      </c>
      <c r="D468" s="1">
        <v>35078</v>
      </c>
      <c r="E468" s="1">
        <v>45371</v>
      </c>
      <c r="G468" t="s">
        <v>60</v>
      </c>
      <c r="H468" t="s">
        <v>61</v>
      </c>
      <c r="I468" t="s">
        <v>31</v>
      </c>
      <c r="J468" t="s">
        <v>740</v>
      </c>
      <c r="K468" t="s">
        <v>48</v>
      </c>
      <c r="L468" t="s">
        <v>23</v>
      </c>
      <c r="M468" t="s">
        <v>35</v>
      </c>
    </row>
    <row r="469" spans="1:15" x14ac:dyDescent="0.2">
      <c r="A469" t="s">
        <v>741</v>
      </c>
      <c r="B469" t="s">
        <v>82</v>
      </c>
      <c r="C469" t="s">
        <v>92</v>
      </c>
      <c r="D469" s="1">
        <v>24667</v>
      </c>
      <c r="E469" s="1">
        <v>45455</v>
      </c>
      <c r="F469" s="1">
        <v>45461</v>
      </c>
      <c r="G469" t="s">
        <v>72</v>
      </c>
      <c r="H469" t="s">
        <v>19</v>
      </c>
      <c r="I469" t="s">
        <v>53</v>
      </c>
      <c r="J469" t="s">
        <v>742</v>
      </c>
      <c r="K469" t="s">
        <v>43</v>
      </c>
      <c r="M469" t="s">
        <v>24</v>
      </c>
      <c r="O469" t="s">
        <v>36</v>
      </c>
    </row>
    <row r="470" spans="1:15" x14ac:dyDescent="0.2">
      <c r="A470" t="s">
        <v>743</v>
      </c>
      <c r="B470" t="s">
        <v>16</v>
      </c>
      <c r="C470" t="s">
        <v>28</v>
      </c>
      <c r="D470" s="1">
        <v>19646</v>
      </c>
      <c r="E470" s="1">
        <v>45348</v>
      </c>
      <c r="F470" s="1">
        <v>45360</v>
      </c>
      <c r="G470" t="s">
        <v>100</v>
      </c>
      <c r="H470" t="s">
        <v>61</v>
      </c>
      <c r="I470" t="s">
        <v>67</v>
      </c>
      <c r="J470">
        <v>589</v>
      </c>
      <c r="K470" t="s">
        <v>33</v>
      </c>
      <c r="M470" t="s">
        <v>35</v>
      </c>
      <c r="N470">
        <v>14</v>
      </c>
      <c r="O470" t="s">
        <v>25</v>
      </c>
    </row>
    <row r="471" spans="1:15" x14ac:dyDescent="0.2">
      <c r="A471">
        <v>469</v>
      </c>
      <c r="B471" t="s">
        <v>64</v>
      </c>
      <c r="C471" t="s">
        <v>17</v>
      </c>
      <c r="D471" s="1">
        <v>29991</v>
      </c>
      <c r="E471" s="1">
        <v>45434</v>
      </c>
      <c r="G471" t="s">
        <v>100</v>
      </c>
      <c r="H471" t="s">
        <v>52</v>
      </c>
      <c r="I471" t="s">
        <v>53</v>
      </c>
      <c r="J471" t="s">
        <v>374</v>
      </c>
      <c r="K471" t="s">
        <v>48</v>
      </c>
      <c r="L471" t="s">
        <v>34</v>
      </c>
      <c r="M471" t="s">
        <v>35</v>
      </c>
      <c r="O471" t="s">
        <v>25</v>
      </c>
    </row>
    <row r="472" spans="1:15" x14ac:dyDescent="0.2">
      <c r="A472" t="s">
        <v>744</v>
      </c>
      <c r="B472" t="s">
        <v>38</v>
      </c>
      <c r="C472" t="s">
        <v>49</v>
      </c>
      <c r="D472" s="1">
        <v>23974</v>
      </c>
      <c r="E472" s="1">
        <v>45433</v>
      </c>
      <c r="F472" s="1">
        <v>45434</v>
      </c>
      <c r="G472" t="s">
        <v>60</v>
      </c>
      <c r="H472" t="s">
        <v>66</v>
      </c>
      <c r="I472" t="s">
        <v>20</v>
      </c>
      <c r="J472" t="s">
        <v>364</v>
      </c>
      <c r="K472" t="s">
        <v>71</v>
      </c>
      <c r="L472" t="s">
        <v>34</v>
      </c>
      <c r="M472" t="s">
        <v>78</v>
      </c>
      <c r="N472">
        <v>5</v>
      </c>
      <c r="O472" t="s">
        <v>36</v>
      </c>
    </row>
    <row r="473" spans="1:15" x14ac:dyDescent="0.2">
      <c r="A473" t="s">
        <v>745</v>
      </c>
      <c r="B473" t="s">
        <v>102</v>
      </c>
      <c r="C473" t="s">
        <v>39</v>
      </c>
      <c r="D473" s="1">
        <v>30465</v>
      </c>
      <c r="E473" s="1">
        <v>45426</v>
      </c>
      <c r="F473" s="1">
        <v>45428</v>
      </c>
      <c r="G473" t="s">
        <v>46</v>
      </c>
      <c r="H473" t="s">
        <v>52</v>
      </c>
      <c r="I473" t="s">
        <v>41</v>
      </c>
      <c r="J473" t="s">
        <v>746</v>
      </c>
      <c r="K473" t="s">
        <v>43</v>
      </c>
      <c r="M473" t="s">
        <v>24</v>
      </c>
      <c r="N473">
        <v>10</v>
      </c>
      <c r="O473" t="s">
        <v>36</v>
      </c>
    </row>
    <row r="474" spans="1:15" x14ac:dyDescent="0.2">
      <c r="A474" t="s">
        <v>747</v>
      </c>
      <c r="B474" t="s">
        <v>91</v>
      </c>
      <c r="C474" t="s">
        <v>17</v>
      </c>
      <c r="D474" s="1">
        <v>38450</v>
      </c>
      <c r="E474" s="1">
        <v>45429</v>
      </c>
      <c r="F474" s="1">
        <v>45435</v>
      </c>
      <c r="G474" t="s">
        <v>88</v>
      </c>
      <c r="H474" t="s">
        <v>75</v>
      </c>
      <c r="I474" t="s">
        <v>41</v>
      </c>
      <c r="J474" t="s">
        <v>748</v>
      </c>
      <c r="K474" t="s">
        <v>43</v>
      </c>
      <c r="M474" t="s">
        <v>35</v>
      </c>
      <c r="N474">
        <v>13</v>
      </c>
      <c r="O474" t="s">
        <v>36</v>
      </c>
    </row>
    <row r="475" spans="1:15" x14ac:dyDescent="0.2">
      <c r="A475" t="s">
        <v>749</v>
      </c>
      <c r="B475" t="s">
        <v>85</v>
      </c>
      <c r="C475" t="s">
        <v>17</v>
      </c>
      <c r="D475" s="1">
        <v>23750</v>
      </c>
      <c r="E475" s="1">
        <v>45457</v>
      </c>
      <c r="F475" s="1">
        <v>45465</v>
      </c>
      <c r="G475" t="s">
        <v>83</v>
      </c>
      <c r="H475" t="s">
        <v>75</v>
      </c>
      <c r="I475" t="s">
        <v>31</v>
      </c>
      <c r="J475">
        <v>1176</v>
      </c>
      <c r="K475" t="s">
        <v>71</v>
      </c>
      <c r="M475" t="s">
        <v>78</v>
      </c>
      <c r="N475">
        <v>11</v>
      </c>
    </row>
    <row r="476" spans="1:15" x14ac:dyDescent="0.2">
      <c r="A476" t="s">
        <v>750</v>
      </c>
      <c r="B476" t="s">
        <v>80</v>
      </c>
      <c r="C476" t="s">
        <v>97</v>
      </c>
      <c r="D476" s="1">
        <v>25457</v>
      </c>
      <c r="E476" s="1">
        <v>45407</v>
      </c>
      <c r="F476" s="1">
        <v>45412</v>
      </c>
      <c r="G476" t="s">
        <v>29</v>
      </c>
      <c r="H476" t="s">
        <v>61</v>
      </c>
      <c r="I476" t="s">
        <v>67</v>
      </c>
      <c r="J476" t="s">
        <v>713</v>
      </c>
      <c r="K476" t="s">
        <v>43</v>
      </c>
      <c r="L476" t="s">
        <v>34</v>
      </c>
      <c r="M476" t="s">
        <v>35</v>
      </c>
      <c r="N476">
        <v>5</v>
      </c>
      <c r="O476" t="s">
        <v>36</v>
      </c>
    </row>
    <row r="477" spans="1:15" x14ac:dyDescent="0.2">
      <c r="A477" t="s">
        <v>751</v>
      </c>
      <c r="B477" t="s">
        <v>102</v>
      </c>
      <c r="C477" t="s">
        <v>97</v>
      </c>
      <c r="D477" s="1">
        <v>37399</v>
      </c>
      <c r="E477" s="1">
        <v>45411</v>
      </c>
      <c r="F477" s="1">
        <v>45419</v>
      </c>
      <c r="G477" t="s">
        <v>29</v>
      </c>
      <c r="H477" t="s">
        <v>30</v>
      </c>
      <c r="I477" t="s">
        <v>41</v>
      </c>
      <c r="J477" t="s">
        <v>752</v>
      </c>
      <c r="K477" t="s">
        <v>33</v>
      </c>
      <c r="M477" t="s">
        <v>35</v>
      </c>
      <c r="O477" t="s">
        <v>25</v>
      </c>
    </row>
    <row r="478" spans="1:15" x14ac:dyDescent="0.2">
      <c r="A478">
        <v>476</v>
      </c>
      <c r="B478" t="s">
        <v>150</v>
      </c>
      <c r="C478" t="s">
        <v>92</v>
      </c>
      <c r="D478" s="1">
        <v>20964</v>
      </c>
      <c r="E478" s="1">
        <v>45420</v>
      </c>
      <c r="F478" s="1">
        <v>45435</v>
      </c>
      <c r="G478" t="s">
        <v>74</v>
      </c>
      <c r="H478" t="s">
        <v>66</v>
      </c>
      <c r="I478" t="s">
        <v>20</v>
      </c>
      <c r="J478" t="s">
        <v>753</v>
      </c>
      <c r="K478" t="s">
        <v>43</v>
      </c>
      <c r="L478" t="s">
        <v>23</v>
      </c>
      <c r="M478" t="s">
        <v>78</v>
      </c>
      <c r="O478" t="s">
        <v>36</v>
      </c>
    </row>
    <row r="479" spans="1:15" x14ac:dyDescent="0.2">
      <c r="A479">
        <v>477</v>
      </c>
      <c r="B479" t="s">
        <v>45</v>
      </c>
      <c r="C479" t="s">
        <v>49</v>
      </c>
      <c r="D479" s="1">
        <v>27257</v>
      </c>
      <c r="E479" s="1">
        <v>45472</v>
      </c>
      <c r="F479" s="1">
        <v>45485</v>
      </c>
      <c r="G479" t="s">
        <v>88</v>
      </c>
      <c r="I479" t="s">
        <v>31</v>
      </c>
      <c r="J479" t="s">
        <v>754</v>
      </c>
      <c r="K479" t="s">
        <v>71</v>
      </c>
      <c r="M479" t="s">
        <v>24</v>
      </c>
      <c r="N479">
        <v>1</v>
      </c>
      <c r="O479" t="s">
        <v>36</v>
      </c>
    </row>
    <row r="480" spans="1:15" x14ac:dyDescent="0.2">
      <c r="A480" t="s">
        <v>755</v>
      </c>
      <c r="B480" t="s">
        <v>105</v>
      </c>
      <c r="C480" t="s">
        <v>39</v>
      </c>
      <c r="D480" s="1">
        <v>23155</v>
      </c>
      <c r="E480" s="1">
        <v>45350</v>
      </c>
      <c r="F480" s="1">
        <v>45354</v>
      </c>
      <c r="G480" t="s">
        <v>50</v>
      </c>
      <c r="H480" t="s">
        <v>61</v>
      </c>
      <c r="I480" t="s">
        <v>57</v>
      </c>
      <c r="J480">
        <v>1231</v>
      </c>
      <c r="K480" t="s">
        <v>71</v>
      </c>
      <c r="M480" t="s">
        <v>35</v>
      </c>
      <c r="N480">
        <v>4</v>
      </c>
      <c r="O480" t="s">
        <v>36</v>
      </c>
    </row>
    <row r="481" spans="1:15" x14ac:dyDescent="0.2">
      <c r="A481" t="s">
        <v>756</v>
      </c>
      <c r="B481" t="s">
        <v>82</v>
      </c>
      <c r="C481" t="s">
        <v>97</v>
      </c>
      <c r="D481" s="1">
        <v>32638</v>
      </c>
      <c r="E481" s="1">
        <v>45434</v>
      </c>
      <c r="F481" s="1">
        <v>45444</v>
      </c>
      <c r="G481" t="s">
        <v>60</v>
      </c>
      <c r="H481" t="s">
        <v>75</v>
      </c>
      <c r="I481" t="s">
        <v>20</v>
      </c>
      <c r="J481" t="s">
        <v>757</v>
      </c>
      <c r="K481" t="s">
        <v>33</v>
      </c>
      <c r="L481" t="s">
        <v>23</v>
      </c>
      <c r="M481" t="s">
        <v>78</v>
      </c>
      <c r="N481">
        <v>13</v>
      </c>
      <c r="O481" t="s">
        <v>36</v>
      </c>
    </row>
    <row r="482" spans="1:15" x14ac:dyDescent="0.2">
      <c r="A482" t="s">
        <v>758</v>
      </c>
      <c r="B482" t="s">
        <v>27</v>
      </c>
      <c r="C482" t="s">
        <v>92</v>
      </c>
      <c r="D482" s="1">
        <v>28948</v>
      </c>
      <c r="E482" s="1">
        <v>45437</v>
      </c>
      <c r="F482" s="1">
        <v>45440</v>
      </c>
      <c r="G482" t="s">
        <v>18</v>
      </c>
      <c r="H482" t="s">
        <v>75</v>
      </c>
      <c r="I482" t="s">
        <v>41</v>
      </c>
      <c r="J482">
        <v>1334</v>
      </c>
      <c r="K482" t="s">
        <v>71</v>
      </c>
      <c r="L482" t="s">
        <v>23</v>
      </c>
      <c r="M482" t="s">
        <v>78</v>
      </c>
      <c r="O482" t="s">
        <v>36</v>
      </c>
    </row>
    <row r="483" spans="1:15" x14ac:dyDescent="0.2">
      <c r="A483" t="s">
        <v>759</v>
      </c>
      <c r="B483" t="s">
        <v>56</v>
      </c>
      <c r="C483" t="s">
        <v>17</v>
      </c>
      <c r="D483" s="1">
        <v>29039</v>
      </c>
      <c r="E483" s="1">
        <v>45455</v>
      </c>
      <c r="G483" t="s">
        <v>74</v>
      </c>
      <c r="H483" t="s">
        <v>75</v>
      </c>
      <c r="I483" t="s">
        <v>57</v>
      </c>
      <c r="J483" t="s">
        <v>760</v>
      </c>
      <c r="K483" t="s">
        <v>43</v>
      </c>
      <c r="M483" t="s">
        <v>35</v>
      </c>
      <c r="O483" t="s">
        <v>25</v>
      </c>
    </row>
    <row r="484" spans="1:15" x14ac:dyDescent="0.2">
      <c r="A484">
        <v>482</v>
      </c>
      <c r="B484" t="s">
        <v>45</v>
      </c>
      <c r="C484" t="s">
        <v>97</v>
      </c>
      <c r="D484" s="1">
        <v>25900</v>
      </c>
      <c r="E484" s="1">
        <v>45460</v>
      </c>
      <c r="F484" s="1">
        <v>45466</v>
      </c>
      <c r="G484" t="s">
        <v>46</v>
      </c>
      <c r="H484" t="s">
        <v>30</v>
      </c>
      <c r="I484" t="s">
        <v>41</v>
      </c>
      <c r="J484">
        <v>941</v>
      </c>
      <c r="K484" t="s">
        <v>22</v>
      </c>
      <c r="L484" t="s">
        <v>34</v>
      </c>
      <c r="M484" t="s">
        <v>35</v>
      </c>
      <c r="N484">
        <v>8</v>
      </c>
    </row>
    <row r="485" spans="1:15" x14ac:dyDescent="0.2">
      <c r="A485" t="s">
        <v>761</v>
      </c>
      <c r="B485" t="s">
        <v>118</v>
      </c>
      <c r="C485" t="s">
        <v>39</v>
      </c>
      <c r="D485" s="1">
        <v>25029</v>
      </c>
      <c r="E485" s="1">
        <v>45344</v>
      </c>
      <c r="F485" s="1">
        <v>45356</v>
      </c>
      <c r="G485" t="s">
        <v>46</v>
      </c>
      <c r="H485" t="s">
        <v>61</v>
      </c>
      <c r="I485" t="s">
        <v>57</v>
      </c>
      <c r="J485" t="s">
        <v>762</v>
      </c>
      <c r="K485" t="s">
        <v>43</v>
      </c>
      <c r="M485" t="s">
        <v>78</v>
      </c>
      <c r="O485" t="s">
        <v>25</v>
      </c>
    </row>
    <row r="486" spans="1:15" x14ac:dyDescent="0.2">
      <c r="A486">
        <v>484</v>
      </c>
      <c r="B486" t="s">
        <v>150</v>
      </c>
      <c r="C486" t="s">
        <v>39</v>
      </c>
      <c r="D486" s="1">
        <v>31346</v>
      </c>
      <c r="E486" s="1">
        <v>45426</v>
      </c>
      <c r="F486" s="1">
        <v>45441</v>
      </c>
      <c r="G486" t="s">
        <v>100</v>
      </c>
      <c r="H486" t="s">
        <v>19</v>
      </c>
      <c r="I486" t="s">
        <v>57</v>
      </c>
      <c r="J486" t="s">
        <v>763</v>
      </c>
      <c r="K486" t="s">
        <v>33</v>
      </c>
      <c r="M486" t="s">
        <v>78</v>
      </c>
      <c r="N486">
        <v>12</v>
      </c>
      <c r="O486" t="s">
        <v>36</v>
      </c>
    </row>
    <row r="487" spans="1:15" x14ac:dyDescent="0.2">
      <c r="A487">
        <v>485</v>
      </c>
      <c r="B487" t="s">
        <v>85</v>
      </c>
      <c r="C487" t="s">
        <v>39</v>
      </c>
      <c r="D487" s="1">
        <v>24002</v>
      </c>
      <c r="E487" s="1">
        <v>45355</v>
      </c>
      <c r="F487" s="1">
        <v>45367</v>
      </c>
      <c r="G487" t="s">
        <v>100</v>
      </c>
      <c r="H487" t="s">
        <v>19</v>
      </c>
      <c r="I487" t="s">
        <v>53</v>
      </c>
      <c r="J487" t="s">
        <v>764</v>
      </c>
      <c r="K487" t="s">
        <v>71</v>
      </c>
      <c r="L487" t="s">
        <v>34</v>
      </c>
      <c r="M487" t="s">
        <v>35</v>
      </c>
      <c r="N487">
        <v>3</v>
      </c>
      <c r="O487" t="s">
        <v>36</v>
      </c>
    </row>
    <row r="488" spans="1:15" x14ac:dyDescent="0.2">
      <c r="A488" t="s">
        <v>765</v>
      </c>
      <c r="B488" t="s">
        <v>27</v>
      </c>
      <c r="C488" t="s">
        <v>92</v>
      </c>
      <c r="D488" s="1">
        <v>40109</v>
      </c>
      <c r="E488" s="1">
        <v>45470</v>
      </c>
      <c r="F488" s="1">
        <v>45477</v>
      </c>
      <c r="G488" t="s">
        <v>83</v>
      </c>
      <c r="H488" t="s">
        <v>66</v>
      </c>
      <c r="I488" t="s">
        <v>41</v>
      </c>
      <c r="J488" t="s">
        <v>766</v>
      </c>
      <c r="K488" t="s">
        <v>71</v>
      </c>
      <c r="M488" t="s">
        <v>35</v>
      </c>
    </row>
    <row r="489" spans="1:15" x14ac:dyDescent="0.2">
      <c r="A489" t="s">
        <v>767</v>
      </c>
      <c r="B489" t="s">
        <v>114</v>
      </c>
      <c r="C489" t="s">
        <v>17</v>
      </c>
      <c r="D489" s="1">
        <v>20662</v>
      </c>
      <c r="E489" s="1">
        <v>45389</v>
      </c>
      <c r="F489" s="1">
        <v>45403</v>
      </c>
      <c r="G489" t="s">
        <v>29</v>
      </c>
      <c r="H489" t="s">
        <v>66</v>
      </c>
      <c r="I489" t="s">
        <v>20</v>
      </c>
      <c r="J489" t="s">
        <v>768</v>
      </c>
      <c r="K489" t="s">
        <v>22</v>
      </c>
      <c r="M489" t="s">
        <v>24</v>
      </c>
      <c r="N489">
        <v>8</v>
      </c>
      <c r="O489" t="s">
        <v>36</v>
      </c>
    </row>
    <row r="490" spans="1:15" x14ac:dyDescent="0.2">
      <c r="A490" t="s">
        <v>769</v>
      </c>
      <c r="B490" t="s">
        <v>150</v>
      </c>
      <c r="C490" t="s">
        <v>65</v>
      </c>
      <c r="D490" s="1">
        <v>39793</v>
      </c>
      <c r="E490" s="1">
        <v>45404</v>
      </c>
      <c r="F490" s="1">
        <v>45409</v>
      </c>
      <c r="G490" t="s">
        <v>46</v>
      </c>
      <c r="I490" t="s">
        <v>20</v>
      </c>
      <c r="J490" t="s">
        <v>770</v>
      </c>
      <c r="K490" t="s">
        <v>22</v>
      </c>
      <c r="M490" t="s">
        <v>35</v>
      </c>
      <c r="N490">
        <v>7</v>
      </c>
      <c r="O490" t="s">
        <v>25</v>
      </c>
    </row>
    <row r="491" spans="1:15" x14ac:dyDescent="0.2">
      <c r="A491" t="s">
        <v>771</v>
      </c>
      <c r="B491" t="s">
        <v>64</v>
      </c>
      <c r="C491" t="s">
        <v>49</v>
      </c>
      <c r="D491" s="1">
        <v>27217</v>
      </c>
      <c r="E491" s="1">
        <v>45404</v>
      </c>
      <c r="F491" s="1">
        <v>45416</v>
      </c>
      <c r="G491" t="s">
        <v>72</v>
      </c>
      <c r="H491" t="s">
        <v>61</v>
      </c>
      <c r="I491" t="s">
        <v>67</v>
      </c>
      <c r="J491" t="s">
        <v>736</v>
      </c>
      <c r="K491" t="s">
        <v>43</v>
      </c>
      <c r="L491" t="s">
        <v>34</v>
      </c>
      <c r="M491" t="s">
        <v>78</v>
      </c>
      <c r="N491">
        <v>8</v>
      </c>
      <c r="O491" t="s">
        <v>25</v>
      </c>
    </row>
    <row r="492" spans="1:15" x14ac:dyDescent="0.2">
      <c r="A492" t="s">
        <v>772</v>
      </c>
      <c r="B492" t="s">
        <v>64</v>
      </c>
      <c r="C492" t="s">
        <v>17</v>
      </c>
      <c r="D492" s="1">
        <v>30630</v>
      </c>
      <c r="E492" s="1">
        <v>45355</v>
      </c>
      <c r="F492" s="1">
        <v>45359</v>
      </c>
      <c r="G492" t="s">
        <v>88</v>
      </c>
      <c r="H492" t="s">
        <v>19</v>
      </c>
      <c r="I492" t="s">
        <v>20</v>
      </c>
      <c r="J492" t="s">
        <v>773</v>
      </c>
      <c r="K492" t="s">
        <v>22</v>
      </c>
      <c r="L492" t="s">
        <v>34</v>
      </c>
      <c r="M492" t="s">
        <v>35</v>
      </c>
      <c r="N492">
        <v>2</v>
      </c>
    </row>
    <row r="493" spans="1:15" x14ac:dyDescent="0.2">
      <c r="A493" t="s">
        <v>774</v>
      </c>
      <c r="B493" t="s">
        <v>140</v>
      </c>
      <c r="C493" t="s">
        <v>17</v>
      </c>
      <c r="D493" s="1">
        <v>31885</v>
      </c>
      <c r="E493" s="1">
        <v>45375</v>
      </c>
      <c r="F493" s="1">
        <v>45379</v>
      </c>
      <c r="G493" t="s">
        <v>40</v>
      </c>
      <c r="H493" t="s">
        <v>19</v>
      </c>
      <c r="I493" t="s">
        <v>76</v>
      </c>
      <c r="J493" t="s">
        <v>775</v>
      </c>
      <c r="K493" t="s">
        <v>22</v>
      </c>
      <c r="L493" t="s">
        <v>34</v>
      </c>
      <c r="M493" t="s">
        <v>78</v>
      </c>
      <c r="N493">
        <v>1</v>
      </c>
      <c r="O493" t="s">
        <v>36</v>
      </c>
    </row>
    <row r="494" spans="1:15" x14ac:dyDescent="0.2">
      <c r="A494" t="s">
        <v>776</v>
      </c>
      <c r="B494" t="s">
        <v>59</v>
      </c>
      <c r="C494" t="s">
        <v>17</v>
      </c>
      <c r="D494" s="1">
        <v>31016</v>
      </c>
      <c r="E494" s="1">
        <v>45409</v>
      </c>
      <c r="G494" t="s">
        <v>60</v>
      </c>
      <c r="H494" t="s">
        <v>75</v>
      </c>
      <c r="I494" t="s">
        <v>57</v>
      </c>
      <c r="J494" t="s">
        <v>777</v>
      </c>
      <c r="K494" t="s">
        <v>48</v>
      </c>
      <c r="L494" t="s">
        <v>23</v>
      </c>
      <c r="M494" t="s">
        <v>78</v>
      </c>
      <c r="N494">
        <v>10</v>
      </c>
      <c r="O494" t="s">
        <v>36</v>
      </c>
    </row>
    <row r="495" spans="1:15" x14ac:dyDescent="0.2">
      <c r="A495" t="s">
        <v>778</v>
      </c>
      <c r="B495" t="s">
        <v>27</v>
      </c>
      <c r="C495" t="s">
        <v>39</v>
      </c>
      <c r="D495" s="1">
        <v>36915</v>
      </c>
      <c r="E495" s="1">
        <v>45356</v>
      </c>
      <c r="F495" s="1">
        <v>45367</v>
      </c>
      <c r="G495" t="s">
        <v>72</v>
      </c>
      <c r="I495" t="s">
        <v>53</v>
      </c>
      <c r="J495" t="s">
        <v>247</v>
      </c>
      <c r="K495" t="s">
        <v>22</v>
      </c>
      <c r="M495" t="s">
        <v>24</v>
      </c>
      <c r="N495">
        <v>6</v>
      </c>
      <c r="O495" t="s">
        <v>25</v>
      </c>
    </row>
    <row r="496" spans="1:15" x14ac:dyDescent="0.2">
      <c r="A496" t="s">
        <v>779</v>
      </c>
      <c r="B496" t="s">
        <v>119</v>
      </c>
      <c r="C496" t="s">
        <v>28</v>
      </c>
      <c r="D496" s="1">
        <v>30793</v>
      </c>
      <c r="E496" s="1">
        <v>45420</v>
      </c>
      <c r="F496" s="1">
        <v>45430</v>
      </c>
      <c r="G496" t="s">
        <v>60</v>
      </c>
      <c r="H496" t="s">
        <v>52</v>
      </c>
      <c r="I496" t="s">
        <v>53</v>
      </c>
      <c r="J496" t="s">
        <v>780</v>
      </c>
      <c r="K496" t="s">
        <v>43</v>
      </c>
      <c r="L496" t="s">
        <v>34</v>
      </c>
      <c r="M496" t="s">
        <v>35</v>
      </c>
      <c r="O496" t="s">
        <v>36</v>
      </c>
    </row>
    <row r="497" spans="1:15" x14ac:dyDescent="0.2">
      <c r="A497">
        <v>495</v>
      </c>
      <c r="B497" t="s">
        <v>51</v>
      </c>
      <c r="C497" t="s">
        <v>97</v>
      </c>
      <c r="D497" s="1">
        <v>30576</v>
      </c>
      <c r="E497" s="1">
        <v>45456</v>
      </c>
      <c r="F497" s="1">
        <v>45468</v>
      </c>
      <c r="G497" t="s">
        <v>83</v>
      </c>
      <c r="H497" t="s">
        <v>52</v>
      </c>
      <c r="I497" t="s">
        <v>31</v>
      </c>
      <c r="J497" t="s">
        <v>781</v>
      </c>
      <c r="K497" t="s">
        <v>43</v>
      </c>
      <c r="M497" t="s">
        <v>24</v>
      </c>
      <c r="N497">
        <v>13</v>
      </c>
      <c r="O497" t="s">
        <v>25</v>
      </c>
    </row>
    <row r="498" spans="1:15" x14ac:dyDescent="0.2">
      <c r="A498" t="s">
        <v>782</v>
      </c>
      <c r="B498" t="s">
        <v>59</v>
      </c>
      <c r="C498" t="s">
        <v>92</v>
      </c>
      <c r="D498" s="1">
        <v>26202</v>
      </c>
      <c r="E498" s="1">
        <v>45430</v>
      </c>
      <c r="F498" s="1">
        <v>45441</v>
      </c>
      <c r="G498" t="s">
        <v>72</v>
      </c>
      <c r="H498" t="s">
        <v>75</v>
      </c>
      <c r="I498" t="s">
        <v>53</v>
      </c>
      <c r="J498">
        <v>555</v>
      </c>
      <c r="K498" t="s">
        <v>43</v>
      </c>
      <c r="M498" t="s">
        <v>35</v>
      </c>
      <c r="N498">
        <v>1</v>
      </c>
      <c r="O498" t="s">
        <v>25</v>
      </c>
    </row>
    <row r="499" spans="1:15" x14ac:dyDescent="0.2">
      <c r="A499">
        <v>497</v>
      </c>
      <c r="B499" t="s">
        <v>150</v>
      </c>
      <c r="C499" t="s">
        <v>97</v>
      </c>
      <c r="D499" s="1">
        <v>19971</v>
      </c>
      <c r="E499" s="1">
        <v>45344</v>
      </c>
      <c r="G499" t="s">
        <v>18</v>
      </c>
      <c r="H499" t="s">
        <v>61</v>
      </c>
      <c r="I499" t="s">
        <v>41</v>
      </c>
      <c r="J499" t="s">
        <v>783</v>
      </c>
      <c r="K499" t="s">
        <v>43</v>
      </c>
      <c r="L499" t="s">
        <v>34</v>
      </c>
      <c r="M499" t="s">
        <v>78</v>
      </c>
      <c r="N499">
        <v>5</v>
      </c>
      <c r="O499" t="s">
        <v>25</v>
      </c>
    </row>
    <row r="500" spans="1:15" x14ac:dyDescent="0.2">
      <c r="A500" t="s">
        <v>784</v>
      </c>
      <c r="B500" t="s">
        <v>51</v>
      </c>
      <c r="C500" t="s">
        <v>97</v>
      </c>
      <c r="D500" s="1">
        <v>32158</v>
      </c>
      <c r="E500" s="1">
        <v>45447</v>
      </c>
      <c r="F500" s="1">
        <v>45457</v>
      </c>
      <c r="G500" t="s">
        <v>72</v>
      </c>
      <c r="H500" t="s">
        <v>52</v>
      </c>
      <c r="I500" t="s">
        <v>31</v>
      </c>
      <c r="J500" t="s">
        <v>785</v>
      </c>
      <c r="K500" t="s">
        <v>33</v>
      </c>
      <c r="M500" t="s">
        <v>78</v>
      </c>
      <c r="O500" t="s">
        <v>36</v>
      </c>
    </row>
    <row r="501" spans="1:15" x14ac:dyDescent="0.2">
      <c r="A501">
        <v>499</v>
      </c>
      <c r="B501" t="s">
        <v>105</v>
      </c>
      <c r="C501" t="s">
        <v>65</v>
      </c>
      <c r="D501" s="1">
        <v>32466</v>
      </c>
      <c r="E501" s="1">
        <v>45415</v>
      </c>
      <c r="F501" s="1">
        <v>45422</v>
      </c>
      <c r="G501" t="s">
        <v>60</v>
      </c>
      <c r="H501" t="s">
        <v>61</v>
      </c>
      <c r="I501" t="s">
        <v>57</v>
      </c>
      <c r="J501" t="s">
        <v>786</v>
      </c>
      <c r="K501" t="s">
        <v>33</v>
      </c>
      <c r="M501" t="s">
        <v>78</v>
      </c>
      <c r="N501">
        <v>5</v>
      </c>
      <c r="O501" t="s">
        <v>36</v>
      </c>
    </row>
    <row r="502" spans="1:15" x14ac:dyDescent="0.2">
      <c r="A502" t="s">
        <v>787</v>
      </c>
      <c r="B502" t="s">
        <v>85</v>
      </c>
      <c r="C502" t="s">
        <v>28</v>
      </c>
      <c r="D502" s="1">
        <v>20621</v>
      </c>
      <c r="E502" s="1">
        <v>45326</v>
      </c>
      <c r="F502" s="1">
        <v>45341</v>
      </c>
      <c r="G502" t="s">
        <v>88</v>
      </c>
      <c r="H502" t="s">
        <v>66</v>
      </c>
      <c r="I502" t="s">
        <v>41</v>
      </c>
      <c r="J502" t="s">
        <v>788</v>
      </c>
      <c r="K502" t="s">
        <v>71</v>
      </c>
      <c r="M502" t="s">
        <v>78</v>
      </c>
      <c r="N502">
        <v>12</v>
      </c>
      <c r="O502" t="s">
        <v>36</v>
      </c>
    </row>
    <row r="503" spans="1:15" x14ac:dyDescent="0.2">
      <c r="A503">
        <v>501</v>
      </c>
      <c r="B503" t="s">
        <v>56</v>
      </c>
      <c r="C503" t="s">
        <v>92</v>
      </c>
      <c r="D503" s="1">
        <v>39269</v>
      </c>
      <c r="E503" s="1">
        <v>45396</v>
      </c>
      <c r="F503" s="1">
        <v>45398</v>
      </c>
      <c r="G503" t="s">
        <v>18</v>
      </c>
      <c r="H503" t="s">
        <v>52</v>
      </c>
      <c r="I503" t="s">
        <v>67</v>
      </c>
      <c r="J503" t="s">
        <v>789</v>
      </c>
      <c r="K503" t="s">
        <v>33</v>
      </c>
      <c r="M503" t="s">
        <v>24</v>
      </c>
      <c r="N503">
        <v>12</v>
      </c>
      <c r="O503" t="s">
        <v>25</v>
      </c>
    </row>
    <row r="504" spans="1:15" x14ac:dyDescent="0.2">
      <c r="A504" t="s">
        <v>790</v>
      </c>
      <c r="B504" t="s">
        <v>118</v>
      </c>
      <c r="C504" t="s">
        <v>28</v>
      </c>
      <c r="D504" s="1">
        <v>26350</v>
      </c>
      <c r="E504" s="1">
        <v>45414</v>
      </c>
      <c r="F504" s="1">
        <v>45420</v>
      </c>
      <c r="G504" t="s">
        <v>72</v>
      </c>
      <c r="H504" t="s">
        <v>75</v>
      </c>
      <c r="I504" t="s">
        <v>67</v>
      </c>
      <c r="J504">
        <v>635</v>
      </c>
      <c r="K504" t="s">
        <v>22</v>
      </c>
      <c r="M504" t="s">
        <v>35</v>
      </c>
      <c r="N504">
        <v>11</v>
      </c>
      <c r="O504" t="s">
        <v>25</v>
      </c>
    </row>
    <row r="505" spans="1:15" x14ac:dyDescent="0.2">
      <c r="A505" t="s">
        <v>791</v>
      </c>
      <c r="B505" t="s">
        <v>16</v>
      </c>
      <c r="C505" t="s">
        <v>39</v>
      </c>
      <c r="D505" s="1">
        <v>21288</v>
      </c>
      <c r="E505" s="1">
        <v>45393</v>
      </c>
      <c r="F505" s="1">
        <v>45397</v>
      </c>
      <c r="G505" t="s">
        <v>46</v>
      </c>
      <c r="I505" t="s">
        <v>76</v>
      </c>
      <c r="J505" t="s">
        <v>792</v>
      </c>
      <c r="K505" t="s">
        <v>43</v>
      </c>
      <c r="M505" t="s">
        <v>24</v>
      </c>
      <c r="N505">
        <v>7</v>
      </c>
    </row>
    <row r="506" spans="1:15" x14ac:dyDescent="0.2">
      <c r="A506" t="s">
        <v>793</v>
      </c>
      <c r="B506" t="s">
        <v>16</v>
      </c>
      <c r="C506" t="s">
        <v>49</v>
      </c>
      <c r="D506" s="1">
        <v>37027</v>
      </c>
      <c r="E506" s="1">
        <v>45328</v>
      </c>
      <c r="F506" s="1">
        <v>45343</v>
      </c>
      <c r="G506" t="s">
        <v>60</v>
      </c>
      <c r="H506" t="s">
        <v>66</v>
      </c>
      <c r="I506" t="s">
        <v>67</v>
      </c>
      <c r="J506" t="s">
        <v>794</v>
      </c>
      <c r="K506" t="s">
        <v>48</v>
      </c>
      <c r="L506" t="s">
        <v>34</v>
      </c>
      <c r="M506" t="s">
        <v>24</v>
      </c>
      <c r="N506">
        <v>7</v>
      </c>
    </row>
    <row r="507" spans="1:15" x14ac:dyDescent="0.2">
      <c r="A507">
        <v>505</v>
      </c>
      <c r="B507" t="s">
        <v>82</v>
      </c>
      <c r="C507" t="s">
        <v>97</v>
      </c>
      <c r="D507" s="1">
        <v>24044</v>
      </c>
      <c r="E507" s="1">
        <v>45339</v>
      </c>
      <c r="F507" s="1">
        <v>45342</v>
      </c>
      <c r="G507" t="s">
        <v>100</v>
      </c>
      <c r="H507" t="s">
        <v>61</v>
      </c>
      <c r="I507" t="s">
        <v>41</v>
      </c>
      <c r="J507" t="s">
        <v>795</v>
      </c>
      <c r="K507" t="s">
        <v>22</v>
      </c>
      <c r="L507" t="s">
        <v>34</v>
      </c>
      <c r="M507" t="s">
        <v>24</v>
      </c>
      <c r="O507" t="s">
        <v>25</v>
      </c>
    </row>
    <row r="508" spans="1:15" x14ac:dyDescent="0.2">
      <c r="A508">
        <v>506</v>
      </c>
      <c r="B508" t="s">
        <v>82</v>
      </c>
      <c r="C508" t="s">
        <v>28</v>
      </c>
      <c r="D508" s="1">
        <v>38804</v>
      </c>
      <c r="E508" s="1">
        <v>45454</v>
      </c>
      <c r="G508" t="s">
        <v>74</v>
      </c>
      <c r="H508" t="s">
        <v>19</v>
      </c>
      <c r="I508" t="s">
        <v>20</v>
      </c>
      <c r="J508" t="s">
        <v>796</v>
      </c>
      <c r="K508" t="s">
        <v>33</v>
      </c>
      <c r="L508" t="s">
        <v>34</v>
      </c>
      <c r="M508" t="s">
        <v>24</v>
      </c>
      <c r="O508" t="s">
        <v>36</v>
      </c>
    </row>
    <row r="509" spans="1:15" x14ac:dyDescent="0.2">
      <c r="A509" t="s">
        <v>797</v>
      </c>
      <c r="B509" t="s">
        <v>16</v>
      </c>
      <c r="C509" t="s">
        <v>17</v>
      </c>
      <c r="D509" s="1">
        <v>20264</v>
      </c>
      <c r="E509" s="1">
        <v>45293</v>
      </c>
      <c r="G509" t="s">
        <v>40</v>
      </c>
      <c r="I509" t="s">
        <v>20</v>
      </c>
      <c r="J509" t="s">
        <v>798</v>
      </c>
      <c r="K509" t="s">
        <v>71</v>
      </c>
      <c r="M509" t="s">
        <v>78</v>
      </c>
      <c r="N509">
        <v>6</v>
      </c>
      <c r="O509" t="s">
        <v>36</v>
      </c>
    </row>
    <row r="510" spans="1:15" x14ac:dyDescent="0.2">
      <c r="A510" t="s">
        <v>799</v>
      </c>
      <c r="B510" t="s">
        <v>59</v>
      </c>
      <c r="C510" t="s">
        <v>92</v>
      </c>
      <c r="D510" s="1">
        <v>26115</v>
      </c>
      <c r="E510" s="1">
        <v>45462</v>
      </c>
      <c r="F510" s="1">
        <v>45463</v>
      </c>
      <c r="G510" t="s">
        <v>83</v>
      </c>
      <c r="I510" t="s">
        <v>20</v>
      </c>
      <c r="J510">
        <v>106</v>
      </c>
      <c r="K510" t="s">
        <v>71</v>
      </c>
      <c r="L510" t="s">
        <v>23</v>
      </c>
      <c r="M510" t="s">
        <v>35</v>
      </c>
      <c r="N510">
        <v>14</v>
      </c>
    </row>
    <row r="511" spans="1:15" x14ac:dyDescent="0.2">
      <c r="A511">
        <v>509</v>
      </c>
      <c r="B511" t="s">
        <v>91</v>
      </c>
      <c r="C511" t="s">
        <v>92</v>
      </c>
      <c r="D511" s="1">
        <v>33072</v>
      </c>
      <c r="E511" s="1">
        <v>45423</v>
      </c>
      <c r="F511" s="1">
        <v>45424</v>
      </c>
      <c r="G511" t="s">
        <v>88</v>
      </c>
      <c r="H511" t="s">
        <v>75</v>
      </c>
      <c r="I511" t="s">
        <v>31</v>
      </c>
      <c r="J511" t="s">
        <v>382</v>
      </c>
      <c r="K511" t="s">
        <v>71</v>
      </c>
      <c r="L511" t="s">
        <v>23</v>
      </c>
      <c r="M511" t="s">
        <v>24</v>
      </c>
      <c r="N511">
        <v>12</v>
      </c>
    </row>
    <row r="512" spans="1:15" x14ac:dyDescent="0.2">
      <c r="A512" t="s">
        <v>800</v>
      </c>
      <c r="B512" t="s">
        <v>102</v>
      </c>
      <c r="C512" t="s">
        <v>28</v>
      </c>
      <c r="D512" s="1">
        <v>33865</v>
      </c>
      <c r="E512" s="1">
        <v>45390</v>
      </c>
      <c r="F512" s="1">
        <v>45402</v>
      </c>
      <c r="G512" t="s">
        <v>40</v>
      </c>
      <c r="H512" t="s">
        <v>61</v>
      </c>
      <c r="I512" t="s">
        <v>41</v>
      </c>
      <c r="J512" t="s">
        <v>801</v>
      </c>
      <c r="K512" t="s">
        <v>22</v>
      </c>
      <c r="M512" t="s">
        <v>35</v>
      </c>
      <c r="N512">
        <v>11</v>
      </c>
    </row>
    <row r="513" spans="1:15" x14ac:dyDescent="0.2">
      <c r="A513">
        <v>511</v>
      </c>
      <c r="B513" t="s">
        <v>140</v>
      </c>
      <c r="C513" t="s">
        <v>28</v>
      </c>
      <c r="D513" s="1">
        <v>22054</v>
      </c>
      <c r="E513" s="1">
        <v>45461</v>
      </c>
      <c r="F513" s="1">
        <v>45464</v>
      </c>
      <c r="G513" t="s">
        <v>74</v>
      </c>
      <c r="H513" t="s">
        <v>19</v>
      </c>
      <c r="I513" t="s">
        <v>53</v>
      </c>
      <c r="J513" t="s">
        <v>802</v>
      </c>
      <c r="K513" t="s">
        <v>33</v>
      </c>
      <c r="M513" t="s">
        <v>78</v>
      </c>
      <c r="O513" t="s">
        <v>36</v>
      </c>
    </row>
    <row r="514" spans="1:15" x14ac:dyDescent="0.2">
      <c r="A514" t="s">
        <v>803</v>
      </c>
      <c r="B514" t="s">
        <v>56</v>
      </c>
      <c r="C514" t="s">
        <v>49</v>
      </c>
      <c r="D514" s="1">
        <v>22297</v>
      </c>
      <c r="E514" s="1">
        <v>45428</v>
      </c>
      <c r="G514" t="s">
        <v>83</v>
      </c>
      <c r="I514" t="s">
        <v>67</v>
      </c>
      <c r="J514" t="s">
        <v>804</v>
      </c>
      <c r="K514" t="s">
        <v>33</v>
      </c>
      <c r="M514" t="s">
        <v>24</v>
      </c>
      <c r="N514">
        <v>12</v>
      </c>
      <c r="O514" t="s">
        <v>36</v>
      </c>
    </row>
    <row r="515" spans="1:15" x14ac:dyDescent="0.2">
      <c r="A515" t="s">
        <v>805</v>
      </c>
      <c r="B515" t="s">
        <v>27</v>
      </c>
      <c r="C515" t="s">
        <v>39</v>
      </c>
      <c r="D515" s="1">
        <v>32582</v>
      </c>
      <c r="E515" s="1">
        <v>45349</v>
      </c>
      <c r="G515" t="s">
        <v>74</v>
      </c>
      <c r="H515" t="s">
        <v>66</v>
      </c>
      <c r="I515" t="s">
        <v>20</v>
      </c>
      <c r="J515" t="s">
        <v>806</v>
      </c>
      <c r="K515" t="s">
        <v>48</v>
      </c>
      <c r="M515" t="s">
        <v>35</v>
      </c>
      <c r="N515">
        <v>7</v>
      </c>
    </row>
    <row r="516" spans="1:15" x14ac:dyDescent="0.2">
      <c r="A516" t="s">
        <v>807</v>
      </c>
      <c r="B516" t="s">
        <v>64</v>
      </c>
      <c r="C516" t="s">
        <v>92</v>
      </c>
      <c r="D516" s="1">
        <v>20291</v>
      </c>
      <c r="E516" s="1">
        <v>45391</v>
      </c>
      <c r="F516" s="1">
        <v>45397</v>
      </c>
      <c r="G516" t="s">
        <v>40</v>
      </c>
      <c r="H516" t="s">
        <v>75</v>
      </c>
      <c r="I516" t="s">
        <v>57</v>
      </c>
      <c r="J516" t="s">
        <v>808</v>
      </c>
      <c r="K516" t="s">
        <v>48</v>
      </c>
      <c r="M516" t="s">
        <v>35</v>
      </c>
      <c r="N516">
        <v>8</v>
      </c>
      <c r="O516" t="s">
        <v>36</v>
      </c>
    </row>
    <row r="517" spans="1:15" x14ac:dyDescent="0.2">
      <c r="A517" t="s">
        <v>809</v>
      </c>
      <c r="B517" t="s">
        <v>45</v>
      </c>
      <c r="C517" t="s">
        <v>39</v>
      </c>
      <c r="D517" s="1">
        <v>25437</v>
      </c>
      <c r="E517" s="1">
        <v>45466</v>
      </c>
      <c r="G517" t="s">
        <v>60</v>
      </c>
      <c r="H517" t="s">
        <v>52</v>
      </c>
      <c r="I517" t="s">
        <v>53</v>
      </c>
      <c r="J517" t="s">
        <v>810</v>
      </c>
      <c r="K517" t="s">
        <v>43</v>
      </c>
      <c r="M517" t="s">
        <v>78</v>
      </c>
      <c r="N517">
        <v>12</v>
      </c>
      <c r="O517" t="s">
        <v>25</v>
      </c>
    </row>
    <row r="518" spans="1:15" x14ac:dyDescent="0.2">
      <c r="A518">
        <v>516</v>
      </c>
      <c r="B518" t="s">
        <v>119</v>
      </c>
      <c r="C518" t="s">
        <v>28</v>
      </c>
      <c r="D518" s="1">
        <v>38943</v>
      </c>
      <c r="E518" s="1">
        <v>45418</v>
      </c>
      <c r="F518" s="1">
        <v>45425</v>
      </c>
      <c r="G518" t="s">
        <v>83</v>
      </c>
      <c r="H518" t="s">
        <v>52</v>
      </c>
      <c r="I518" t="s">
        <v>41</v>
      </c>
      <c r="J518" t="s">
        <v>811</v>
      </c>
      <c r="K518" t="s">
        <v>48</v>
      </c>
      <c r="L518" t="s">
        <v>23</v>
      </c>
      <c r="M518" t="s">
        <v>78</v>
      </c>
      <c r="N518">
        <v>5</v>
      </c>
    </row>
    <row r="519" spans="1:15" x14ac:dyDescent="0.2">
      <c r="A519" t="s">
        <v>812</v>
      </c>
      <c r="B519" t="s">
        <v>64</v>
      </c>
      <c r="C519" t="s">
        <v>65</v>
      </c>
      <c r="D519" s="1">
        <v>31118</v>
      </c>
      <c r="E519" s="1">
        <v>45400</v>
      </c>
      <c r="F519" s="1">
        <v>45413</v>
      </c>
      <c r="G519" t="s">
        <v>29</v>
      </c>
      <c r="H519" t="s">
        <v>66</v>
      </c>
      <c r="I519" t="s">
        <v>57</v>
      </c>
      <c r="J519" t="s">
        <v>813</v>
      </c>
      <c r="K519" t="s">
        <v>22</v>
      </c>
      <c r="M519" t="s">
        <v>35</v>
      </c>
    </row>
    <row r="520" spans="1:15" x14ac:dyDescent="0.2">
      <c r="A520" t="s">
        <v>814</v>
      </c>
      <c r="B520" t="s">
        <v>45</v>
      </c>
      <c r="C520" t="s">
        <v>28</v>
      </c>
      <c r="D520" s="1">
        <v>39715</v>
      </c>
      <c r="E520" s="1">
        <v>45439</v>
      </c>
      <c r="F520" s="1">
        <v>45447</v>
      </c>
      <c r="G520" t="s">
        <v>46</v>
      </c>
      <c r="H520" t="s">
        <v>52</v>
      </c>
      <c r="I520" t="s">
        <v>67</v>
      </c>
      <c r="J520" t="s">
        <v>815</v>
      </c>
      <c r="K520" t="s">
        <v>33</v>
      </c>
      <c r="L520" t="s">
        <v>34</v>
      </c>
      <c r="M520" t="s">
        <v>24</v>
      </c>
      <c r="N520">
        <v>14</v>
      </c>
      <c r="O520" t="s">
        <v>25</v>
      </c>
    </row>
    <row r="521" spans="1:15" x14ac:dyDescent="0.2">
      <c r="A521">
        <v>519</v>
      </c>
      <c r="B521" t="s">
        <v>82</v>
      </c>
      <c r="C521" t="s">
        <v>49</v>
      </c>
      <c r="D521" s="1">
        <v>23776</v>
      </c>
      <c r="E521" s="1">
        <v>45316</v>
      </c>
      <c r="F521" s="1">
        <v>45319</v>
      </c>
      <c r="G521" t="s">
        <v>74</v>
      </c>
      <c r="H521" t="s">
        <v>61</v>
      </c>
      <c r="I521" t="s">
        <v>53</v>
      </c>
      <c r="J521">
        <v>793</v>
      </c>
      <c r="K521" t="s">
        <v>22</v>
      </c>
      <c r="M521" t="s">
        <v>35</v>
      </c>
      <c r="O521" t="s">
        <v>25</v>
      </c>
    </row>
    <row r="522" spans="1:15" x14ac:dyDescent="0.2">
      <c r="A522">
        <v>520</v>
      </c>
      <c r="B522" t="s">
        <v>56</v>
      </c>
      <c r="C522" t="s">
        <v>92</v>
      </c>
      <c r="D522" s="1">
        <v>37798</v>
      </c>
      <c r="E522" s="1">
        <v>45459</v>
      </c>
      <c r="F522" s="1">
        <v>45472</v>
      </c>
      <c r="G522" t="s">
        <v>100</v>
      </c>
      <c r="I522" t="s">
        <v>41</v>
      </c>
      <c r="J522">
        <v>1431</v>
      </c>
      <c r="K522" t="s">
        <v>33</v>
      </c>
      <c r="M522" t="s">
        <v>78</v>
      </c>
      <c r="O522" t="s">
        <v>25</v>
      </c>
    </row>
    <row r="523" spans="1:15" x14ac:dyDescent="0.2">
      <c r="A523" t="s">
        <v>816</v>
      </c>
      <c r="B523" t="s">
        <v>16</v>
      </c>
      <c r="C523" t="s">
        <v>28</v>
      </c>
      <c r="D523" s="1">
        <v>39281</v>
      </c>
      <c r="E523" s="1">
        <v>45297</v>
      </c>
      <c r="F523" s="1">
        <v>45309</v>
      </c>
      <c r="G523" t="s">
        <v>18</v>
      </c>
      <c r="H523" t="s">
        <v>52</v>
      </c>
      <c r="I523" t="s">
        <v>76</v>
      </c>
      <c r="J523">
        <v>1091</v>
      </c>
      <c r="K523" t="s">
        <v>33</v>
      </c>
      <c r="L523" t="s">
        <v>23</v>
      </c>
      <c r="M523" t="s">
        <v>35</v>
      </c>
      <c r="N523">
        <v>12</v>
      </c>
    </row>
    <row r="524" spans="1:15" x14ac:dyDescent="0.2">
      <c r="A524" t="s">
        <v>817</v>
      </c>
      <c r="B524" t="s">
        <v>118</v>
      </c>
      <c r="C524" t="s">
        <v>39</v>
      </c>
      <c r="D524" s="1">
        <v>18911</v>
      </c>
      <c r="E524" s="1">
        <v>45434</v>
      </c>
      <c r="G524" t="s">
        <v>18</v>
      </c>
      <c r="H524" t="s">
        <v>61</v>
      </c>
      <c r="I524" t="s">
        <v>53</v>
      </c>
      <c r="J524" t="s">
        <v>120</v>
      </c>
      <c r="K524" t="s">
        <v>22</v>
      </c>
      <c r="L524" t="s">
        <v>34</v>
      </c>
      <c r="M524" t="s">
        <v>35</v>
      </c>
      <c r="N524">
        <v>12</v>
      </c>
      <c r="O524" t="s">
        <v>25</v>
      </c>
    </row>
    <row r="525" spans="1:15" x14ac:dyDescent="0.2">
      <c r="A525" t="s">
        <v>818</v>
      </c>
      <c r="B525" t="s">
        <v>27</v>
      </c>
      <c r="C525" t="s">
        <v>28</v>
      </c>
      <c r="D525" s="1">
        <v>28562</v>
      </c>
      <c r="E525" s="1">
        <v>45302</v>
      </c>
      <c r="F525" s="1">
        <v>45313</v>
      </c>
      <c r="G525" t="s">
        <v>74</v>
      </c>
      <c r="H525" t="s">
        <v>61</v>
      </c>
      <c r="I525" t="s">
        <v>31</v>
      </c>
      <c r="J525" t="s">
        <v>819</v>
      </c>
      <c r="K525" t="s">
        <v>48</v>
      </c>
      <c r="M525" t="s">
        <v>78</v>
      </c>
      <c r="N525">
        <v>3</v>
      </c>
      <c r="O525" t="s">
        <v>36</v>
      </c>
    </row>
    <row r="526" spans="1:15" x14ac:dyDescent="0.2">
      <c r="A526" t="s">
        <v>820</v>
      </c>
      <c r="B526" t="s">
        <v>64</v>
      </c>
      <c r="C526" t="s">
        <v>97</v>
      </c>
      <c r="D526" s="1">
        <v>28114</v>
      </c>
      <c r="E526" s="1">
        <v>45424</v>
      </c>
      <c r="F526" s="1">
        <v>45432</v>
      </c>
      <c r="G526" t="s">
        <v>18</v>
      </c>
      <c r="H526" t="s">
        <v>19</v>
      </c>
      <c r="I526" t="s">
        <v>53</v>
      </c>
      <c r="J526" t="s">
        <v>821</v>
      </c>
      <c r="K526" t="s">
        <v>43</v>
      </c>
      <c r="L526" t="s">
        <v>23</v>
      </c>
      <c r="M526" t="s">
        <v>24</v>
      </c>
      <c r="O526" t="s">
        <v>25</v>
      </c>
    </row>
    <row r="527" spans="1:15" x14ac:dyDescent="0.2">
      <c r="A527" t="s">
        <v>822</v>
      </c>
      <c r="B527" t="s">
        <v>80</v>
      </c>
      <c r="C527" t="s">
        <v>97</v>
      </c>
      <c r="D527" s="1">
        <v>22906</v>
      </c>
      <c r="E527" s="1">
        <v>45347</v>
      </c>
      <c r="F527" s="1">
        <v>45351</v>
      </c>
      <c r="G527" t="s">
        <v>60</v>
      </c>
      <c r="H527" t="s">
        <v>52</v>
      </c>
      <c r="I527" t="s">
        <v>53</v>
      </c>
      <c r="J527">
        <v>1374</v>
      </c>
      <c r="K527" t="s">
        <v>48</v>
      </c>
      <c r="M527" t="s">
        <v>78</v>
      </c>
      <c r="N527">
        <v>15</v>
      </c>
      <c r="O527" t="s">
        <v>25</v>
      </c>
    </row>
    <row r="528" spans="1:15" x14ac:dyDescent="0.2">
      <c r="A528">
        <v>526</v>
      </c>
      <c r="B528" t="s">
        <v>114</v>
      </c>
      <c r="C528" t="s">
        <v>17</v>
      </c>
      <c r="D528" s="1">
        <v>26592</v>
      </c>
      <c r="E528" s="1">
        <v>45469</v>
      </c>
      <c r="F528" s="1">
        <v>45471</v>
      </c>
      <c r="G528" t="s">
        <v>72</v>
      </c>
      <c r="H528" t="s">
        <v>75</v>
      </c>
      <c r="I528" t="s">
        <v>53</v>
      </c>
      <c r="J528" t="s">
        <v>823</v>
      </c>
      <c r="K528" t="s">
        <v>43</v>
      </c>
      <c r="L528" t="s">
        <v>23</v>
      </c>
      <c r="M528" t="s">
        <v>78</v>
      </c>
      <c r="N528">
        <v>6</v>
      </c>
      <c r="O528" t="s">
        <v>36</v>
      </c>
    </row>
    <row r="529" spans="1:15" x14ac:dyDescent="0.2">
      <c r="A529">
        <v>527</v>
      </c>
      <c r="B529" t="s">
        <v>64</v>
      </c>
      <c r="C529" t="s">
        <v>65</v>
      </c>
      <c r="D529" s="1">
        <v>26374</v>
      </c>
      <c r="E529" s="1">
        <v>45361</v>
      </c>
      <c r="F529" s="1">
        <v>45372</v>
      </c>
      <c r="G529" t="s">
        <v>74</v>
      </c>
      <c r="H529" t="s">
        <v>30</v>
      </c>
      <c r="I529" t="s">
        <v>53</v>
      </c>
      <c r="J529" t="s">
        <v>824</v>
      </c>
      <c r="K529" t="s">
        <v>33</v>
      </c>
      <c r="M529" t="s">
        <v>35</v>
      </c>
      <c r="N529">
        <v>4</v>
      </c>
      <c r="O529" t="s">
        <v>36</v>
      </c>
    </row>
    <row r="530" spans="1:15" x14ac:dyDescent="0.2">
      <c r="A530" t="s">
        <v>825</v>
      </c>
      <c r="B530" t="s">
        <v>16</v>
      </c>
      <c r="C530" t="s">
        <v>28</v>
      </c>
      <c r="D530" s="1">
        <v>25545</v>
      </c>
      <c r="E530" s="1">
        <v>45318</v>
      </c>
      <c r="F530" s="1">
        <v>45330</v>
      </c>
      <c r="G530" t="s">
        <v>18</v>
      </c>
      <c r="I530" t="s">
        <v>41</v>
      </c>
      <c r="J530" t="s">
        <v>826</v>
      </c>
      <c r="K530" t="s">
        <v>43</v>
      </c>
      <c r="M530" t="s">
        <v>24</v>
      </c>
      <c r="N530">
        <v>5</v>
      </c>
    </row>
    <row r="531" spans="1:15" x14ac:dyDescent="0.2">
      <c r="A531">
        <v>529</v>
      </c>
      <c r="B531" t="s">
        <v>85</v>
      </c>
      <c r="C531" t="s">
        <v>17</v>
      </c>
      <c r="D531" s="1">
        <v>19835</v>
      </c>
      <c r="E531" s="1">
        <v>45373</v>
      </c>
      <c r="F531" s="1">
        <v>45386</v>
      </c>
      <c r="G531" t="s">
        <v>100</v>
      </c>
      <c r="H531" t="s">
        <v>61</v>
      </c>
      <c r="I531" t="s">
        <v>67</v>
      </c>
      <c r="J531" t="s">
        <v>827</v>
      </c>
      <c r="K531" t="s">
        <v>43</v>
      </c>
      <c r="L531" t="s">
        <v>23</v>
      </c>
      <c r="M531" t="s">
        <v>24</v>
      </c>
      <c r="O531" t="s">
        <v>36</v>
      </c>
    </row>
    <row r="532" spans="1:15" x14ac:dyDescent="0.2">
      <c r="A532" t="s">
        <v>828</v>
      </c>
      <c r="B532" t="s">
        <v>38</v>
      </c>
      <c r="C532" t="s">
        <v>17</v>
      </c>
      <c r="D532" s="1">
        <v>39209</v>
      </c>
      <c r="E532" s="1">
        <v>45473</v>
      </c>
      <c r="F532" s="1">
        <v>45480</v>
      </c>
      <c r="G532" t="s">
        <v>46</v>
      </c>
      <c r="H532" t="s">
        <v>19</v>
      </c>
      <c r="I532" t="s">
        <v>31</v>
      </c>
      <c r="J532" t="s">
        <v>829</v>
      </c>
      <c r="K532" t="s">
        <v>33</v>
      </c>
      <c r="M532" t="s">
        <v>24</v>
      </c>
      <c r="N532">
        <v>15</v>
      </c>
      <c r="O532" t="s">
        <v>25</v>
      </c>
    </row>
    <row r="533" spans="1:15" x14ac:dyDescent="0.2">
      <c r="A533">
        <v>531</v>
      </c>
      <c r="B533" t="s">
        <v>150</v>
      </c>
      <c r="C533" t="s">
        <v>92</v>
      </c>
      <c r="D533" s="1">
        <v>31584</v>
      </c>
      <c r="E533" s="1">
        <v>45315</v>
      </c>
      <c r="G533" t="s">
        <v>50</v>
      </c>
      <c r="H533" t="s">
        <v>66</v>
      </c>
      <c r="I533" t="s">
        <v>67</v>
      </c>
      <c r="J533" t="s">
        <v>830</v>
      </c>
      <c r="K533" t="s">
        <v>48</v>
      </c>
      <c r="M533" t="s">
        <v>24</v>
      </c>
      <c r="N533">
        <v>13</v>
      </c>
      <c r="O533" t="s">
        <v>25</v>
      </c>
    </row>
    <row r="534" spans="1:15" x14ac:dyDescent="0.2">
      <c r="A534">
        <v>532</v>
      </c>
      <c r="B534" t="s">
        <v>105</v>
      </c>
      <c r="C534" t="s">
        <v>49</v>
      </c>
      <c r="D534" s="1">
        <v>22734</v>
      </c>
      <c r="E534" s="1">
        <v>45419</v>
      </c>
      <c r="F534" s="1">
        <v>45429</v>
      </c>
      <c r="G534" t="s">
        <v>88</v>
      </c>
      <c r="H534" t="s">
        <v>75</v>
      </c>
      <c r="I534" t="s">
        <v>76</v>
      </c>
      <c r="J534" t="s">
        <v>831</v>
      </c>
      <c r="K534" t="s">
        <v>22</v>
      </c>
      <c r="L534" t="s">
        <v>34</v>
      </c>
      <c r="M534" t="s">
        <v>24</v>
      </c>
      <c r="N534">
        <v>3</v>
      </c>
    </row>
    <row r="535" spans="1:15" x14ac:dyDescent="0.2">
      <c r="A535" t="s">
        <v>832</v>
      </c>
      <c r="B535" t="s">
        <v>91</v>
      </c>
      <c r="C535" t="s">
        <v>97</v>
      </c>
      <c r="D535" s="1">
        <v>20725</v>
      </c>
      <c r="E535" s="1">
        <v>45326</v>
      </c>
      <c r="F535" s="1">
        <v>45333</v>
      </c>
      <c r="G535" t="s">
        <v>29</v>
      </c>
      <c r="H535" t="s">
        <v>52</v>
      </c>
      <c r="I535" t="s">
        <v>31</v>
      </c>
      <c r="J535" t="s">
        <v>664</v>
      </c>
      <c r="K535" t="s">
        <v>22</v>
      </c>
      <c r="L535" t="s">
        <v>34</v>
      </c>
      <c r="M535" t="s">
        <v>78</v>
      </c>
      <c r="O535" t="s">
        <v>36</v>
      </c>
    </row>
    <row r="536" spans="1:15" x14ac:dyDescent="0.2">
      <c r="A536">
        <v>534</v>
      </c>
      <c r="B536" t="s">
        <v>51</v>
      </c>
      <c r="C536" t="s">
        <v>17</v>
      </c>
      <c r="D536" s="1">
        <v>38946</v>
      </c>
      <c r="E536" s="1">
        <v>45347</v>
      </c>
      <c r="F536" s="1">
        <v>45358</v>
      </c>
      <c r="G536" t="s">
        <v>100</v>
      </c>
      <c r="H536" t="s">
        <v>61</v>
      </c>
      <c r="I536" t="s">
        <v>41</v>
      </c>
      <c r="J536" t="s">
        <v>833</v>
      </c>
      <c r="K536" t="s">
        <v>33</v>
      </c>
      <c r="L536" t="s">
        <v>34</v>
      </c>
      <c r="M536" t="s">
        <v>24</v>
      </c>
      <c r="N536">
        <v>5</v>
      </c>
      <c r="O536" t="s">
        <v>36</v>
      </c>
    </row>
    <row r="537" spans="1:15" x14ac:dyDescent="0.2">
      <c r="A537" t="s">
        <v>834</v>
      </c>
      <c r="B537" t="s">
        <v>64</v>
      </c>
      <c r="C537" t="s">
        <v>92</v>
      </c>
      <c r="D537" s="1">
        <v>24364</v>
      </c>
      <c r="E537" s="1">
        <v>45382</v>
      </c>
      <c r="G537" t="s">
        <v>100</v>
      </c>
      <c r="H537" t="s">
        <v>52</v>
      </c>
      <c r="I537" t="s">
        <v>20</v>
      </c>
      <c r="J537" t="s">
        <v>835</v>
      </c>
      <c r="K537" t="s">
        <v>71</v>
      </c>
      <c r="L537" t="s">
        <v>34</v>
      </c>
      <c r="M537" t="s">
        <v>78</v>
      </c>
    </row>
    <row r="538" spans="1:15" x14ac:dyDescent="0.2">
      <c r="A538">
        <v>536</v>
      </c>
      <c r="B538" t="s">
        <v>91</v>
      </c>
      <c r="C538" t="s">
        <v>28</v>
      </c>
      <c r="D538" s="1">
        <v>31219</v>
      </c>
      <c r="E538" s="1">
        <v>45368</v>
      </c>
      <c r="F538" s="1">
        <v>45371</v>
      </c>
      <c r="G538" t="s">
        <v>74</v>
      </c>
      <c r="H538" t="s">
        <v>19</v>
      </c>
      <c r="I538" t="s">
        <v>53</v>
      </c>
      <c r="J538" t="s">
        <v>836</v>
      </c>
      <c r="K538" t="s">
        <v>22</v>
      </c>
      <c r="M538" t="s">
        <v>24</v>
      </c>
      <c r="N538">
        <v>6</v>
      </c>
    </row>
    <row r="539" spans="1:15" x14ac:dyDescent="0.2">
      <c r="A539" t="s">
        <v>837</v>
      </c>
      <c r="B539" t="s">
        <v>16</v>
      </c>
      <c r="C539" t="s">
        <v>97</v>
      </c>
      <c r="D539" s="1">
        <v>27599</v>
      </c>
      <c r="E539" s="1">
        <v>45326</v>
      </c>
      <c r="F539" s="1">
        <v>45332</v>
      </c>
      <c r="G539" t="s">
        <v>46</v>
      </c>
      <c r="H539" t="s">
        <v>75</v>
      </c>
      <c r="I539" t="s">
        <v>67</v>
      </c>
      <c r="J539" t="s">
        <v>838</v>
      </c>
      <c r="K539" t="s">
        <v>48</v>
      </c>
      <c r="M539" t="s">
        <v>78</v>
      </c>
      <c r="N539">
        <v>13</v>
      </c>
    </row>
    <row r="540" spans="1:15" x14ac:dyDescent="0.2">
      <c r="A540" t="s">
        <v>839</v>
      </c>
      <c r="B540" t="s">
        <v>87</v>
      </c>
      <c r="C540" t="s">
        <v>92</v>
      </c>
      <c r="D540" s="1">
        <v>31367</v>
      </c>
      <c r="E540" s="1">
        <v>45325</v>
      </c>
      <c r="F540" s="1">
        <v>45338</v>
      </c>
      <c r="G540" t="s">
        <v>46</v>
      </c>
      <c r="H540" t="s">
        <v>52</v>
      </c>
      <c r="I540" t="s">
        <v>31</v>
      </c>
      <c r="J540" t="s">
        <v>840</v>
      </c>
      <c r="K540" t="s">
        <v>22</v>
      </c>
      <c r="L540" t="s">
        <v>34</v>
      </c>
      <c r="M540" t="s">
        <v>24</v>
      </c>
      <c r="N540">
        <v>7</v>
      </c>
    </row>
    <row r="541" spans="1:15" x14ac:dyDescent="0.2">
      <c r="A541" t="s">
        <v>841</v>
      </c>
      <c r="B541" t="s">
        <v>64</v>
      </c>
      <c r="C541" t="s">
        <v>28</v>
      </c>
      <c r="D541" s="1">
        <v>33998</v>
      </c>
      <c r="E541" s="1">
        <v>45364</v>
      </c>
      <c r="G541" t="s">
        <v>29</v>
      </c>
      <c r="H541" t="s">
        <v>52</v>
      </c>
      <c r="I541" t="s">
        <v>57</v>
      </c>
      <c r="J541" t="s">
        <v>786</v>
      </c>
      <c r="K541" t="s">
        <v>22</v>
      </c>
      <c r="M541" t="s">
        <v>35</v>
      </c>
      <c r="N541">
        <v>12</v>
      </c>
      <c r="O541" t="s">
        <v>25</v>
      </c>
    </row>
    <row r="542" spans="1:15" x14ac:dyDescent="0.2">
      <c r="A542" t="s">
        <v>842</v>
      </c>
      <c r="B542" t="s">
        <v>82</v>
      </c>
      <c r="C542" t="s">
        <v>97</v>
      </c>
      <c r="D542" s="1">
        <v>33792</v>
      </c>
      <c r="E542" s="1">
        <v>45471</v>
      </c>
      <c r="F542" s="1">
        <v>45485</v>
      </c>
      <c r="G542" t="s">
        <v>50</v>
      </c>
      <c r="H542" t="s">
        <v>66</v>
      </c>
      <c r="I542" t="s">
        <v>67</v>
      </c>
      <c r="J542" t="s">
        <v>843</v>
      </c>
      <c r="K542" t="s">
        <v>33</v>
      </c>
      <c r="L542" t="s">
        <v>23</v>
      </c>
      <c r="M542" t="s">
        <v>35</v>
      </c>
      <c r="N542">
        <v>10</v>
      </c>
      <c r="O542" t="s">
        <v>25</v>
      </c>
    </row>
    <row r="543" spans="1:15" x14ac:dyDescent="0.2">
      <c r="A543" t="s">
        <v>844</v>
      </c>
      <c r="B543" t="s">
        <v>80</v>
      </c>
      <c r="C543" t="s">
        <v>28</v>
      </c>
      <c r="D543" s="1">
        <v>31610</v>
      </c>
      <c r="E543" s="1">
        <v>45471</v>
      </c>
      <c r="F543" s="1">
        <v>45478</v>
      </c>
      <c r="G543" t="s">
        <v>88</v>
      </c>
      <c r="H543" t="s">
        <v>61</v>
      </c>
      <c r="I543" t="s">
        <v>76</v>
      </c>
      <c r="J543" t="s">
        <v>714</v>
      </c>
      <c r="K543" t="s">
        <v>33</v>
      </c>
      <c r="L543" t="s">
        <v>34</v>
      </c>
      <c r="M543" t="s">
        <v>78</v>
      </c>
      <c r="N543">
        <v>6</v>
      </c>
    </row>
    <row r="544" spans="1:15" x14ac:dyDescent="0.2">
      <c r="A544">
        <v>542</v>
      </c>
      <c r="B544" t="s">
        <v>91</v>
      </c>
      <c r="C544" t="s">
        <v>92</v>
      </c>
      <c r="D544" s="1">
        <v>19822</v>
      </c>
      <c r="E544" s="1">
        <v>45302</v>
      </c>
      <c r="G544" t="s">
        <v>83</v>
      </c>
      <c r="H544" t="s">
        <v>52</v>
      </c>
      <c r="I544" t="s">
        <v>31</v>
      </c>
      <c r="J544" t="s">
        <v>845</v>
      </c>
      <c r="K544" t="s">
        <v>43</v>
      </c>
      <c r="L544" t="s">
        <v>34</v>
      </c>
      <c r="M544" t="s">
        <v>78</v>
      </c>
      <c r="O544" t="s">
        <v>36</v>
      </c>
    </row>
    <row r="545" spans="1:15" x14ac:dyDescent="0.2">
      <c r="A545">
        <v>543</v>
      </c>
      <c r="B545" t="s">
        <v>59</v>
      </c>
      <c r="C545" t="s">
        <v>92</v>
      </c>
      <c r="D545" s="1">
        <v>21918</v>
      </c>
      <c r="E545" s="1">
        <v>45463</v>
      </c>
      <c r="F545" s="1">
        <v>45476</v>
      </c>
      <c r="G545" t="s">
        <v>83</v>
      </c>
      <c r="H545" t="s">
        <v>30</v>
      </c>
      <c r="I545" t="s">
        <v>53</v>
      </c>
      <c r="J545" t="s">
        <v>846</v>
      </c>
      <c r="K545" t="s">
        <v>22</v>
      </c>
      <c r="M545" t="s">
        <v>35</v>
      </c>
      <c r="N545">
        <v>2</v>
      </c>
      <c r="O545" t="s">
        <v>25</v>
      </c>
    </row>
    <row r="546" spans="1:15" x14ac:dyDescent="0.2">
      <c r="A546" t="s">
        <v>847</v>
      </c>
      <c r="B546" t="s">
        <v>85</v>
      </c>
      <c r="C546" t="s">
        <v>17</v>
      </c>
      <c r="D546" s="1">
        <v>19608</v>
      </c>
      <c r="E546" s="1">
        <v>45341</v>
      </c>
      <c r="F546" s="1">
        <v>45343</v>
      </c>
      <c r="G546" t="s">
        <v>60</v>
      </c>
      <c r="H546" t="s">
        <v>75</v>
      </c>
      <c r="I546" t="s">
        <v>76</v>
      </c>
      <c r="J546" t="s">
        <v>658</v>
      </c>
      <c r="K546" t="s">
        <v>48</v>
      </c>
      <c r="L546" t="s">
        <v>23</v>
      </c>
      <c r="M546" t="s">
        <v>35</v>
      </c>
      <c r="N546">
        <v>12</v>
      </c>
      <c r="O546" t="s">
        <v>36</v>
      </c>
    </row>
    <row r="547" spans="1:15" x14ac:dyDescent="0.2">
      <c r="A547" t="s">
        <v>848</v>
      </c>
      <c r="B547" t="s">
        <v>102</v>
      </c>
      <c r="C547" t="s">
        <v>92</v>
      </c>
      <c r="D547" s="1">
        <v>32959</v>
      </c>
      <c r="E547" s="1">
        <v>45403</v>
      </c>
      <c r="F547" s="1">
        <v>45412</v>
      </c>
      <c r="G547" t="s">
        <v>46</v>
      </c>
      <c r="H547" t="s">
        <v>61</v>
      </c>
      <c r="I547" t="s">
        <v>31</v>
      </c>
      <c r="J547" t="s">
        <v>849</v>
      </c>
      <c r="K547" t="s">
        <v>48</v>
      </c>
      <c r="L547" t="s">
        <v>34</v>
      </c>
      <c r="M547" t="s">
        <v>24</v>
      </c>
      <c r="O547" t="s">
        <v>36</v>
      </c>
    </row>
    <row r="548" spans="1:15" x14ac:dyDescent="0.2">
      <c r="A548">
        <v>546</v>
      </c>
      <c r="B548" t="s">
        <v>27</v>
      </c>
      <c r="C548" t="s">
        <v>39</v>
      </c>
      <c r="D548" s="1">
        <v>35089</v>
      </c>
      <c r="E548" s="1">
        <v>45334</v>
      </c>
      <c r="F548" s="1">
        <v>45341</v>
      </c>
      <c r="G548" t="s">
        <v>29</v>
      </c>
      <c r="H548" t="s">
        <v>61</v>
      </c>
      <c r="I548" t="s">
        <v>31</v>
      </c>
      <c r="J548" t="s">
        <v>850</v>
      </c>
      <c r="K548" t="s">
        <v>48</v>
      </c>
      <c r="L548" t="s">
        <v>23</v>
      </c>
      <c r="M548" t="s">
        <v>24</v>
      </c>
    </row>
    <row r="549" spans="1:15" x14ac:dyDescent="0.2">
      <c r="A549" t="s">
        <v>851</v>
      </c>
      <c r="B549" t="s">
        <v>105</v>
      </c>
      <c r="C549" t="s">
        <v>28</v>
      </c>
      <c r="D549" s="1">
        <v>34773</v>
      </c>
      <c r="E549" s="1">
        <v>45369</v>
      </c>
      <c r="F549" s="1">
        <v>45374</v>
      </c>
      <c r="G549" t="s">
        <v>46</v>
      </c>
      <c r="H549" t="s">
        <v>52</v>
      </c>
      <c r="I549" t="s">
        <v>20</v>
      </c>
      <c r="J549" t="s">
        <v>852</v>
      </c>
      <c r="K549" t="s">
        <v>33</v>
      </c>
      <c r="L549" t="s">
        <v>34</v>
      </c>
      <c r="M549" t="s">
        <v>24</v>
      </c>
      <c r="O549" t="s">
        <v>36</v>
      </c>
    </row>
    <row r="550" spans="1:15" x14ac:dyDescent="0.2">
      <c r="A550" t="s">
        <v>853</v>
      </c>
      <c r="B550" t="s">
        <v>38</v>
      </c>
      <c r="C550" t="s">
        <v>39</v>
      </c>
      <c r="D550" s="1">
        <v>19952</v>
      </c>
      <c r="E550" s="1">
        <v>45345</v>
      </c>
      <c r="G550" t="s">
        <v>83</v>
      </c>
      <c r="H550" t="s">
        <v>75</v>
      </c>
      <c r="I550" t="s">
        <v>57</v>
      </c>
      <c r="J550" t="s">
        <v>854</v>
      </c>
      <c r="K550" t="s">
        <v>48</v>
      </c>
      <c r="M550" t="s">
        <v>24</v>
      </c>
    </row>
    <row r="551" spans="1:15" x14ac:dyDescent="0.2">
      <c r="A551">
        <v>549</v>
      </c>
      <c r="B551" t="s">
        <v>59</v>
      </c>
      <c r="C551" t="s">
        <v>17</v>
      </c>
      <c r="D551" s="1">
        <v>38775</v>
      </c>
      <c r="E551" s="1">
        <v>45383</v>
      </c>
      <c r="F551" s="1">
        <v>45388</v>
      </c>
      <c r="G551" t="s">
        <v>60</v>
      </c>
      <c r="H551" t="s">
        <v>66</v>
      </c>
      <c r="I551" t="s">
        <v>57</v>
      </c>
      <c r="J551" t="s">
        <v>855</v>
      </c>
      <c r="K551" t="s">
        <v>71</v>
      </c>
      <c r="M551" t="s">
        <v>24</v>
      </c>
      <c r="N551">
        <v>9</v>
      </c>
      <c r="O551" t="s">
        <v>25</v>
      </c>
    </row>
    <row r="552" spans="1:15" x14ac:dyDescent="0.2">
      <c r="A552">
        <v>550</v>
      </c>
      <c r="B552" t="s">
        <v>91</v>
      </c>
      <c r="C552" t="s">
        <v>92</v>
      </c>
      <c r="D552" s="1">
        <v>27071</v>
      </c>
      <c r="E552" s="1">
        <v>45440</v>
      </c>
      <c r="F552" s="1">
        <v>45444</v>
      </c>
      <c r="G552" t="s">
        <v>83</v>
      </c>
      <c r="H552" t="s">
        <v>52</v>
      </c>
      <c r="I552" t="s">
        <v>76</v>
      </c>
      <c r="J552">
        <v>291</v>
      </c>
      <c r="K552" t="s">
        <v>22</v>
      </c>
      <c r="M552" t="s">
        <v>35</v>
      </c>
      <c r="N552">
        <v>3</v>
      </c>
      <c r="O552" t="s">
        <v>25</v>
      </c>
    </row>
    <row r="553" spans="1:15" x14ac:dyDescent="0.2">
      <c r="A553" t="s">
        <v>856</v>
      </c>
      <c r="B553" t="s">
        <v>56</v>
      </c>
      <c r="C553" t="s">
        <v>49</v>
      </c>
      <c r="D553" s="1">
        <v>24175</v>
      </c>
      <c r="E553" s="1">
        <v>45297</v>
      </c>
      <c r="F553" s="1">
        <v>45300</v>
      </c>
      <c r="G553" t="s">
        <v>72</v>
      </c>
      <c r="H553" t="s">
        <v>61</v>
      </c>
      <c r="I553" t="s">
        <v>67</v>
      </c>
      <c r="J553" t="s">
        <v>857</v>
      </c>
      <c r="K553" t="s">
        <v>48</v>
      </c>
      <c r="M553" t="s">
        <v>35</v>
      </c>
      <c r="N553">
        <v>11</v>
      </c>
      <c r="O553" t="s">
        <v>36</v>
      </c>
    </row>
    <row r="554" spans="1:15" x14ac:dyDescent="0.2">
      <c r="A554" t="s">
        <v>858</v>
      </c>
      <c r="B554" t="s">
        <v>105</v>
      </c>
      <c r="C554" t="s">
        <v>97</v>
      </c>
      <c r="D554" s="1">
        <v>18650</v>
      </c>
      <c r="E554" s="1">
        <v>45388</v>
      </c>
      <c r="G554" t="s">
        <v>88</v>
      </c>
      <c r="I554" t="s">
        <v>41</v>
      </c>
      <c r="J554" t="s">
        <v>859</v>
      </c>
      <c r="K554" t="s">
        <v>22</v>
      </c>
      <c r="L554" t="s">
        <v>23</v>
      </c>
      <c r="M554" t="s">
        <v>35</v>
      </c>
    </row>
    <row r="555" spans="1:15" x14ac:dyDescent="0.2">
      <c r="A555" t="s">
        <v>860</v>
      </c>
      <c r="B555" t="s">
        <v>64</v>
      </c>
      <c r="C555" t="s">
        <v>39</v>
      </c>
      <c r="D555" s="1">
        <v>18571</v>
      </c>
      <c r="E555" s="1">
        <v>45430</v>
      </c>
      <c r="F555" s="1">
        <v>45432</v>
      </c>
      <c r="G555" t="s">
        <v>46</v>
      </c>
      <c r="H555" t="s">
        <v>19</v>
      </c>
      <c r="I555" t="s">
        <v>41</v>
      </c>
      <c r="J555">
        <v>1252</v>
      </c>
      <c r="K555" t="s">
        <v>22</v>
      </c>
      <c r="M555" t="s">
        <v>78</v>
      </c>
      <c r="N555">
        <v>4</v>
      </c>
      <c r="O555" t="s">
        <v>25</v>
      </c>
    </row>
    <row r="556" spans="1:15" x14ac:dyDescent="0.2">
      <c r="A556" t="s">
        <v>861</v>
      </c>
      <c r="B556" t="s">
        <v>38</v>
      </c>
      <c r="C556" t="s">
        <v>49</v>
      </c>
      <c r="D556" s="1">
        <v>36077</v>
      </c>
      <c r="E556" s="1">
        <v>45297</v>
      </c>
      <c r="G556" t="s">
        <v>60</v>
      </c>
      <c r="H556" t="s">
        <v>66</v>
      </c>
      <c r="I556" t="s">
        <v>57</v>
      </c>
      <c r="J556" t="s">
        <v>862</v>
      </c>
      <c r="K556" t="s">
        <v>48</v>
      </c>
      <c r="L556" t="s">
        <v>23</v>
      </c>
      <c r="M556" t="s">
        <v>35</v>
      </c>
      <c r="O556" t="s">
        <v>36</v>
      </c>
    </row>
    <row r="557" spans="1:15" x14ac:dyDescent="0.2">
      <c r="A557" t="s">
        <v>863</v>
      </c>
      <c r="B557" t="s">
        <v>102</v>
      </c>
      <c r="C557" t="s">
        <v>49</v>
      </c>
      <c r="D557" s="1">
        <v>27663</v>
      </c>
      <c r="E557" s="1">
        <v>45467</v>
      </c>
      <c r="F557" s="1">
        <v>45479</v>
      </c>
      <c r="G557" t="s">
        <v>100</v>
      </c>
      <c r="H557" t="s">
        <v>52</v>
      </c>
      <c r="I557" t="s">
        <v>20</v>
      </c>
      <c r="J557" t="s">
        <v>864</v>
      </c>
      <c r="K557" t="s">
        <v>33</v>
      </c>
      <c r="M557" t="s">
        <v>35</v>
      </c>
      <c r="N557">
        <v>2</v>
      </c>
      <c r="O557" t="s">
        <v>36</v>
      </c>
    </row>
    <row r="558" spans="1:15" x14ac:dyDescent="0.2">
      <c r="A558" t="s">
        <v>865</v>
      </c>
      <c r="B558" t="s">
        <v>80</v>
      </c>
      <c r="C558" t="s">
        <v>65</v>
      </c>
      <c r="D558" s="1">
        <v>23215</v>
      </c>
      <c r="E558" s="1">
        <v>45401</v>
      </c>
      <c r="F558" s="1">
        <v>45412</v>
      </c>
      <c r="G558" t="s">
        <v>46</v>
      </c>
      <c r="H558" t="s">
        <v>75</v>
      </c>
      <c r="I558" t="s">
        <v>53</v>
      </c>
      <c r="J558" t="s">
        <v>866</v>
      </c>
      <c r="K558" t="s">
        <v>33</v>
      </c>
      <c r="L558" t="s">
        <v>34</v>
      </c>
      <c r="M558" t="s">
        <v>78</v>
      </c>
      <c r="N558">
        <v>11</v>
      </c>
      <c r="O558" t="s">
        <v>36</v>
      </c>
    </row>
    <row r="559" spans="1:15" x14ac:dyDescent="0.2">
      <c r="A559">
        <v>557</v>
      </c>
      <c r="B559" t="s">
        <v>150</v>
      </c>
      <c r="C559" t="s">
        <v>39</v>
      </c>
      <c r="D559" s="1">
        <v>18335</v>
      </c>
      <c r="E559" s="1">
        <v>45459</v>
      </c>
      <c r="F559" s="1">
        <v>45466</v>
      </c>
      <c r="G559" t="s">
        <v>100</v>
      </c>
      <c r="I559" t="s">
        <v>20</v>
      </c>
      <c r="J559">
        <v>331</v>
      </c>
      <c r="K559" t="s">
        <v>33</v>
      </c>
      <c r="L559" t="s">
        <v>23</v>
      </c>
      <c r="M559" t="s">
        <v>35</v>
      </c>
      <c r="N559">
        <v>3</v>
      </c>
      <c r="O559" t="s">
        <v>25</v>
      </c>
    </row>
    <row r="560" spans="1:15" x14ac:dyDescent="0.2">
      <c r="A560">
        <v>558</v>
      </c>
      <c r="B560" t="s">
        <v>102</v>
      </c>
      <c r="C560" t="s">
        <v>92</v>
      </c>
      <c r="D560" s="1">
        <v>34458</v>
      </c>
      <c r="E560" s="1">
        <v>45415</v>
      </c>
      <c r="F560" s="1">
        <v>45426</v>
      </c>
      <c r="G560" t="s">
        <v>46</v>
      </c>
      <c r="I560" t="s">
        <v>53</v>
      </c>
      <c r="J560">
        <v>603</v>
      </c>
      <c r="K560" t="s">
        <v>71</v>
      </c>
      <c r="M560" t="s">
        <v>24</v>
      </c>
      <c r="N560">
        <v>9</v>
      </c>
    </row>
    <row r="561" spans="1:15" x14ac:dyDescent="0.2">
      <c r="A561" t="s">
        <v>867</v>
      </c>
      <c r="B561" t="s">
        <v>118</v>
      </c>
      <c r="C561" t="s">
        <v>17</v>
      </c>
      <c r="D561" s="1">
        <v>37301</v>
      </c>
      <c r="E561" s="1">
        <v>45426</v>
      </c>
      <c r="F561" s="1">
        <v>45430</v>
      </c>
      <c r="G561" t="s">
        <v>88</v>
      </c>
      <c r="H561" t="s">
        <v>52</v>
      </c>
      <c r="I561" t="s">
        <v>41</v>
      </c>
      <c r="J561" t="s">
        <v>868</v>
      </c>
      <c r="K561" t="s">
        <v>43</v>
      </c>
      <c r="M561" t="s">
        <v>35</v>
      </c>
      <c r="N561">
        <v>1</v>
      </c>
      <c r="O561" t="s">
        <v>36</v>
      </c>
    </row>
    <row r="562" spans="1:15" x14ac:dyDescent="0.2">
      <c r="A562">
        <v>560</v>
      </c>
      <c r="B562" t="s">
        <v>87</v>
      </c>
      <c r="C562" t="s">
        <v>92</v>
      </c>
      <c r="D562" s="1">
        <v>33350</v>
      </c>
      <c r="E562" s="1">
        <v>45433</v>
      </c>
      <c r="F562" s="1">
        <v>45447</v>
      </c>
      <c r="G562" t="s">
        <v>88</v>
      </c>
      <c r="H562" t="s">
        <v>75</v>
      </c>
      <c r="I562" t="s">
        <v>67</v>
      </c>
      <c r="J562" t="s">
        <v>869</v>
      </c>
      <c r="K562" t="s">
        <v>71</v>
      </c>
      <c r="L562" t="s">
        <v>34</v>
      </c>
      <c r="M562" t="s">
        <v>24</v>
      </c>
      <c r="N562">
        <v>6</v>
      </c>
      <c r="O562" t="s">
        <v>25</v>
      </c>
    </row>
    <row r="563" spans="1:15" x14ac:dyDescent="0.2">
      <c r="A563" t="s">
        <v>870</v>
      </c>
      <c r="B563" t="s">
        <v>16</v>
      </c>
      <c r="C563" t="s">
        <v>49</v>
      </c>
      <c r="D563" s="1">
        <v>37322</v>
      </c>
      <c r="E563" s="1">
        <v>45414</v>
      </c>
      <c r="G563" t="s">
        <v>83</v>
      </c>
      <c r="H563" t="s">
        <v>52</v>
      </c>
      <c r="I563" t="s">
        <v>20</v>
      </c>
      <c r="J563" t="s">
        <v>871</v>
      </c>
      <c r="K563" t="s">
        <v>48</v>
      </c>
      <c r="M563" t="s">
        <v>35</v>
      </c>
      <c r="N563">
        <v>8</v>
      </c>
    </row>
    <row r="564" spans="1:15" x14ac:dyDescent="0.2">
      <c r="A564" t="s">
        <v>872</v>
      </c>
      <c r="B564" t="s">
        <v>105</v>
      </c>
      <c r="C564" t="s">
        <v>49</v>
      </c>
      <c r="D564" s="1">
        <v>28078</v>
      </c>
      <c r="E564" s="1">
        <v>45397</v>
      </c>
      <c r="F564" s="1">
        <v>45408</v>
      </c>
      <c r="G564" t="s">
        <v>60</v>
      </c>
      <c r="H564" t="s">
        <v>66</v>
      </c>
      <c r="I564" t="s">
        <v>67</v>
      </c>
      <c r="J564" t="s">
        <v>873</v>
      </c>
      <c r="K564" t="s">
        <v>43</v>
      </c>
      <c r="L564" t="s">
        <v>23</v>
      </c>
      <c r="M564" t="s">
        <v>24</v>
      </c>
      <c r="O564" t="s">
        <v>36</v>
      </c>
    </row>
    <row r="565" spans="1:15" x14ac:dyDescent="0.2">
      <c r="A565">
        <v>563</v>
      </c>
      <c r="B565" t="s">
        <v>114</v>
      </c>
      <c r="C565" t="s">
        <v>65</v>
      </c>
      <c r="D565" s="1">
        <v>26719</v>
      </c>
      <c r="E565" s="1">
        <v>45473</v>
      </c>
      <c r="F565" s="1">
        <v>45476</v>
      </c>
      <c r="G565" t="s">
        <v>74</v>
      </c>
      <c r="H565" t="s">
        <v>61</v>
      </c>
      <c r="I565" t="s">
        <v>76</v>
      </c>
      <c r="J565" t="s">
        <v>874</v>
      </c>
      <c r="K565" t="s">
        <v>71</v>
      </c>
      <c r="L565" t="s">
        <v>34</v>
      </c>
      <c r="M565" t="s">
        <v>35</v>
      </c>
      <c r="N565">
        <v>14</v>
      </c>
    </row>
    <row r="566" spans="1:15" x14ac:dyDescent="0.2">
      <c r="A566" t="s">
        <v>875</v>
      </c>
      <c r="B566" t="s">
        <v>85</v>
      </c>
      <c r="C566" t="s">
        <v>39</v>
      </c>
      <c r="D566" s="1">
        <v>20793</v>
      </c>
      <c r="E566" s="1">
        <v>45414</v>
      </c>
      <c r="F566" s="1">
        <v>45421</v>
      </c>
      <c r="G566" t="s">
        <v>46</v>
      </c>
      <c r="H566" t="s">
        <v>66</v>
      </c>
      <c r="I566" t="s">
        <v>41</v>
      </c>
      <c r="J566">
        <v>860</v>
      </c>
      <c r="K566" t="s">
        <v>22</v>
      </c>
      <c r="M566" t="s">
        <v>35</v>
      </c>
      <c r="O566" t="s">
        <v>36</v>
      </c>
    </row>
    <row r="567" spans="1:15" x14ac:dyDescent="0.2">
      <c r="A567" t="s">
        <v>876</v>
      </c>
      <c r="B567" t="s">
        <v>59</v>
      </c>
      <c r="C567" t="s">
        <v>17</v>
      </c>
      <c r="D567" s="1">
        <v>26112</v>
      </c>
      <c r="E567" s="1">
        <v>45333</v>
      </c>
      <c r="G567" t="s">
        <v>18</v>
      </c>
      <c r="H567" t="s">
        <v>66</v>
      </c>
      <c r="I567" t="s">
        <v>41</v>
      </c>
      <c r="J567" t="s">
        <v>877</v>
      </c>
      <c r="K567" t="s">
        <v>43</v>
      </c>
      <c r="L567" t="s">
        <v>23</v>
      </c>
      <c r="M567" t="s">
        <v>24</v>
      </c>
      <c r="N567">
        <v>4</v>
      </c>
      <c r="O567" t="s">
        <v>36</v>
      </c>
    </row>
    <row r="568" spans="1:15" x14ac:dyDescent="0.2">
      <c r="A568" t="s">
        <v>878</v>
      </c>
      <c r="B568" t="s">
        <v>119</v>
      </c>
      <c r="C568" t="s">
        <v>65</v>
      </c>
      <c r="D568" s="1">
        <v>19734</v>
      </c>
      <c r="E568" s="1">
        <v>45303</v>
      </c>
      <c r="F568" s="1">
        <v>45308</v>
      </c>
      <c r="G568" t="s">
        <v>83</v>
      </c>
      <c r="I568" t="s">
        <v>31</v>
      </c>
      <c r="J568" t="s">
        <v>441</v>
      </c>
      <c r="K568" t="s">
        <v>33</v>
      </c>
      <c r="M568" t="s">
        <v>24</v>
      </c>
      <c r="N568">
        <v>3</v>
      </c>
    </row>
    <row r="569" spans="1:15" x14ac:dyDescent="0.2">
      <c r="A569" t="s">
        <v>879</v>
      </c>
      <c r="B569" t="s">
        <v>16</v>
      </c>
      <c r="C569" t="s">
        <v>92</v>
      </c>
      <c r="D569" s="1">
        <v>31609</v>
      </c>
      <c r="E569" s="1">
        <v>45420</v>
      </c>
      <c r="G569" t="s">
        <v>29</v>
      </c>
      <c r="H569" t="s">
        <v>19</v>
      </c>
      <c r="I569" t="s">
        <v>57</v>
      </c>
      <c r="J569" t="s">
        <v>880</v>
      </c>
      <c r="K569" t="s">
        <v>22</v>
      </c>
      <c r="L569" t="s">
        <v>23</v>
      </c>
      <c r="M569" t="s">
        <v>24</v>
      </c>
      <c r="N569">
        <v>15</v>
      </c>
    </row>
    <row r="570" spans="1:15" x14ac:dyDescent="0.2">
      <c r="A570" t="s">
        <v>881</v>
      </c>
      <c r="B570" t="s">
        <v>91</v>
      </c>
      <c r="C570" t="s">
        <v>97</v>
      </c>
      <c r="D570" s="1">
        <v>39701</v>
      </c>
      <c r="E570" s="1">
        <v>45333</v>
      </c>
      <c r="F570" s="1">
        <v>45336</v>
      </c>
      <c r="G570" t="s">
        <v>60</v>
      </c>
      <c r="H570" t="s">
        <v>30</v>
      </c>
      <c r="I570" t="s">
        <v>57</v>
      </c>
      <c r="J570" t="s">
        <v>882</v>
      </c>
      <c r="K570" t="s">
        <v>71</v>
      </c>
      <c r="L570" t="s">
        <v>23</v>
      </c>
      <c r="M570" t="s">
        <v>35</v>
      </c>
      <c r="N570">
        <v>10</v>
      </c>
      <c r="O570" t="s">
        <v>25</v>
      </c>
    </row>
    <row r="571" spans="1:15" x14ac:dyDescent="0.2">
      <c r="A571" t="s">
        <v>883</v>
      </c>
      <c r="B571" t="s">
        <v>119</v>
      </c>
      <c r="C571" t="s">
        <v>49</v>
      </c>
      <c r="D571" s="1">
        <v>34566</v>
      </c>
      <c r="E571" s="1">
        <v>45295</v>
      </c>
      <c r="F571" s="1">
        <v>45300</v>
      </c>
      <c r="G571" t="s">
        <v>100</v>
      </c>
      <c r="H571" t="s">
        <v>66</v>
      </c>
      <c r="I571" t="s">
        <v>76</v>
      </c>
      <c r="J571" t="s">
        <v>884</v>
      </c>
      <c r="K571" t="s">
        <v>33</v>
      </c>
      <c r="L571" t="s">
        <v>23</v>
      </c>
      <c r="M571" t="s">
        <v>35</v>
      </c>
      <c r="O571" t="s">
        <v>36</v>
      </c>
    </row>
    <row r="572" spans="1:15" x14ac:dyDescent="0.2">
      <c r="A572">
        <v>570</v>
      </c>
      <c r="B572" t="s">
        <v>150</v>
      </c>
      <c r="C572" t="s">
        <v>17</v>
      </c>
      <c r="D572" s="1">
        <v>24135</v>
      </c>
      <c r="E572" s="1">
        <v>45358</v>
      </c>
      <c r="F572" s="1">
        <v>45371</v>
      </c>
      <c r="G572" t="s">
        <v>72</v>
      </c>
      <c r="H572" t="s">
        <v>52</v>
      </c>
      <c r="I572" t="s">
        <v>20</v>
      </c>
      <c r="J572">
        <v>1264</v>
      </c>
      <c r="K572" t="s">
        <v>48</v>
      </c>
      <c r="M572" t="s">
        <v>78</v>
      </c>
      <c r="N572">
        <v>14</v>
      </c>
    </row>
    <row r="573" spans="1:15" x14ac:dyDescent="0.2">
      <c r="A573" t="s">
        <v>885</v>
      </c>
      <c r="B573" t="s">
        <v>87</v>
      </c>
      <c r="C573" t="s">
        <v>28</v>
      </c>
      <c r="D573" s="1">
        <v>30281</v>
      </c>
      <c r="E573" s="1">
        <v>45387</v>
      </c>
      <c r="F573" s="1">
        <v>45396</v>
      </c>
      <c r="G573" t="s">
        <v>60</v>
      </c>
      <c r="H573" t="s">
        <v>75</v>
      </c>
      <c r="I573" t="s">
        <v>20</v>
      </c>
      <c r="J573" t="s">
        <v>886</v>
      </c>
      <c r="K573" t="s">
        <v>22</v>
      </c>
      <c r="L573" t="s">
        <v>34</v>
      </c>
      <c r="M573" t="s">
        <v>35</v>
      </c>
      <c r="N573">
        <v>5</v>
      </c>
      <c r="O573" t="s">
        <v>36</v>
      </c>
    </row>
    <row r="574" spans="1:15" x14ac:dyDescent="0.2">
      <c r="A574" t="s">
        <v>887</v>
      </c>
      <c r="B574" t="s">
        <v>119</v>
      </c>
      <c r="C574" t="s">
        <v>28</v>
      </c>
      <c r="D574" s="1">
        <v>20655</v>
      </c>
      <c r="E574" s="1">
        <v>45391</v>
      </c>
      <c r="F574" s="1">
        <v>45397</v>
      </c>
      <c r="G574" t="s">
        <v>100</v>
      </c>
      <c r="H574" t="s">
        <v>75</v>
      </c>
      <c r="I574" t="s">
        <v>57</v>
      </c>
      <c r="J574" t="s">
        <v>888</v>
      </c>
      <c r="K574" t="s">
        <v>48</v>
      </c>
      <c r="L574" t="s">
        <v>23</v>
      </c>
      <c r="M574" t="s">
        <v>24</v>
      </c>
      <c r="O574" t="s">
        <v>36</v>
      </c>
    </row>
    <row r="575" spans="1:15" x14ac:dyDescent="0.2">
      <c r="A575">
        <v>573</v>
      </c>
      <c r="B575" t="s">
        <v>51</v>
      </c>
      <c r="C575" t="s">
        <v>28</v>
      </c>
      <c r="D575" s="1">
        <v>29035</v>
      </c>
      <c r="E575" s="1">
        <v>45373</v>
      </c>
      <c r="F575" s="1">
        <v>45381</v>
      </c>
      <c r="G575" t="s">
        <v>100</v>
      </c>
      <c r="H575" t="s">
        <v>66</v>
      </c>
      <c r="I575" t="s">
        <v>31</v>
      </c>
      <c r="J575" t="s">
        <v>889</v>
      </c>
      <c r="K575" t="s">
        <v>43</v>
      </c>
      <c r="L575" t="s">
        <v>23</v>
      </c>
      <c r="M575" t="s">
        <v>78</v>
      </c>
      <c r="O575" t="s">
        <v>25</v>
      </c>
    </row>
    <row r="576" spans="1:15" x14ac:dyDescent="0.2">
      <c r="A576">
        <v>574</v>
      </c>
      <c r="B576" t="s">
        <v>119</v>
      </c>
      <c r="C576" t="s">
        <v>17</v>
      </c>
      <c r="D576" s="1">
        <v>37960</v>
      </c>
      <c r="E576" s="1">
        <v>45307</v>
      </c>
      <c r="F576" s="1">
        <v>45315</v>
      </c>
      <c r="G576" t="s">
        <v>88</v>
      </c>
      <c r="H576" t="s">
        <v>52</v>
      </c>
      <c r="I576" t="s">
        <v>41</v>
      </c>
      <c r="J576">
        <v>146</v>
      </c>
      <c r="K576" t="s">
        <v>33</v>
      </c>
      <c r="M576" t="s">
        <v>24</v>
      </c>
      <c r="O576" t="s">
        <v>25</v>
      </c>
    </row>
    <row r="577" spans="1:15" x14ac:dyDescent="0.2">
      <c r="A577" t="s">
        <v>890</v>
      </c>
      <c r="B577" t="s">
        <v>38</v>
      </c>
      <c r="C577" t="s">
        <v>28</v>
      </c>
      <c r="D577" s="1">
        <v>20941</v>
      </c>
      <c r="E577" s="1">
        <v>45407</v>
      </c>
      <c r="F577" s="1">
        <v>45418</v>
      </c>
      <c r="G577" t="s">
        <v>46</v>
      </c>
      <c r="I577" t="s">
        <v>20</v>
      </c>
      <c r="J577">
        <v>289</v>
      </c>
      <c r="K577" t="s">
        <v>33</v>
      </c>
      <c r="M577" t="s">
        <v>35</v>
      </c>
      <c r="O577" t="s">
        <v>36</v>
      </c>
    </row>
    <row r="578" spans="1:15" x14ac:dyDescent="0.2">
      <c r="A578">
        <v>576</v>
      </c>
      <c r="B578" t="s">
        <v>56</v>
      </c>
      <c r="C578" t="s">
        <v>65</v>
      </c>
      <c r="D578" s="1">
        <v>23529</v>
      </c>
      <c r="E578" s="1">
        <v>45382</v>
      </c>
      <c r="F578" s="1">
        <v>45391</v>
      </c>
      <c r="G578" t="s">
        <v>74</v>
      </c>
      <c r="H578" t="s">
        <v>75</v>
      </c>
      <c r="I578" t="s">
        <v>53</v>
      </c>
      <c r="J578" t="s">
        <v>891</v>
      </c>
      <c r="K578" t="s">
        <v>33</v>
      </c>
      <c r="M578" t="s">
        <v>35</v>
      </c>
      <c r="O578" t="s">
        <v>36</v>
      </c>
    </row>
    <row r="579" spans="1:15" x14ac:dyDescent="0.2">
      <c r="A579" t="s">
        <v>892</v>
      </c>
      <c r="B579" t="s">
        <v>56</v>
      </c>
      <c r="C579" t="s">
        <v>39</v>
      </c>
      <c r="D579" s="1">
        <v>28632</v>
      </c>
      <c r="E579" s="1">
        <v>45464</v>
      </c>
      <c r="F579" s="1">
        <v>45476</v>
      </c>
      <c r="G579" t="s">
        <v>100</v>
      </c>
      <c r="I579" t="s">
        <v>41</v>
      </c>
      <c r="J579">
        <v>357</v>
      </c>
      <c r="K579" t="s">
        <v>43</v>
      </c>
      <c r="L579" t="s">
        <v>34</v>
      </c>
      <c r="M579" t="s">
        <v>35</v>
      </c>
      <c r="O579" t="s">
        <v>25</v>
      </c>
    </row>
    <row r="580" spans="1:15" x14ac:dyDescent="0.2">
      <c r="A580">
        <v>578</v>
      </c>
      <c r="B580" t="s">
        <v>27</v>
      </c>
      <c r="C580" t="s">
        <v>39</v>
      </c>
      <c r="D580" s="1">
        <v>23706</v>
      </c>
      <c r="E580" s="1">
        <v>45347</v>
      </c>
      <c r="F580" s="1">
        <v>45351</v>
      </c>
      <c r="G580" t="s">
        <v>83</v>
      </c>
      <c r="I580" t="s">
        <v>31</v>
      </c>
      <c r="J580" t="s">
        <v>893</v>
      </c>
      <c r="K580" t="s">
        <v>33</v>
      </c>
      <c r="L580" t="s">
        <v>34</v>
      </c>
      <c r="M580" t="s">
        <v>24</v>
      </c>
      <c r="N580">
        <v>8</v>
      </c>
      <c r="O580" t="s">
        <v>36</v>
      </c>
    </row>
    <row r="581" spans="1:15" x14ac:dyDescent="0.2">
      <c r="A581">
        <v>579</v>
      </c>
      <c r="B581" t="s">
        <v>102</v>
      </c>
      <c r="C581" t="s">
        <v>92</v>
      </c>
      <c r="D581" s="1">
        <v>36039</v>
      </c>
      <c r="E581" s="1">
        <v>45425</v>
      </c>
      <c r="G581" t="s">
        <v>46</v>
      </c>
      <c r="H581" t="s">
        <v>19</v>
      </c>
      <c r="I581" t="s">
        <v>76</v>
      </c>
      <c r="J581" t="s">
        <v>894</v>
      </c>
      <c r="K581" t="s">
        <v>43</v>
      </c>
      <c r="L581" t="s">
        <v>23</v>
      </c>
      <c r="M581" t="s">
        <v>24</v>
      </c>
      <c r="N581">
        <v>5</v>
      </c>
    </row>
    <row r="582" spans="1:15" x14ac:dyDescent="0.2">
      <c r="A582" t="s">
        <v>895</v>
      </c>
      <c r="B582" t="s">
        <v>82</v>
      </c>
      <c r="C582" t="s">
        <v>49</v>
      </c>
      <c r="D582" s="1">
        <v>27545</v>
      </c>
      <c r="E582" s="1">
        <v>45314</v>
      </c>
      <c r="G582" t="s">
        <v>88</v>
      </c>
      <c r="H582" t="s">
        <v>61</v>
      </c>
      <c r="I582" t="s">
        <v>76</v>
      </c>
      <c r="J582">
        <v>312</v>
      </c>
      <c r="K582" t="s">
        <v>43</v>
      </c>
      <c r="L582" t="s">
        <v>34</v>
      </c>
      <c r="M582" t="s">
        <v>24</v>
      </c>
      <c r="N582">
        <v>10</v>
      </c>
      <c r="O582" t="s">
        <v>25</v>
      </c>
    </row>
    <row r="583" spans="1:15" x14ac:dyDescent="0.2">
      <c r="A583" t="s">
        <v>896</v>
      </c>
      <c r="B583" t="s">
        <v>45</v>
      </c>
      <c r="C583" t="s">
        <v>39</v>
      </c>
      <c r="D583" s="1">
        <v>32047</v>
      </c>
      <c r="E583" s="1">
        <v>45349</v>
      </c>
      <c r="F583" s="1">
        <v>45351</v>
      </c>
      <c r="G583" t="s">
        <v>100</v>
      </c>
      <c r="H583" t="s">
        <v>66</v>
      </c>
      <c r="I583" t="s">
        <v>31</v>
      </c>
      <c r="J583">
        <v>1050</v>
      </c>
      <c r="K583" t="s">
        <v>71</v>
      </c>
      <c r="L583" t="s">
        <v>34</v>
      </c>
      <c r="M583" t="s">
        <v>78</v>
      </c>
      <c r="N583">
        <v>9</v>
      </c>
      <c r="O583" t="s">
        <v>36</v>
      </c>
    </row>
    <row r="584" spans="1:15" x14ac:dyDescent="0.2">
      <c r="A584">
        <v>582</v>
      </c>
      <c r="B584" t="s">
        <v>38</v>
      </c>
      <c r="C584" t="s">
        <v>92</v>
      </c>
      <c r="D584" s="1">
        <v>31853</v>
      </c>
      <c r="E584" s="1">
        <v>45293</v>
      </c>
      <c r="G584" t="s">
        <v>88</v>
      </c>
      <c r="H584" t="s">
        <v>52</v>
      </c>
      <c r="I584" t="s">
        <v>41</v>
      </c>
      <c r="J584" t="s">
        <v>713</v>
      </c>
      <c r="K584" t="s">
        <v>33</v>
      </c>
      <c r="L584" t="s">
        <v>23</v>
      </c>
      <c r="M584" t="s">
        <v>24</v>
      </c>
      <c r="N584">
        <v>4</v>
      </c>
    </row>
    <row r="585" spans="1:15" x14ac:dyDescent="0.2">
      <c r="A585">
        <v>583</v>
      </c>
      <c r="B585" t="s">
        <v>51</v>
      </c>
      <c r="C585" t="s">
        <v>65</v>
      </c>
      <c r="D585" s="1">
        <v>39380</v>
      </c>
      <c r="E585" s="1">
        <v>45305</v>
      </c>
      <c r="G585" t="s">
        <v>72</v>
      </c>
      <c r="H585" t="s">
        <v>19</v>
      </c>
      <c r="I585" t="s">
        <v>53</v>
      </c>
      <c r="J585">
        <v>455</v>
      </c>
      <c r="K585" t="s">
        <v>33</v>
      </c>
      <c r="L585" t="s">
        <v>23</v>
      </c>
      <c r="M585" t="s">
        <v>78</v>
      </c>
    </row>
    <row r="586" spans="1:15" x14ac:dyDescent="0.2">
      <c r="A586" t="s">
        <v>897</v>
      </c>
      <c r="B586" t="s">
        <v>105</v>
      </c>
      <c r="C586" t="s">
        <v>17</v>
      </c>
      <c r="D586" s="1">
        <v>38955</v>
      </c>
      <c r="E586" s="1">
        <v>45452</v>
      </c>
      <c r="F586" s="1">
        <v>45455</v>
      </c>
      <c r="G586" t="s">
        <v>50</v>
      </c>
      <c r="H586" t="s">
        <v>66</v>
      </c>
      <c r="I586" t="s">
        <v>20</v>
      </c>
      <c r="J586">
        <v>152</v>
      </c>
      <c r="K586" t="s">
        <v>48</v>
      </c>
      <c r="L586" t="s">
        <v>23</v>
      </c>
      <c r="M586" t="s">
        <v>35</v>
      </c>
      <c r="N586">
        <v>9</v>
      </c>
      <c r="O586" t="s">
        <v>25</v>
      </c>
    </row>
    <row r="587" spans="1:15" x14ac:dyDescent="0.2">
      <c r="A587" t="s">
        <v>898</v>
      </c>
      <c r="B587" t="s">
        <v>118</v>
      </c>
      <c r="C587" t="s">
        <v>17</v>
      </c>
      <c r="D587" s="1">
        <v>22541</v>
      </c>
      <c r="E587" s="1">
        <v>45454</v>
      </c>
      <c r="F587" s="1">
        <v>45465</v>
      </c>
      <c r="G587" t="s">
        <v>60</v>
      </c>
      <c r="H587" t="s">
        <v>52</v>
      </c>
      <c r="I587" t="s">
        <v>57</v>
      </c>
      <c r="J587">
        <v>602</v>
      </c>
      <c r="K587" t="s">
        <v>33</v>
      </c>
      <c r="L587" t="s">
        <v>34</v>
      </c>
      <c r="M587" t="s">
        <v>78</v>
      </c>
      <c r="O587" t="s">
        <v>25</v>
      </c>
    </row>
    <row r="588" spans="1:15" x14ac:dyDescent="0.2">
      <c r="A588" t="s">
        <v>899</v>
      </c>
      <c r="B588" t="s">
        <v>64</v>
      </c>
      <c r="C588" t="s">
        <v>49</v>
      </c>
      <c r="D588" s="1">
        <v>37248</v>
      </c>
      <c r="E588" s="1">
        <v>45320</v>
      </c>
      <c r="F588" s="1">
        <v>45322</v>
      </c>
      <c r="G588" t="s">
        <v>46</v>
      </c>
      <c r="H588" t="s">
        <v>30</v>
      </c>
      <c r="I588" t="s">
        <v>31</v>
      </c>
      <c r="J588" t="s">
        <v>900</v>
      </c>
      <c r="K588" t="s">
        <v>48</v>
      </c>
      <c r="M588" t="s">
        <v>78</v>
      </c>
      <c r="N588">
        <v>4</v>
      </c>
      <c r="O588" t="s">
        <v>36</v>
      </c>
    </row>
    <row r="589" spans="1:15" x14ac:dyDescent="0.2">
      <c r="A589" t="s">
        <v>901</v>
      </c>
      <c r="B589" t="s">
        <v>56</v>
      </c>
      <c r="C589" t="s">
        <v>39</v>
      </c>
      <c r="D589" s="1">
        <v>18983</v>
      </c>
      <c r="E589" s="1">
        <v>45310</v>
      </c>
      <c r="F589" s="1">
        <v>45312</v>
      </c>
      <c r="G589" t="s">
        <v>72</v>
      </c>
      <c r="H589" t="s">
        <v>19</v>
      </c>
      <c r="I589" t="s">
        <v>76</v>
      </c>
      <c r="J589">
        <v>742</v>
      </c>
      <c r="K589" t="s">
        <v>22</v>
      </c>
      <c r="L589" t="s">
        <v>23</v>
      </c>
      <c r="M589" t="s">
        <v>78</v>
      </c>
      <c r="O589" t="s">
        <v>25</v>
      </c>
    </row>
    <row r="590" spans="1:15" x14ac:dyDescent="0.2">
      <c r="A590" t="s">
        <v>902</v>
      </c>
      <c r="B590" t="s">
        <v>119</v>
      </c>
      <c r="C590" t="s">
        <v>49</v>
      </c>
      <c r="D590" s="1">
        <v>38142</v>
      </c>
      <c r="E590" s="1">
        <v>45322</v>
      </c>
      <c r="F590" s="1">
        <v>45330</v>
      </c>
      <c r="G590" t="s">
        <v>46</v>
      </c>
      <c r="H590" t="s">
        <v>61</v>
      </c>
      <c r="I590" t="s">
        <v>53</v>
      </c>
      <c r="J590" t="s">
        <v>903</v>
      </c>
      <c r="K590" t="s">
        <v>22</v>
      </c>
      <c r="L590" t="s">
        <v>34</v>
      </c>
      <c r="M590" t="s">
        <v>24</v>
      </c>
    </row>
    <row r="591" spans="1:15" x14ac:dyDescent="0.2">
      <c r="A591" t="s">
        <v>904</v>
      </c>
      <c r="B591" t="s">
        <v>51</v>
      </c>
      <c r="C591" t="s">
        <v>39</v>
      </c>
      <c r="D591" s="1">
        <v>30220</v>
      </c>
      <c r="E591" s="1">
        <v>45347</v>
      </c>
      <c r="F591" s="1">
        <v>45351</v>
      </c>
      <c r="G591" t="s">
        <v>46</v>
      </c>
      <c r="H591" t="s">
        <v>30</v>
      </c>
      <c r="I591" t="s">
        <v>31</v>
      </c>
      <c r="J591" t="s">
        <v>435</v>
      </c>
      <c r="K591" t="s">
        <v>48</v>
      </c>
      <c r="M591" t="s">
        <v>24</v>
      </c>
      <c r="N591">
        <v>5</v>
      </c>
      <c r="O591" t="s">
        <v>36</v>
      </c>
    </row>
    <row r="592" spans="1:15" x14ac:dyDescent="0.2">
      <c r="A592" t="s">
        <v>905</v>
      </c>
      <c r="B592" t="s">
        <v>56</v>
      </c>
      <c r="C592" t="s">
        <v>28</v>
      </c>
      <c r="D592" s="1">
        <v>35062</v>
      </c>
      <c r="E592" s="1">
        <v>45341</v>
      </c>
      <c r="F592" s="1">
        <v>45352</v>
      </c>
      <c r="G592" t="s">
        <v>29</v>
      </c>
      <c r="H592" t="s">
        <v>66</v>
      </c>
      <c r="I592" t="s">
        <v>57</v>
      </c>
      <c r="J592" t="s">
        <v>906</v>
      </c>
      <c r="K592" t="s">
        <v>22</v>
      </c>
      <c r="L592" t="s">
        <v>23</v>
      </c>
      <c r="M592" t="s">
        <v>24</v>
      </c>
      <c r="N592">
        <v>15</v>
      </c>
      <c r="O592" t="s">
        <v>36</v>
      </c>
    </row>
    <row r="593" spans="1:15" x14ac:dyDescent="0.2">
      <c r="A593">
        <v>591</v>
      </c>
      <c r="B593" t="s">
        <v>85</v>
      </c>
      <c r="C593" t="s">
        <v>49</v>
      </c>
      <c r="D593" s="1">
        <v>27166</v>
      </c>
      <c r="E593" s="1">
        <v>45451</v>
      </c>
      <c r="F593" s="1">
        <v>45458</v>
      </c>
      <c r="G593" t="s">
        <v>18</v>
      </c>
      <c r="H593" t="s">
        <v>30</v>
      </c>
      <c r="I593" t="s">
        <v>31</v>
      </c>
      <c r="J593" t="s">
        <v>907</v>
      </c>
      <c r="K593" t="s">
        <v>71</v>
      </c>
      <c r="L593" t="s">
        <v>23</v>
      </c>
      <c r="M593" t="s">
        <v>35</v>
      </c>
      <c r="N593">
        <v>5</v>
      </c>
    </row>
    <row r="594" spans="1:15" x14ac:dyDescent="0.2">
      <c r="A594">
        <v>592</v>
      </c>
      <c r="B594" t="s">
        <v>45</v>
      </c>
      <c r="C594" t="s">
        <v>65</v>
      </c>
      <c r="D594" s="1">
        <v>39402</v>
      </c>
      <c r="E594" s="1">
        <v>45393</v>
      </c>
      <c r="G594" t="s">
        <v>83</v>
      </c>
      <c r="H594" t="s">
        <v>19</v>
      </c>
      <c r="I594" t="s">
        <v>41</v>
      </c>
      <c r="J594" t="s">
        <v>908</v>
      </c>
      <c r="K594" t="s">
        <v>22</v>
      </c>
      <c r="L594" t="s">
        <v>34</v>
      </c>
      <c r="M594" t="s">
        <v>35</v>
      </c>
      <c r="N594">
        <v>6</v>
      </c>
      <c r="O594" t="s">
        <v>25</v>
      </c>
    </row>
    <row r="595" spans="1:15" x14ac:dyDescent="0.2">
      <c r="A595">
        <v>593</v>
      </c>
      <c r="B595" t="s">
        <v>16</v>
      </c>
      <c r="C595" t="s">
        <v>17</v>
      </c>
      <c r="D595" s="1">
        <v>28703</v>
      </c>
      <c r="E595" s="1">
        <v>45376</v>
      </c>
      <c r="F595" s="1">
        <v>45389</v>
      </c>
      <c r="G595" t="s">
        <v>50</v>
      </c>
      <c r="H595" t="s">
        <v>61</v>
      </c>
      <c r="I595" t="s">
        <v>20</v>
      </c>
      <c r="J595" t="s">
        <v>909</v>
      </c>
      <c r="K595" t="s">
        <v>43</v>
      </c>
      <c r="L595" t="s">
        <v>23</v>
      </c>
      <c r="M595" t="s">
        <v>24</v>
      </c>
    </row>
    <row r="596" spans="1:15" x14ac:dyDescent="0.2">
      <c r="A596">
        <v>594</v>
      </c>
      <c r="B596" t="s">
        <v>85</v>
      </c>
      <c r="C596" t="s">
        <v>39</v>
      </c>
      <c r="D596" s="1">
        <v>20715</v>
      </c>
      <c r="E596" s="1">
        <v>45466</v>
      </c>
      <c r="F596" s="1">
        <v>45472</v>
      </c>
      <c r="G596" t="s">
        <v>50</v>
      </c>
      <c r="H596" t="s">
        <v>66</v>
      </c>
      <c r="I596" t="s">
        <v>41</v>
      </c>
      <c r="J596">
        <v>1111</v>
      </c>
      <c r="K596" t="s">
        <v>48</v>
      </c>
      <c r="M596" t="s">
        <v>78</v>
      </c>
      <c r="O596" t="s">
        <v>36</v>
      </c>
    </row>
    <row r="597" spans="1:15" x14ac:dyDescent="0.2">
      <c r="A597" t="s">
        <v>910</v>
      </c>
      <c r="B597" t="s">
        <v>85</v>
      </c>
      <c r="C597" t="s">
        <v>92</v>
      </c>
      <c r="D597" s="1">
        <v>37635</v>
      </c>
      <c r="E597" s="1">
        <v>45352</v>
      </c>
      <c r="F597" s="1">
        <v>45363</v>
      </c>
      <c r="G597" t="s">
        <v>100</v>
      </c>
      <c r="H597" t="s">
        <v>30</v>
      </c>
      <c r="I597" t="s">
        <v>67</v>
      </c>
      <c r="J597" t="s">
        <v>911</v>
      </c>
      <c r="K597" t="s">
        <v>43</v>
      </c>
      <c r="L597" t="s">
        <v>34</v>
      </c>
      <c r="M597" t="s">
        <v>78</v>
      </c>
      <c r="N597">
        <v>2</v>
      </c>
      <c r="O597" t="s">
        <v>36</v>
      </c>
    </row>
    <row r="598" spans="1:15" x14ac:dyDescent="0.2">
      <c r="A598" t="s">
        <v>912</v>
      </c>
      <c r="B598" t="s">
        <v>82</v>
      </c>
      <c r="C598" t="s">
        <v>49</v>
      </c>
      <c r="D598" s="1">
        <v>28127</v>
      </c>
      <c r="E598" s="1">
        <v>45373</v>
      </c>
      <c r="F598" s="1">
        <v>45382</v>
      </c>
      <c r="G598" t="s">
        <v>100</v>
      </c>
      <c r="H598" t="s">
        <v>61</v>
      </c>
      <c r="I598" t="s">
        <v>20</v>
      </c>
      <c r="J598" t="s">
        <v>913</v>
      </c>
      <c r="K598" t="s">
        <v>71</v>
      </c>
      <c r="M598" t="s">
        <v>24</v>
      </c>
      <c r="N598">
        <v>2</v>
      </c>
      <c r="O598" t="s">
        <v>36</v>
      </c>
    </row>
    <row r="599" spans="1:15" x14ac:dyDescent="0.2">
      <c r="A599" t="s">
        <v>914</v>
      </c>
      <c r="B599" t="s">
        <v>16</v>
      </c>
      <c r="C599" t="s">
        <v>17</v>
      </c>
      <c r="D599" s="1">
        <v>25604</v>
      </c>
      <c r="E599" s="1">
        <v>45294</v>
      </c>
      <c r="G599" t="s">
        <v>83</v>
      </c>
      <c r="I599" t="s">
        <v>53</v>
      </c>
      <c r="J599" t="s">
        <v>915</v>
      </c>
      <c r="K599" t="s">
        <v>22</v>
      </c>
      <c r="L599" t="s">
        <v>34</v>
      </c>
      <c r="M599" t="s">
        <v>35</v>
      </c>
      <c r="N599">
        <v>13</v>
      </c>
      <c r="O599" t="s">
        <v>36</v>
      </c>
    </row>
    <row r="600" spans="1:15" x14ac:dyDescent="0.2">
      <c r="A600" t="s">
        <v>916</v>
      </c>
      <c r="B600" t="s">
        <v>64</v>
      </c>
      <c r="C600" t="s">
        <v>49</v>
      </c>
      <c r="D600" s="1">
        <v>19984</v>
      </c>
      <c r="E600" s="1">
        <v>45303</v>
      </c>
      <c r="G600" t="s">
        <v>60</v>
      </c>
      <c r="H600" t="s">
        <v>66</v>
      </c>
      <c r="I600" t="s">
        <v>31</v>
      </c>
      <c r="J600">
        <v>774</v>
      </c>
      <c r="K600" t="s">
        <v>33</v>
      </c>
      <c r="L600" t="s">
        <v>23</v>
      </c>
      <c r="M600" t="s">
        <v>35</v>
      </c>
      <c r="N600">
        <v>2</v>
      </c>
      <c r="O600" t="s">
        <v>25</v>
      </c>
    </row>
    <row r="601" spans="1:15" x14ac:dyDescent="0.2">
      <c r="A601">
        <v>599</v>
      </c>
      <c r="B601" t="s">
        <v>87</v>
      </c>
      <c r="C601" t="s">
        <v>39</v>
      </c>
      <c r="D601" s="1">
        <v>37404</v>
      </c>
      <c r="E601" s="1">
        <v>45455</v>
      </c>
      <c r="F601" s="1">
        <v>45464</v>
      </c>
      <c r="G601" t="s">
        <v>18</v>
      </c>
      <c r="H601" t="s">
        <v>19</v>
      </c>
      <c r="I601" t="s">
        <v>53</v>
      </c>
      <c r="J601" t="s">
        <v>917</v>
      </c>
      <c r="K601" t="s">
        <v>33</v>
      </c>
      <c r="M601" t="s">
        <v>35</v>
      </c>
      <c r="O601" t="s">
        <v>36</v>
      </c>
    </row>
    <row r="602" spans="1:15" x14ac:dyDescent="0.2">
      <c r="A602" t="s">
        <v>918</v>
      </c>
      <c r="B602" t="s">
        <v>150</v>
      </c>
      <c r="C602" t="s">
        <v>92</v>
      </c>
      <c r="D602" s="1">
        <v>36565</v>
      </c>
      <c r="E602" s="1">
        <v>45460</v>
      </c>
      <c r="F602" s="1">
        <v>45462</v>
      </c>
      <c r="G602" t="s">
        <v>88</v>
      </c>
      <c r="H602" t="s">
        <v>52</v>
      </c>
      <c r="I602" t="s">
        <v>20</v>
      </c>
      <c r="J602" t="s">
        <v>919</v>
      </c>
      <c r="K602" t="s">
        <v>71</v>
      </c>
      <c r="M602" t="s">
        <v>35</v>
      </c>
      <c r="N602">
        <v>6</v>
      </c>
      <c r="O602" t="s">
        <v>25</v>
      </c>
    </row>
    <row r="603" spans="1:15" x14ac:dyDescent="0.2">
      <c r="A603" t="s">
        <v>920</v>
      </c>
      <c r="B603" t="s">
        <v>105</v>
      </c>
      <c r="C603" t="s">
        <v>65</v>
      </c>
      <c r="D603" s="1">
        <v>28532</v>
      </c>
      <c r="E603" s="1">
        <v>45473</v>
      </c>
      <c r="F603" s="1">
        <v>45487</v>
      </c>
      <c r="G603" t="s">
        <v>46</v>
      </c>
      <c r="H603" t="s">
        <v>52</v>
      </c>
      <c r="I603" t="s">
        <v>31</v>
      </c>
      <c r="J603">
        <v>889</v>
      </c>
      <c r="K603" t="s">
        <v>43</v>
      </c>
      <c r="L603" t="s">
        <v>23</v>
      </c>
      <c r="M603" t="s">
        <v>78</v>
      </c>
      <c r="O603" t="s">
        <v>36</v>
      </c>
    </row>
    <row r="604" spans="1:15" x14ac:dyDescent="0.2">
      <c r="A604">
        <v>602</v>
      </c>
      <c r="B604" t="s">
        <v>140</v>
      </c>
      <c r="C604" t="s">
        <v>49</v>
      </c>
      <c r="D604" s="1">
        <v>28328</v>
      </c>
      <c r="E604" s="1">
        <v>45329</v>
      </c>
      <c r="F604" s="1">
        <v>45341</v>
      </c>
      <c r="G604" t="s">
        <v>50</v>
      </c>
      <c r="H604" t="s">
        <v>66</v>
      </c>
      <c r="I604" t="s">
        <v>76</v>
      </c>
      <c r="J604" t="s">
        <v>921</v>
      </c>
      <c r="K604" t="s">
        <v>48</v>
      </c>
      <c r="M604" t="s">
        <v>24</v>
      </c>
      <c r="N604">
        <v>6</v>
      </c>
      <c r="O604" t="s">
        <v>36</v>
      </c>
    </row>
    <row r="605" spans="1:15" x14ac:dyDescent="0.2">
      <c r="A605" t="s">
        <v>922</v>
      </c>
      <c r="B605" t="s">
        <v>27</v>
      </c>
      <c r="C605" t="s">
        <v>17</v>
      </c>
      <c r="D605" s="1">
        <v>29877</v>
      </c>
      <c r="E605" s="1">
        <v>45346</v>
      </c>
      <c r="F605" s="1">
        <v>45353</v>
      </c>
      <c r="G605" t="s">
        <v>88</v>
      </c>
      <c r="H605" t="s">
        <v>19</v>
      </c>
      <c r="I605" t="s">
        <v>31</v>
      </c>
      <c r="J605" t="s">
        <v>923</v>
      </c>
      <c r="K605" t="s">
        <v>48</v>
      </c>
      <c r="M605" t="s">
        <v>24</v>
      </c>
      <c r="N605">
        <v>4</v>
      </c>
      <c r="O605" t="s">
        <v>36</v>
      </c>
    </row>
    <row r="606" spans="1:15" x14ac:dyDescent="0.2">
      <c r="A606" t="s">
        <v>924</v>
      </c>
      <c r="B606" t="s">
        <v>118</v>
      </c>
      <c r="C606" t="s">
        <v>97</v>
      </c>
      <c r="D606" s="1">
        <v>37729</v>
      </c>
      <c r="E606" s="1">
        <v>45427</v>
      </c>
      <c r="F606" s="1">
        <v>45429</v>
      </c>
      <c r="G606" t="s">
        <v>72</v>
      </c>
      <c r="H606" t="s">
        <v>52</v>
      </c>
      <c r="I606" t="s">
        <v>20</v>
      </c>
      <c r="J606" t="s">
        <v>925</v>
      </c>
      <c r="K606" t="s">
        <v>48</v>
      </c>
      <c r="L606" t="s">
        <v>34</v>
      </c>
      <c r="M606" t="s">
        <v>24</v>
      </c>
      <c r="O606" t="s">
        <v>25</v>
      </c>
    </row>
    <row r="607" spans="1:15" x14ac:dyDescent="0.2">
      <c r="A607" t="s">
        <v>926</v>
      </c>
      <c r="B607" t="s">
        <v>16</v>
      </c>
      <c r="C607" t="s">
        <v>92</v>
      </c>
      <c r="D607" s="1">
        <v>25684</v>
      </c>
      <c r="E607" s="1">
        <v>45392</v>
      </c>
      <c r="G607" t="s">
        <v>60</v>
      </c>
      <c r="H607" t="s">
        <v>19</v>
      </c>
      <c r="I607" t="s">
        <v>67</v>
      </c>
      <c r="J607" t="s">
        <v>927</v>
      </c>
      <c r="K607" t="s">
        <v>33</v>
      </c>
      <c r="M607" t="s">
        <v>24</v>
      </c>
      <c r="N607">
        <v>12</v>
      </c>
      <c r="O607" t="s">
        <v>25</v>
      </c>
    </row>
    <row r="608" spans="1:15" x14ac:dyDescent="0.2">
      <c r="A608" t="s">
        <v>928</v>
      </c>
      <c r="B608" t="s">
        <v>140</v>
      </c>
      <c r="C608" t="s">
        <v>65</v>
      </c>
      <c r="D608" s="1">
        <v>38649</v>
      </c>
      <c r="E608" s="1">
        <v>45370</v>
      </c>
      <c r="F608" s="1">
        <v>45381</v>
      </c>
      <c r="G608" t="s">
        <v>46</v>
      </c>
      <c r="H608" t="s">
        <v>52</v>
      </c>
      <c r="I608" t="s">
        <v>31</v>
      </c>
      <c r="J608" t="s">
        <v>929</v>
      </c>
      <c r="K608" t="s">
        <v>48</v>
      </c>
      <c r="M608" t="s">
        <v>78</v>
      </c>
      <c r="N608">
        <v>3</v>
      </c>
      <c r="O608" t="s">
        <v>36</v>
      </c>
    </row>
    <row r="609" spans="1:15" x14ac:dyDescent="0.2">
      <c r="A609" t="s">
        <v>930</v>
      </c>
      <c r="B609" t="s">
        <v>140</v>
      </c>
      <c r="C609" t="s">
        <v>49</v>
      </c>
      <c r="D609" s="1">
        <v>18582</v>
      </c>
      <c r="E609" s="1">
        <v>45413</v>
      </c>
      <c r="F609" s="1">
        <v>45417</v>
      </c>
      <c r="G609" t="s">
        <v>74</v>
      </c>
      <c r="H609" t="s">
        <v>66</v>
      </c>
      <c r="I609" t="s">
        <v>41</v>
      </c>
      <c r="J609" t="s">
        <v>868</v>
      </c>
      <c r="K609" t="s">
        <v>22</v>
      </c>
      <c r="L609" t="s">
        <v>23</v>
      </c>
      <c r="M609" t="s">
        <v>35</v>
      </c>
      <c r="N609">
        <v>2</v>
      </c>
      <c r="O609" t="s">
        <v>36</v>
      </c>
    </row>
    <row r="610" spans="1:15" x14ac:dyDescent="0.2">
      <c r="A610" t="s">
        <v>931</v>
      </c>
      <c r="B610" t="s">
        <v>59</v>
      </c>
      <c r="C610" t="s">
        <v>28</v>
      </c>
      <c r="D610" s="1">
        <v>34342</v>
      </c>
      <c r="E610" s="1">
        <v>45431</v>
      </c>
      <c r="F610" s="1">
        <v>45436</v>
      </c>
      <c r="G610" t="s">
        <v>100</v>
      </c>
      <c r="H610" t="s">
        <v>66</v>
      </c>
      <c r="I610" t="s">
        <v>41</v>
      </c>
      <c r="J610" t="s">
        <v>932</v>
      </c>
      <c r="K610" t="s">
        <v>33</v>
      </c>
      <c r="M610" t="s">
        <v>35</v>
      </c>
    </row>
    <row r="611" spans="1:15" x14ac:dyDescent="0.2">
      <c r="A611" t="s">
        <v>933</v>
      </c>
      <c r="B611" t="s">
        <v>64</v>
      </c>
      <c r="C611" t="s">
        <v>97</v>
      </c>
      <c r="D611" s="1">
        <v>31709</v>
      </c>
      <c r="E611" s="1">
        <v>45460</v>
      </c>
      <c r="F611" s="1">
        <v>45461</v>
      </c>
      <c r="G611" t="s">
        <v>18</v>
      </c>
      <c r="H611" t="s">
        <v>75</v>
      </c>
      <c r="I611" t="s">
        <v>53</v>
      </c>
      <c r="J611" t="s">
        <v>934</v>
      </c>
      <c r="K611" t="s">
        <v>22</v>
      </c>
      <c r="L611" t="s">
        <v>34</v>
      </c>
      <c r="M611" t="s">
        <v>35</v>
      </c>
      <c r="N611">
        <v>7</v>
      </c>
    </row>
    <row r="612" spans="1:15" x14ac:dyDescent="0.2">
      <c r="A612" t="s">
        <v>935</v>
      </c>
      <c r="B612" t="s">
        <v>38</v>
      </c>
      <c r="C612" t="s">
        <v>49</v>
      </c>
      <c r="D612" s="1">
        <v>36119</v>
      </c>
      <c r="E612" s="1">
        <v>45426</v>
      </c>
      <c r="F612" s="1">
        <v>45437</v>
      </c>
      <c r="G612" t="s">
        <v>83</v>
      </c>
      <c r="H612" t="s">
        <v>19</v>
      </c>
      <c r="I612" t="s">
        <v>57</v>
      </c>
      <c r="J612" t="s">
        <v>936</v>
      </c>
      <c r="K612" t="s">
        <v>33</v>
      </c>
      <c r="L612" t="s">
        <v>23</v>
      </c>
      <c r="M612" t="s">
        <v>35</v>
      </c>
      <c r="N612">
        <v>12</v>
      </c>
      <c r="O612" t="s">
        <v>36</v>
      </c>
    </row>
    <row r="613" spans="1:15" x14ac:dyDescent="0.2">
      <c r="A613" t="s">
        <v>937</v>
      </c>
      <c r="B613" t="s">
        <v>16</v>
      </c>
      <c r="C613" t="s">
        <v>28</v>
      </c>
      <c r="D613" s="1">
        <v>33174</v>
      </c>
      <c r="E613" s="1">
        <v>45365</v>
      </c>
      <c r="F613" s="1">
        <v>45373</v>
      </c>
      <c r="G613" t="s">
        <v>100</v>
      </c>
      <c r="H613" t="s">
        <v>75</v>
      </c>
      <c r="I613" t="s">
        <v>67</v>
      </c>
      <c r="J613" t="s">
        <v>730</v>
      </c>
      <c r="K613" t="s">
        <v>43</v>
      </c>
      <c r="L613" t="s">
        <v>23</v>
      </c>
      <c r="M613" t="s">
        <v>78</v>
      </c>
      <c r="N613">
        <v>2</v>
      </c>
      <c r="O613" t="s">
        <v>36</v>
      </c>
    </row>
    <row r="614" spans="1:15" x14ac:dyDescent="0.2">
      <c r="A614" t="s">
        <v>938</v>
      </c>
      <c r="B614" t="s">
        <v>114</v>
      </c>
      <c r="C614" t="s">
        <v>17</v>
      </c>
      <c r="D614" s="1">
        <v>25385</v>
      </c>
      <c r="E614" s="1">
        <v>45443</v>
      </c>
      <c r="G614" t="s">
        <v>60</v>
      </c>
      <c r="H614" t="s">
        <v>66</v>
      </c>
      <c r="I614" t="s">
        <v>76</v>
      </c>
      <c r="J614" t="s">
        <v>939</v>
      </c>
      <c r="K614" t="s">
        <v>48</v>
      </c>
      <c r="M614" t="s">
        <v>35</v>
      </c>
      <c r="N614">
        <v>5</v>
      </c>
    </row>
    <row r="615" spans="1:15" x14ac:dyDescent="0.2">
      <c r="A615" t="s">
        <v>940</v>
      </c>
      <c r="B615" t="s">
        <v>27</v>
      </c>
      <c r="C615" t="s">
        <v>97</v>
      </c>
      <c r="D615" s="1">
        <v>21082</v>
      </c>
      <c r="E615" s="1">
        <v>45328</v>
      </c>
      <c r="F615" s="1">
        <v>45343</v>
      </c>
      <c r="G615" t="s">
        <v>60</v>
      </c>
      <c r="H615" t="s">
        <v>52</v>
      </c>
      <c r="I615" t="s">
        <v>20</v>
      </c>
      <c r="J615" t="s">
        <v>941</v>
      </c>
      <c r="K615" t="s">
        <v>22</v>
      </c>
      <c r="M615" t="s">
        <v>78</v>
      </c>
      <c r="N615">
        <v>15</v>
      </c>
      <c r="O615" t="s">
        <v>25</v>
      </c>
    </row>
    <row r="616" spans="1:15" x14ac:dyDescent="0.2">
      <c r="A616">
        <v>614</v>
      </c>
      <c r="B616" t="s">
        <v>45</v>
      </c>
      <c r="C616" t="s">
        <v>65</v>
      </c>
      <c r="D616" s="1">
        <v>28446</v>
      </c>
      <c r="E616" s="1">
        <v>45436</v>
      </c>
      <c r="F616" s="1">
        <v>45442</v>
      </c>
      <c r="G616" t="s">
        <v>72</v>
      </c>
      <c r="I616" t="s">
        <v>67</v>
      </c>
      <c r="J616" t="s">
        <v>942</v>
      </c>
      <c r="K616" t="s">
        <v>71</v>
      </c>
      <c r="L616" t="s">
        <v>23</v>
      </c>
      <c r="M616" t="s">
        <v>78</v>
      </c>
      <c r="N616">
        <v>5</v>
      </c>
    </row>
    <row r="617" spans="1:15" x14ac:dyDescent="0.2">
      <c r="A617" t="s">
        <v>943</v>
      </c>
      <c r="B617" t="s">
        <v>114</v>
      </c>
      <c r="C617" t="s">
        <v>65</v>
      </c>
      <c r="D617" s="1">
        <v>24272</v>
      </c>
      <c r="E617" s="1">
        <v>45403</v>
      </c>
      <c r="G617" t="s">
        <v>100</v>
      </c>
      <c r="H617" t="s">
        <v>75</v>
      </c>
      <c r="I617" t="s">
        <v>31</v>
      </c>
      <c r="J617" t="s">
        <v>944</v>
      </c>
      <c r="K617" t="s">
        <v>71</v>
      </c>
      <c r="M617" t="s">
        <v>78</v>
      </c>
      <c r="N617">
        <v>7</v>
      </c>
      <c r="O617" t="s">
        <v>36</v>
      </c>
    </row>
    <row r="618" spans="1:15" x14ac:dyDescent="0.2">
      <c r="A618" t="s">
        <v>945</v>
      </c>
      <c r="B618" t="s">
        <v>27</v>
      </c>
      <c r="C618" t="s">
        <v>17</v>
      </c>
      <c r="D618" s="1">
        <v>32056</v>
      </c>
      <c r="E618" s="1">
        <v>45327</v>
      </c>
      <c r="F618" s="1">
        <v>45337</v>
      </c>
      <c r="G618" t="s">
        <v>46</v>
      </c>
      <c r="H618" t="s">
        <v>61</v>
      </c>
      <c r="I618" t="s">
        <v>57</v>
      </c>
      <c r="J618" t="s">
        <v>946</v>
      </c>
      <c r="K618" t="s">
        <v>48</v>
      </c>
      <c r="M618" t="s">
        <v>35</v>
      </c>
      <c r="N618">
        <v>1</v>
      </c>
      <c r="O618" t="s">
        <v>36</v>
      </c>
    </row>
    <row r="619" spans="1:15" x14ac:dyDescent="0.2">
      <c r="A619" t="s">
        <v>947</v>
      </c>
      <c r="B619" t="s">
        <v>114</v>
      </c>
      <c r="C619" t="s">
        <v>39</v>
      </c>
      <c r="D619" s="1">
        <v>20044</v>
      </c>
      <c r="E619" s="1">
        <v>45306</v>
      </c>
      <c r="F619" s="1">
        <v>45317</v>
      </c>
      <c r="G619" t="s">
        <v>83</v>
      </c>
      <c r="H619" t="s">
        <v>61</v>
      </c>
      <c r="I619" t="s">
        <v>20</v>
      </c>
      <c r="J619">
        <v>695</v>
      </c>
      <c r="K619" t="s">
        <v>33</v>
      </c>
      <c r="L619" t="s">
        <v>34</v>
      </c>
      <c r="M619" t="s">
        <v>35</v>
      </c>
      <c r="N619">
        <v>11</v>
      </c>
    </row>
    <row r="620" spans="1:15" x14ac:dyDescent="0.2">
      <c r="A620" t="s">
        <v>948</v>
      </c>
      <c r="B620" t="s">
        <v>80</v>
      </c>
      <c r="C620" t="s">
        <v>49</v>
      </c>
      <c r="D620" s="1">
        <v>24983</v>
      </c>
      <c r="E620" s="1">
        <v>45435</v>
      </c>
      <c r="G620" t="s">
        <v>72</v>
      </c>
      <c r="H620" t="s">
        <v>75</v>
      </c>
      <c r="I620" t="s">
        <v>41</v>
      </c>
      <c r="J620" t="s">
        <v>949</v>
      </c>
      <c r="K620" t="s">
        <v>33</v>
      </c>
      <c r="L620" t="s">
        <v>34</v>
      </c>
      <c r="M620" t="s">
        <v>78</v>
      </c>
      <c r="N620">
        <v>4</v>
      </c>
      <c r="O620" t="s">
        <v>25</v>
      </c>
    </row>
    <row r="621" spans="1:15" x14ac:dyDescent="0.2">
      <c r="A621" t="s">
        <v>950</v>
      </c>
      <c r="B621" t="s">
        <v>64</v>
      </c>
      <c r="C621" t="s">
        <v>97</v>
      </c>
      <c r="D621" s="1">
        <v>38049</v>
      </c>
      <c r="E621" s="1">
        <v>45425</v>
      </c>
      <c r="F621" s="1">
        <v>45427</v>
      </c>
      <c r="G621" t="s">
        <v>88</v>
      </c>
      <c r="I621" t="s">
        <v>57</v>
      </c>
      <c r="J621">
        <v>1008</v>
      </c>
      <c r="K621" t="s">
        <v>48</v>
      </c>
      <c r="L621" t="s">
        <v>34</v>
      </c>
      <c r="M621" t="s">
        <v>78</v>
      </c>
      <c r="N621">
        <v>3</v>
      </c>
      <c r="O621" t="s">
        <v>25</v>
      </c>
    </row>
    <row r="622" spans="1:15" x14ac:dyDescent="0.2">
      <c r="A622" t="s">
        <v>951</v>
      </c>
      <c r="B622" t="s">
        <v>38</v>
      </c>
      <c r="C622" t="s">
        <v>39</v>
      </c>
      <c r="D622" s="1">
        <v>38342</v>
      </c>
      <c r="E622" s="1">
        <v>45460</v>
      </c>
      <c r="F622" s="1">
        <v>45471</v>
      </c>
      <c r="G622" t="s">
        <v>46</v>
      </c>
      <c r="H622" t="s">
        <v>52</v>
      </c>
      <c r="I622" t="s">
        <v>41</v>
      </c>
      <c r="J622" t="s">
        <v>952</v>
      </c>
      <c r="K622" t="s">
        <v>22</v>
      </c>
      <c r="L622" t="s">
        <v>23</v>
      </c>
      <c r="M622" t="s">
        <v>78</v>
      </c>
      <c r="N622">
        <v>5</v>
      </c>
    </row>
    <row r="623" spans="1:15" x14ac:dyDescent="0.2">
      <c r="A623" t="s">
        <v>953</v>
      </c>
      <c r="B623" t="s">
        <v>119</v>
      </c>
      <c r="C623" t="s">
        <v>28</v>
      </c>
      <c r="D623" s="1">
        <v>30300</v>
      </c>
      <c r="E623" s="1">
        <v>45392</v>
      </c>
      <c r="F623" s="1">
        <v>45394</v>
      </c>
      <c r="G623" t="s">
        <v>29</v>
      </c>
      <c r="I623" t="s">
        <v>76</v>
      </c>
      <c r="J623" t="s">
        <v>954</v>
      </c>
      <c r="K623" t="s">
        <v>33</v>
      </c>
      <c r="M623" t="s">
        <v>35</v>
      </c>
      <c r="N623">
        <v>1</v>
      </c>
    </row>
    <row r="624" spans="1:15" x14ac:dyDescent="0.2">
      <c r="A624">
        <v>622</v>
      </c>
      <c r="B624" t="s">
        <v>80</v>
      </c>
      <c r="C624" t="s">
        <v>49</v>
      </c>
      <c r="D624" s="1">
        <v>39577</v>
      </c>
      <c r="E624" s="1">
        <v>45302</v>
      </c>
      <c r="F624" s="1">
        <v>45310</v>
      </c>
      <c r="G624" t="s">
        <v>60</v>
      </c>
      <c r="H624" t="s">
        <v>66</v>
      </c>
      <c r="I624" t="s">
        <v>67</v>
      </c>
      <c r="J624" t="s">
        <v>955</v>
      </c>
      <c r="K624" t="s">
        <v>33</v>
      </c>
      <c r="M624" t="s">
        <v>24</v>
      </c>
    </row>
    <row r="625" spans="1:15" x14ac:dyDescent="0.2">
      <c r="A625" t="s">
        <v>956</v>
      </c>
      <c r="B625" t="s">
        <v>102</v>
      </c>
      <c r="C625" t="s">
        <v>49</v>
      </c>
      <c r="D625" s="1">
        <v>36717</v>
      </c>
      <c r="E625" s="1">
        <v>45409</v>
      </c>
      <c r="F625" s="1">
        <v>45422</v>
      </c>
      <c r="G625" t="s">
        <v>29</v>
      </c>
      <c r="H625" t="s">
        <v>66</v>
      </c>
      <c r="I625" t="s">
        <v>41</v>
      </c>
      <c r="J625">
        <v>1421</v>
      </c>
      <c r="K625" t="s">
        <v>71</v>
      </c>
      <c r="M625" t="s">
        <v>24</v>
      </c>
      <c r="N625">
        <v>10</v>
      </c>
    </row>
    <row r="626" spans="1:15" x14ac:dyDescent="0.2">
      <c r="A626" t="s">
        <v>957</v>
      </c>
      <c r="B626" t="s">
        <v>105</v>
      </c>
      <c r="C626" t="s">
        <v>92</v>
      </c>
      <c r="D626" s="1">
        <v>22504</v>
      </c>
      <c r="E626" s="1">
        <v>45442</v>
      </c>
      <c r="F626" s="1">
        <v>45456</v>
      </c>
      <c r="G626" t="s">
        <v>74</v>
      </c>
      <c r="H626" t="s">
        <v>66</v>
      </c>
      <c r="I626" t="s">
        <v>20</v>
      </c>
      <c r="J626" t="s">
        <v>958</v>
      </c>
      <c r="K626" t="s">
        <v>48</v>
      </c>
      <c r="L626" t="s">
        <v>34</v>
      </c>
      <c r="M626" t="s">
        <v>78</v>
      </c>
      <c r="N626">
        <v>8</v>
      </c>
      <c r="O626" t="s">
        <v>36</v>
      </c>
    </row>
    <row r="627" spans="1:15" x14ac:dyDescent="0.2">
      <c r="A627" t="s">
        <v>959</v>
      </c>
      <c r="B627" t="s">
        <v>91</v>
      </c>
      <c r="C627" t="s">
        <v>17</v>
      </c>
      <c r="D627" s="1">
        <v>23965</v>
      </c>
      <c r="E627" s="1">
        <v>45399</v>
      </c>
      <c r="G627" t="s">
        <v>60</v>
      </c>
      <c r="H627" t="s">
        <v>66</v>
      </c>
      <c r="I627" t="s">
        <v>20</v>
      </c>
      <c r="J627">
        <v>249</v>
      </c>
      <c r="K627" t="s">
        <v>33</v>
      </c>
      <c r="L627" t="s">
        <v>34</v>
      </c>
      <c r="M627" t="s">
        <v>35</v>
      </c>
      <c r="N627">
        <v>12</v>
      </c>
      <c r="O627" t="s">
        <v>36</v>
      </c>
    </row>
    <row r="628" spans="1:15" x14ac:dyDescent="0.2">
      <c r="A628">
        <v>626</v>
      </c>
      <c r="B628" t="s">
        <v>87</v>
      </c>
      <c r="C628" t="s">
        <v>49</v>
      </c>
      <c r="D628" s="1">
        <v>37065</v>
      </c>
      <c r="E628" s="1">
        <v>45342</v>
      </c>
      <c r="F628" s="1">
        <v>45353</v>
      </c>
      <c r="G628" t="s">
        <v>50</v>
      </c>
      <c r="H628" t="s">
        <v>52</v>
      </c>
      <c r="I628" t="s">
        <v>53</v>
      </c>
      <c r="J628">
        <v>431</v>
      </c>
      <c r="K628" t="s">
        <v>43</v>
      </c>
      <c r="L628" t="s">
        <v>23</v>
      </c>
      <c r="M628" t="s">
        <v>35</v>
      </c>
      <c r="N628">
        <v>11</v>
      </c>
    </row>
    <row r="629" spans="1:15" x14ac:dyDescent="0.2">
      <c r="A629" t="s">
        <v>960</v>
      </c>
      <c r="B629" t="s">
        <v>51</v>
      </c>
      <c r="C629" t="s">
        <v>17</v>
      </c>
      <c r="D629" s="1">
        <v>22869</v>
      </c>
      <c r="E629" s="1">
        <v>45384</v>
      </c>
      <c r="F629" s="1">
        <v>45398</v>
      </c>
      <c r="G629" t="s">
        <v>83</v>
      </c>
      <c r="H629" t="s">
        <v>52</v>
      </c>
      <c r="I629" t="s">
        <v>53</v>
      </c>
      <c r="J629">
        <v>1415</v>
      </c>
      <c r="K629" t="s">
        <v>22</v>
      </c>
      <c r="L629" t="s">
        <v>23</v>
      </c>
      <c r="M629" t="s">
        <v>24</v>
      </c>
      <c r="N629">
        <v>9</v>
      </c>
      <c r="O629" t="s">
        <v>36</v>
      </c>
    </row>
    <row r="630" spans="1:15" x14ac:dyDescent="0.2">
      <c r="A630">
        <v>628</v>
      </c>
      <c r="B630" t="s">
        <v>85</v>
      </c>
      <c r="C630" t="s">
        <v>65</v>
      </c>
      <c r="D630" s="1">
        <v>22781</v>
      </c>
      <c r="E630" s="1">
        <v>45404</v>
      </c>
      <c r="F630" s="1">
        <v>45418</v>
      </c>
      <c r="G630" t="s">
        <v>18</v>
      </c>
      <c r="H630" t="s">
        <v>66</v>
      </c>
      <c r="I630" t="s">
        <v>67</v>
      </c>
      <c r="J630" t="s">
        <v>961</v>
      </c>
      <c r="K630" t="s">
        <v>48</v>
      </c>
      <c r="L630" t="s">
        <v>34</v>
      </c>
      <c r="M630" t="s">
        <v>78</v>
      </c>
    </row>
    <row r="631" spans="1:15" x14ac:dyDescent="0.2">
      <c r="A631" t="s">
        <v>962</v>
      </c>
      <c r="B631" t="s">
        <v>59</v>
      </c>
      <c r="C631" t="s">
        <v>17</v>
      </c>
      <c r="D631" s="1">
        <v>25604</v>
      </c>
      <c r="E631" s="1">
        <v>45356</v>
      </c>
      <c r="F631" s="1">
        <v>45358</v>
      </c>
      <c r="G631" t="s">
        <v>60</v>
      </c>
      <c r="H631" t="s">
        <v>66</v>
      </c>
      <c r="I631" t="s">
        <v>57</v>
      </c>
      <c r="J631" t="s">
        <v>963</v>
      </c>
      <c r="K631" t="s">
        <v>43</v>
      </c>
      <c r="M631" t="s">
        <v>78</v>
      </c>
      <c r="N631">
        <v>9</v>
      </c>
    </row>
    <row r="632" spans="1:15" x14ac:dyDescent="0.2">
      <c r="A632" t="s">
        <v>964</v>
      </c>
      <c r="B632" t="s">
        <v>119</v>
      </c>
      <c r="C632" t="s">
        <v>28</v>
      </c>
      <c r="D632" s="1">
        <v>26883</v>
      </c>
      <c r="E632" s="1">
        <v>45300</v>
      </c>
      <c r="F632" s="1">
        <v>45304</v>
      </c>
      <c r="G632" t="s">
        <v>88</v>
      </c>
      <c r="H632" t="s">
        <v>52</v>
      </c>
      <c r="I632" t="s">
        <v>67</v>
      </c>
      <c r="J632" t="s">
        <v>965</v>
      </c>
      <c r="K632" t="s">
        <v>48</v>
      </c>
      <c r="L632" t="s">
        <v>23</v>
      </c>
      <c r="M632" t="s">
        <v>78</v>
      </c>
    </row>
    <row r="633" spans="1:15" x14ac:dyDescent="0.2">
      <c r="A633" t="s">
        <v>966</v>
      </c>
      <c r="B633" t="s">
        <v>80</v>
      </c>
      <c r="C633" t="s">
        <v>92</v>
      </c>
      <c r="D633" s="1">
        <v>20582</v>
      </c>
      <c r="E633" s="1">
        <v>45445</v>
      </c>
      <c r="F633" s="1">
        <v>45453</v>
      </c>
      <c r="G633" t="s">
        <v>60</v>
      </c>
      <c r="H633" t="s">
        <v>75</v>
      </c>
      <c r="I633" t="s">
        <v>20</v>
      </c>
      <c r="J633" t="s">
        <v>967</v>
      </c>
      <c r="K633" t="s">
        <v>71</v>
      </c>
      <c r="L633" t="s">
        <v>23</v>
      </c>
      <c r="M633" t="s">
        <v>24</v>
      </c>
      <c r="N633">
        <v>8</v>
      </c>
      <c r="O633" t="s">
        <v>36</v>
      </c>
    </row>
    <row r="634" spans="1:15" x14ac:dyDescent="0.2">
      <c r="A634" t="s">
        <v>968</v>
      </c>
      <c r="B634" t="s">
        <v>64</v>
      </c>
      <c r="C634" t="s">
        <v>17</v>
      </c>
      <c r="D634" s="1">
        <v>19127</v>
      </c>
      <c r="E634" s="1">
        <v>45428</v>
      </c>
      <c r="F634" s="1">
        <v>45440</v>
      </c>
      <c r="G634" t="s">
        <v>40</v>
      </c>
      <c r="H634" t="s">
        <v>19</v>
      </c>
      <c r="I634" t="s">
        <v>20</v>
      </c>
      <c r="J634">
        <v>892</v>
      </c>
      <c r="K634" t="s">
        <v>22</v>
      </c>
      <c r="M634" t="s">
        <v>24</v>
      </c>
      <c r="N634">
        <v>3</v>
      </c>
      <c r="O634" t="s">
        <v>25</v>
      </c>
    </row>
    <row r="635" spans="1:15" x14ac:dyDescent="0.2">
      <c r="A635">
        <v>633</v>
      </c>
      <c r="B635" t="s">
        <v>16</v>
      </c>
      <c r="C635" t="s">
        <v>65</v>
      </c>
      <c r="D635" s="1">
        <v>30313</v>
      </c>
      <c r="E635" s="1">
        <v>45341</v>
      </c>
      <c r="F635" s="1">
        <v>45342</v>
      </c>
      <c r="G635" t="s">
        <v>50</v>
      </c>
      <c r="H635" t="s">
        <v>66</v>
      </c>
      <c r="I635" t="s">
        <v>57</v>
      </c>
      <c r="J635" t="s">
        <v>969</v>
      </c>
      <c r="K635" t="s">
        <v>71</v>
      </c>
      <c r="L635" t="s">
        <v>34</v>
      </c>
      <c r="M635" t="s">
        <v>35</v>
      </c>
      <c r="N635">
        <v>4</v>
      </c>
      <c r="O635" t="s">
        <v>25</v>
      </c>
    </row>
    <row r="636" spans="1:15" x14ac:dyDescent="0.2">
      <c r="A636" t="s">
        <v>970</v>
      </c>
      <c r="B636" t="s">
        <v>80</v>
      </c>
      <c r="C636" t="s">
        <v>97</v>
      </c>
      <c r="D636" s="1">
        <v>32634</v>
      </c>
      <c r="E636" s="1">
        <v>45364</v>
      </c>
      <c r="F636" s="1">
        <v>45374</v>
      </c>
      <c r="G636" t="s">
        <v>60</v>
      </c>
      <c r="H636" t="s">
        <v>52</v>
      </c>
      <c r="I636" t="s">
        <v>57</v>
      </c>
      <c r="J636">
        <v>914</v>
      </c>
      <c r="K636" t="s">
        <v>48</v>
      </c>
      <c r="L636" t="s">
        <v>34</v>
      </c>
      <c r="M636" t="s">
        <v>35</v>
      </c>
    </row>
    <row r="637" spans="1:15" x14ac:dyDescent="0.2">
      <c r="A637" t="s">
        <v>971</v>
      </c>
      <c r="B637" t="s">
        <v>56</v>
      </c>
      <c r="C637" t="s">
        <v>49</v>
      </c>
      <c r="D637" s="1">
        <v>29960</v>
      </c>
      <c r="E637" s="1">
        <v>45405</v>
      </c>
      <c r="F637" s="1">
        <v>45418</v>
      </c>
      <c r="G637" t="s">
        <v>72</v>
      </c>
      <c r="H637" t="s">
        <v>52</v>
      </c>
      <c r="I637" t="s">
        <v>57</v>
      </c>
      <c r="J637" t="s">
        <v>972</v>
      </c>
      <c r="K637" t="s">
        <v>43</v>
      </c>
      <c r="L637" t="s">
        <v>34</v>
      </c>
      <c r="M637" t="s">
        <v>35</v>
      </c>
      <c r="N637">
        <v>7</v>
      </c>
    </row>
    <row r="638" spans="1:15" x14ac:dyDescent="0.2">
      <c r="A638" t="s">
        <v>973</v>
      </c>
      <c r="B638" t="s">
        <v>56</v>
      </c>
      <c r="C638" t="s">
        <v>92</v>
      </c>
      <c r="D638" s="1">
        <v>20834</v>
      </c>
      <c r="E638" s="1">
        <v>45327</v>
      </c>
      <c r="F638" s="1">
        <v>45336</v>
      </c>
      <c r="G638" t="s">
        <v>74</v>
      </c>
      <c r="H638" t="s">
        <v>30</v>
      </c>
      <c r="I638" t="s">
        <v>53</v>
      </c>
      <c r="J638" t="s">
        <v>974</v>
      </c>
      <c r="K638" t="s">
        <v>22</v>
      </c>
      <c r="M638" t="s">
        <v>24</v>
      </c>
      <c r="N638">
        <v>2</v>
      </c>
      <c r="O638" t="s">
        <v>25</v>
      </c>
    </row>
    <row r="639" spans="1:15" x14ac:dyDescent="0.2">
      <c r="A639">
        <v>637</v>
      </c>
      <c r="B639" t="s">
        <v>80</v>
      </c>
      <c r="C639" t="s">
        <v>92</v>
      </c>
      <c r="D639" s="1">
        <v>27372</v>
      </c>
      <c r="E639" s="1">
        <v>45368</v>
      </c>
      <c r="G639" t="s">
        <v>18</v>
      </c>
      <c r="H639" t="s">
        <v>19</v>
      </c>
      <c r="I639" t="s">
        <v>76</v>
      </c>
      <c r="J639">
        <v>138</v>
      </c>
      <c r="K639" t="s">
        <v>71</v>
      </c>
      <c r="M639" t="s">
        <v>35</v>
      </c>
      <c r="O639" t="s">
        <v>36</v>
      </c>
    </row>
    <row r="640" spans="1:15" x14ac:dyDescent="0.2">
      <c r="A640" t="s">
        <v>975</v>
      </c>
      <c r="B640" t="s">
        <v>82</v>
      </c>
      <c r="C640" t="s">
        <v>65</v>
      </c>
      <c r="D640" s="1">
        <v>19976</v>
      </c>
      <c r="E640" s="1">
        <v>45300</v>
      </c>
      <c r="F640" s="1">
        <v>45315</v>
      </c>
      <c r="G640" t="s">
        <v>60</v>
      </c>
      <c r="I640" t="s">
        <v>41</v>
      </c>
      <c r="J640" t="s">
        <v>976</v>
      </c>
      <c r="K640" t="s">
        <v>48</v>
      </c>
      <c r="M640" t="s">
        <v>24</v>
      </c>
      <c r="N640">
        <v>7</v>
      </c>
      <c r="O640" t="s">
        <v>36</v>
      </c>
    </row>
    <row r="641" spans="1:15" x14ac:dyDescent="0.2">
      <c r="A641" t="s">
        <v>977</v>
      </c>
      <c r="B641" t="s">
        <v>80</v>
      </c>
      <c r="C641" t="s">
        <v>39</v>
      </c>
      <c r="D641" s="1">
        <v>21842</v>
      </c>
      <c r="E641" s="1">
        <v>45465</v>
      </c>
      <c r="F641" s="1">
        <v>45474</v>
      </c>
      <c r="G641" t="s">
        <v>29</v>
      </c>
      <c r="H641" t="s">
        <v>61</v>
      </c>
      <c r="I641" t="s">
        <v>53</v>
      </c>
      <c r="J641" t="s">
        <v>978</v>
      </c>
      <c r="K641" t="s">
        <v>22</v>
      </c>
      <c r="M641" t="s">
        <v>78</v>
      </c>
      <c r="N641">
        <v>15</v>
      </c>
      <c r="O641" t="s">
        <v>25</v>
      </c>
    </row>
    <row r="642" spans="1:15" x14ac:dyDescent="0.2">
      <c r="A642" t="s">
        <v>979</v>
      </c>
      <c r="B642" t="s">
        <v>64</v>
      </c>
      <c r="C642" t="s">
        <v>92</v>
      </c>
      <c r="D642" s="1">
        <v>27255</v>
      </c>
      <c r="E642" s="1">
        <v>45355</v>
      </c>
      <c r="F642" s="1">
        <v>45362</v>
      </c>
      <c r="G642" t="s">
        <v>18</v>
      </c>
      <c r="H642" t="s">
        <v>30</v>
      </c>
      <c r="I642" t="s">
        <v>31</v>
      </c>
      <c r="J642" t="s">
        <v>980</v>
      </c>
      <c r="K642" t="s">
        <v>43</v>
      </c>
      <c r="L642" t="s">
        <v>34</v>
      </c>
      <c r="M642" t="s">
        <v>35</v>
      </c>
      <c r="N642">
        <v>11</v>
      </c>
      <c r="O642" t="s">
        <v>36</v>
      </c>
    </row>
    <row r="643" spans="1:15" x14ac:dyDescent="0.2">
      <c r="A643">
        <v>641</v>
      </c>
      <c r="B643" t="s">
        <v>140</v>
      </c>
      <c r="C643" t="s">
        <v>28</v>
      </c>
      <c r="D643" s="1">
        <v>33426</v>
      </c>
      <c r="E643" s="1">
        <v>45404</v>
      </c>
      <c r="F643" s="1">
        <v>45410</v>
      </c>
      <c r="G643" t="s">
        <v>72</v>
      </c>
      <c r="I643" t="s">
        <v>57</v>
      </c>
      <c r="J643">
        <v>546</v>
      </c>
      <c r="K643" t="s">
        <v>48</v>
      </c>
      <c r="L643" t="s">
        <v>34</v>
      </c>
      <c r="M643" t="s">
        <v>78</v>
      </c>
      <c r="N643">
        <v>9</v>
      </c>
      <c r="O643" t="s">
        <v>36</v>
      </c>
    </row>
    <row r="644" spans="1:15" x14ac:dyDescent="0.2">
      <c r="A644" t="s">
        <v>981</v>
      </c>
      <c r="B644" t="s">
        <v>114</v>
      </c>
      <c r="C644" t="s">
        <v>97</v>
      </c>
      <c r="D644" s="1">
        <v>26718</v>
      </c>
      <c r="E644" s="1">
        <v>45358</v>
      </c>
      <c r="G644" t="s">
        <v>72</v>
      </c>
      <c r="H644" t="s">
        <v>52</v>
      </c>
      <c r="I644" t="s">
        <v>67</v>
      </c>
      <c r="J644" t="s">
        <v>982</v>
      </c>
      <c r="K644" t="s">
        <v>22</v>
      </c>
      <c r="L644" t="s">
        <v>34</v>
      </c>
      <c r="M644" t="s">
        <v>24</v>
      </c>
    </row>
    <row r="645" spans="1:15" x14ac:dyDescent="0.2">
      <c r="A645" t="s">
        <v>983</v>
      </c>
      <c r="B645" t="s">
        <v>114</v>
      </c>
      <c r="C645" t="s">
        <v>65</v>
      </c>
      <c r="D645" s="1">
        <v>28662</v>
      </c>
      <c r="E645" s="1">
        <v>45433</v>
      </c>
      <c r="G645" t="s">
        <v>60</v>
      </c>
      <c r="H645" t="s">
        <v>30</v>
      </c>
      <c r="I645" t="s">
        <v>20</v>
      </c>
      <c r="J645" t="s">
        <v>984</v>
      </c>
      <c r="K645" t="s">
        <v>43</v>
      </c>
      <c r="L645" t="s">
        <v>34</v>
      </c>
      <c r="M645" t="s">
        <v>24</v>
      </c>
      <c r="O645" t="s">
        <v>25</v>
      </c>
    </row>
    <row r="646" spans="1:15" x14ac:dyDescent="0.2">
      <c r="A646" t="s">
        <v>985</v>
      </c>
      <c r="B646" t="s">
        <v>105</v>
      </c>
      <c r="C646" t="s">
        <v>28</v>
      </c>
      <c r="D646" s="1">
        <v>21972</v>
      </c>
      <c r="E646" s="1">
        <v>45352</v>
      </c>
      <c r="F646" s="1">
        <v>45358</v>
      </c>
      <c r="G646" t="s">
        <v>74</v>
      </c>
      <c r="H646" t="s">
        <v>75</v>
      </c>
      <c r="I646" t="s">
        <v>76</v>
      </c>
      <c r="J646" t="s">
        <v>672</v>
      </c>
      <c r="K646" t="s">
        <v>48</v>
      </c>
      <c r="M646" t="s">
        <v>24</v>
      </c>
      <c r="N646">
        <v>6</v>
      </c>
      <c r="O646" t="s">
        <v>36</v>
      </c>
    </row>
    <row r="647" spans="1:15" x14ac:dyDescent="0.2">
      <c r="A647" t="s">
        <v>986</v>
      </c>
      <c r="B647" t="s">
        <v>102</v>
      </c>
      <c r="C647" t="s">
        <v>28</v>
      </c>
      <c r="D647" s="1">
        <v>27899</v>
      </c>
      <c r="E647" s="1">
        <v>45333</v>
      </c>
      <c r="G647" t="s">
        <v>46</v>
      </c>
      <c r="H647" t="s">
        <v>61</v>
      </c>
      <c r="I647" t="s">
        <v>20</v>
      </c>
      <c r="J647" t="s">
        <v>987</v>
      </c>
      <c r="K647" t="s">
        <v>33</v>
      </c>
      <c r="M647" t="s">
        <v>35</v>
      </c>
      <c r="N647">
        <v>10</v>
      </c>
      <c r="O647" t="s">
        <v>25</v>
      </c>
    </row>
    <row r="648" spans="1:15" x14ac:dyDescent="0.2">
      <c r="A648" t="s">
        <v>988</v>
      </c>
      <c r="B648" t="s">
        <v>87</v>
      </c>
      <c r="C648" t="s">
        <v>28</v>
      </c>
      <c r="D648" s="1">
        <v>39537</v>
      </c>
      <c r="E648" s="1">
        <v>45311</v>
      </c>
      <c r="F648" s="1">
        <v>45321</v>
      </c>
      <c r="G648" t="s">
        <v>40</v>
      </c>
      <c r="H648" t="s">
        <v>75</v>
      </c>
      <c r="I648" t="s">
        <v>20</v>
      </c>
      <c r="J648" t="s">
        <v>989</v>
      </c>
      <c r="K648" t="s">
        <v>43</v>
      </c>
      <c r="M648" t="s">
        <v>24</v>
      </c>
      <c r="N648">
        <v>8</v>
      </c>
      <c r="O648" t="s">
        <v>36</v>
      </c>
    </row>
    <row r="649" spans="1:15" x14ac:dyDescent="0.2">
      <c r="A649">
        <v>647</v>
      </c>
      <c r="B649" t="s">
        <v>51</v>
      </c>
      <c r="C649" t="s">
        <v>39</v>
      </c>
      <c r="D649" s="1">
        <v>37113</v>
      </c>
      <c r="E649" s="1">
        <v>45354</v>
      </c>
      <c r="F649" s="1">
        <v>45367</v>
      </c>
      <c r="G649" t="s">
        <v>50</v>
      </c>
      <c r="H649" t="s">
        <v>19</v>
      </c>
      <c r="I649" t="s">
        <v>31</v>
      </c>
      <c r="J649" t="s">
        <v>990</v>
      </c>
      <c r="K649" t="s">
        <v>71</v>
      </c>
      <c r="M649" t="s">
        <v>78</v>
      </c>
    </row>
    <row r="650" spans="1:15" x14ac:dyDescent="0.2">
      <c r="A650" t="s">
        <v>991</v>
      </c>
      <c r="B650" t="s">
        <v>150</v>
      </c>
      <c r="C650" t="s">
        <v>92</v>
      </c>
      <c r="D650" s="1">
        <v>39672</v>
      </c>
      <c r="E650" s="1">
        <v>45446</v>
      </c>
      <c r="F650" s="1">
        <v>45453</v>
      </c>
      <c r="G650" t="s">
        <v>18</v>
      </c>
      <c r="I650" t="s">
        <v>41</v>
      </c>
      <c r="J650" t="s">
        <v>874</v>
      </c>
      <c r="K650" t="s">
        <v>71</v>
      </c>
      <c r="L650" t="s">
        <v>23</v>
      </c>
      <c r="M650" t="s">
        <v>24</v>
      </c>
      <c r="O650" t="s">
        <v>36</v>
      </c>
    </row>
    <row r="651" spans="1:15" x14ac:dyDescent="0.2">
      <c r="A651">
        <v>649</v>
      </c>
      <c r="B651" t="s">
        <v>59</v>
      </c>
      <c r="C651" t="s">
        <v>17</v>
      </c>
      <c r="D651" s="1">
        <v>20934</v>
      </c>
      <c r="E651" s="1">
        <v>45399</v>
      </c>
      <c r="F651" s="1">
        <v>45410</v>
      </c>
      <c r="G651" t="s">
        <v>46</v>
      </c>
      <c r="H651" t="s">
        <v>19</v>
      </c>
      <c r="I651" t="s">
        <v>20</v>
      </c>
      <c r="J651" t="s">
        <v>992</v>
      </c>
      <c r="K651" t="s">
        <v>71</v>
      </c>
      <c r="M651" t="s">
        <v>24</v>
      </c>
      <c r="N651">
        <v>8</v>
      </c>
    </row>
    <row r="652" spans="1:15" x14ac:dyDescent="0.2">
      <c r="A652" t="s">
        <v>993</v>
      </c>
      <c r="B652" t="s">
        <v>87</v>
      </c>
      <c r="C652" t="s">
        <v>39</v>
      </c>
      <c r="D652" s="1">
        <v>19380</v>
      </c>
      <c r="E652" s="1">
        <v>45298</v>
      </c>
      <c r="F652" s="1">
        <v>45301</v>
      </c>
      <c r="G652" t="s">
        <v>29</v>
      </c>
      <c r="H652" t="s">
        <v>30</v>
      </c>
      <c r="I652" t="s">
        <v>67</v>
      </c>
      <c r="J652" t="s">
        <v>994</v>
      </c>
      <c r="K652" t="s">
        <v>33</v>
      </c>
      <c r="L652" t="s">
        <v>34</v>
      </c>
      <c r="M652" t="s">
        <v>78</v>
      </c>
      <c r="N652">
        <v>15</v>
      </c>
      <c r="O652" t="s">
        <v>36</v>
      </c>
    </row>
    <row r="653" spans="1:15" x14ac:dyDescent="0.2">
      <c r="A653" t="s">
        <v>995</v>
      </c>
      <c r="B653" t="s">
        <v>85</v>
      </c>
      <c r="C653" t="s">
        <v>65</v>
      </c>
      <c r="D653" s="1">
        <v>21795</v>
      </c>
      <c r="E653" s="1">
        <v>45310</v>
      </c>
      <c r="F653" s="1">
        <v>45325</v>
      </c>
      <c r="G653" t="s">
        <v>72</v>
      </c>
      <c r="H653" t="s">
        <v>19</v>
      </c>
      <c r="I653" t="s">
        <v>53</v>
      </c>
      <c r="J653" t="s">
        <v>996</v>
      </c>
      <c r="K653" t="s">
        <v>71</v>
      </c>
      <c r="L653" t="s">
        <v>23</v>
      </c>
      <c r="M653" t="s">
        <v>24</v>
      </c>
    </row>
    <row r="654" spans="1:15" x14ac:dyDescent="0.2">
      <c r="A654" t="s">
        <v>997</v>
      </c>
      <c r="B654" t="s">
        <v>150</v>
      </c>
      <c r="C654" t="s">
        <v>97</v>
      </c>
      <c r="D654" s="1">
        <v>18519</v>
      </c>
      <c r="E654" s="1">
        <v>45464</v>
      </c>
      <c r="F654" s="1">
        <v>45472</v>
      </c>
      <c r="G654" t="s">
        <v>40</v>
      </c>
      <c r="H654" t="s">
        <v>75</v>
      </c>
      <c r="I654" t="s">
        <v>57</v>
      </c>
      <c r="J654" t="s">
        <v>998</v>
      </c>
      <c r="K654" t="s">
        <v>22</v>
      </c>
      <c r="M654" t="s">
        <v>78</v>
      </c>
      <c r="N654">
        <v>10</v>
      </c>
    </row>
    <row r="655" spans="1:15" x14ac:dyDescent="0.2">
      <c r="A655" t="s">
        <v>999</v>
      </c>
      <c r="B655" t="s">
        <v>119</v>
      </c>
      <c r="C655" t="s">
        <v>65</v>
      </c>
      <c r="D655" s="1">
        <v>32245</v>
      </c>
      <c r="E655" s="1">
        <v>45374</v>
      </c>
      <c r="F655" s="1">
        <v>45377</v>
      </c>
      <c r="G655" t="s">
        <v>88</v>
      </c>
      <c r="I655" t="s">
        <v>53</v>
      </c>
      <c r="J655">
        <v>531</v>
      </c>
      <c r="K655" t="s">
        <v>43</v>
      </c>
      <c r="M655" t="s">
        <v>24</v>
      </c>
      <c r="N655">
        <v>6</v>
      </c>
      <c r="O655" t="s">
        <v>25</v>
      </c>
    </row>
    <row r="656" spans="1:15" x14ac:dyDescent="0.2">
      <c r="A656">
        <v>654</v>
      </c>
      <c r="B656" t="s">
        <v>45</v>
      </c>
      <c r="C656" t="s">
        <v>97</v>
      </c>
      <c r="D656" s="1">
        <v>22148</v>
      </c>
      <c r="E656" s="1">
        <v>45362</v>
      </c>
      <c r="F656" s="1">
        <v>45377</v>
      </c>
      <c r="G656" t="s">
        <v>60</v>
      </c>
      <c r="H656" t="s">
        <v>30</v>
      </c>
      <c r="I656" t="s">
        <v>57</v>
      </c>
      <c r="J656" t="s">
        <v>987</v>
      </c>
      <c r="K656" t="s">
        <v>33</v>
      </c>
      <c r="L656" t="s">
        <v>23</v>
      </c>
      <c r="M656" t="s">
        <v>35</v>
      </c>
    </row>
    <row r="657" spans="1:15" x14ac:dyDescent="0.2">
      <c r="A657" t="s">
        <v>1000</v>
      </c>
      <c r="B657" t="s">
        <v>64</v>
      </c>
      <c r="C657" t="s">
        <v>65</v>
      </c>
      <c r="D657" s="1">
        <v>19566</v>
      </c>
      <c r="E657" s="1">
        <v>45293</v>
      </c>
      <c r="F657" s="1">
        <v>45294</v>
      </c>
      <c r="G657" t="s">
        <v>50</v>
      </c>
      <c r="H657" t="s">
        <v>30</v>
      </c>
      <c r="I657" t="s">
        <v>57</v>
      </c>
      <c r="J657">
        <v>973</v>
      </c>
      <c r="K657" t="s">
        <v>43</v>
      </c>
      <c r="L657" t="s">
        <v>23</v>
      </c>
      <c r="M657" t="s">
        <v>78</v>
      </c>
      <c r="O657" t="s">
        <v>25</v>
      </c>
    </row>
    <row r="658" spans="1:15" x14ac:dyDescent="0.2">
      <c r="A658" t="s">
        <v>1001</v>
      </c>
      <c r="B658" t="s">
        <v>16</v>
      </c>
      <c r="C658" t="s">
        <v>28</v>
      </c>
      <c r="D658" s="1">
        <v>32428</v>
      </c>
      <c r="E658" s="1">
        <v>45359</v>
      </c>
      <c r="F658" s="1">
        <v>45364</v>
      </c>
      <c r="G658" t="s">
        <v>83</v>
      </c>
      <c r="I658" t="s">
        <v>20</v>
      </c>
      <c r="J658" t="s">
        <v>1002</v>
      </c>
      <c r="K658" t="s">
        <v>33</v>
      </c>
      <c r="L658" t="s">
        <v>23</v>
      </c>
      <c r="M658" t="s">
        <v>24</v>
      </c>
      <c r="N658">
        <v>8</v>
      </c>
    </row>
    <row r="659" spans="1:15" x14ac:dyDescent="0.2">
      <c r="A659" t="s">
        <v>1003</v>
      </c>
      <c r="B659" t="s">
        <v>105</v>
      </c>
      <c r="C659" t="s">
        <v>49</v>
      </c>
      <c r="D659" s="1">
        <v>20691</v>
      </c>
      <c r="E659" s="1">
        <v>45301</v>
      </c>
      <c r="G659" t="s">
        <v>40</v>
      </c>
      <c r="H659" t="s">
        <v>30</v>
      </c>
      <c r="I659" t="s">
        <v>67</v>
      </c>
      <c r="J659" t="s">
        <v>1004</v>
      </c>
      <c r="K659" t="s">
        <v>48</v>
      </c>
      <c r="L659" t="s">
        <v>23</v>
      </c>
      <c r="M659" t="s">
        <v>35</v>
      </c>
      <c r="N659">
        <v>14</v>
      </c>
      <c r="O659" t="s">
        <v>25</v>
      </c>
    </row>
    <row r="660" spans="1:15" x14ac:dyDescent="0.2">
      <c r="A660" t="s">
        <v>1005</v>
      </c>
      <c r="B660" t="s">
        <v>51</v>
      </c>
      <c r="C660" t="s">
        <v>92</v>
      </c>
      <c r="D660" s="1">
        <v>33668</v>
      </c>
      <c r="E660" s="1">
        <v>45416</v>
      </c>
      <c r="F660" s="1">
        <v>45421</v>
      </c>
      <c r="G660" t="s">
        <v>50</v>
      </c>
      <c r="H660" t="s">
        <v>75</v>
      </c>
      <c r="I660" t="s">
        <v>20</v>
      </c>
      <c r="J660" t="s">
        <v>1006</v>
      </c>
      <c r="K660" t="s">
        <v>48</v>
      </c>
      <c r="M660" t="s">
        <v>35</v>
      </c>
      <c r="N660">
        <v>10</v>
      </c>
      <c r="O660" t="s">
        <v>25</v>
      </c>
    </row>
    <row r="661" spans="1:15" x14ac:dyDescent="0.2">
      <c r="A661" t="s">
        <v>1007</v>
      </c>
      <c r="B661" t="s">
        <v>140</v>
      </c>
      <c r="C661" t="s">
        <v>17</v>
      </c>
      <c r="D661" s="1">
        <v>31966</v>
      </c>
      <c r="E661" s="1">
        <v>45449</v>
      </c>
      <c r="F661" s="1">
        <v>45453</v>
      </c>
      <c r="G661" t="s">
        <v>100</v>
      </c>
      <c r="H661" t="s">
        <v>61</v>
      </c>
      <c r="I661" t="s">
        <v>53</v>
      </c>
      <c r="J661" t="s">
        <v>1008</v>
      </c>
      <c r="K661" t="s">
        <v>22</v>
      </c>
      <c r="M661" t="s">
        <v>24</v>
      </c>
      <c r="N661">
        <v>13</v>
      </c>
    </row>
    <row r="662" spans="1:15" x14ac:dyDescent="0.2">
      <c r="A662">
        <v>660</v>
      </c>
      <c r="B662" t="s">
        <v>85</v>
      </c>
      <c r="C662" t="s">
        <v>92</v>
      </c>
      <c r="D662" s="1">
        <v>36070</v>
      </c>
      <c r="E662" s="1">
        <v>45367</v>
      </c>
      <c r="F662" s="1">
        <v>45382</v>
      </c>
      <c r="G662" t="s">
        <v>29</v>
      </c>
      <c r="H662" t="s">
        <v>19</v>
      </c>
      <c r="I662" t="s">
        <v>31</v>
      </c>
      <c r="J662">
        <v>606</v>
      </c>
      <c r="K662" t="s">
        <v>48</v>
      </c>
      <c r="L662" t="s">
        <v>23</v>
      </c>
      <c r="M662" t="s">
        <v>78</v>
      </c>
      <c r="N662">
        <v>11</v>
      </c>
      <c r="O662" t="s">
        <v>25</v>
      </c>
    </row>
    <row r="663" spans="1:15" x14ac:dyDescent="0.2">
      <c r="A663">
        <v>661</v>
      </c>
      <c r="B663" t="s">
        <v>118</v>
      </c>
      <c r="C663" t="s">
        <v>49</v>
      </c>
      <c r="D663" s="1">
        <v>22460</v>
      </c>
      <c r="E663" s="1">
        <v>45417</v>
      </c>
      <c r="F663" s="1">
        <v>45418</v>
      </c>
      <c r="G663" t="s">
        <v>60</v>
      </c>
      <c r="H663" t="s">
        <v>61</v>
      </c>
      <c r="I663" t="s">
        <v>67</v>
      </c>
      <c r="J663" t="s">
        <v>1009</v>
      </c>
      <c r="K663" t="s">
        <v>43</v>
      </c>
      <c r="M663" t="s">
        <v>78</v>
      </c>
      <c r="N663">
        <v>7</v>
      </c>
      <c r="O663" t="s">
        <v>36</v>
      </c>
    </row>
    <row r="664" spans="1:15" x14ac:dyDescent="0.2">
      <c r="A664">
        <v>662</v>
      </c>
      <c r="B664" t="s">
        <v>82</v>
      </c>
      <c r="C664" t="s">
        <v>28</v>
      </c>
      <c r="D664" s="1">
        <v>26806</v>
      </c>
      <c r="E664" s="1">
        <v>45360</v>
      </c>
      <c r="F664" s="1">
        <v>45366</v>
      </c>
      <c r="G664" t="s">
        <v>60</v>
      </c>
      <c r="H664" t="s">
        <v>19</v>
      </c>
      <c r="I664" t="s">
        <v>76</v>
      </c>
      <c r="J664" t="s">
        <v>1010</v>
      </c>
      <c r="K664" t="s">
        <v>43</v>
      </c>
      <c r="L664" t="s">
        <v>23</v>
      </c>
      <c r="M664" t="s">
        <v>24</v>
      </c>
    </row>
    <row r="665" spans="1:15" x14ac:dyDescent="0.2">
      <c r="A665" t="s">
        <v>1011</v>
      </c>
      <c r="B665" t="s">
        <v>59</v>
      </c>
      <c r="C665" t="s">
        <v>97</v>
      </c>
      <c r="D665" s="1">
        <v>38087</v>
      </c>
      <c r="E665" s="1">
        <v>45297</v>
      </c>
      <c r="G665" t="s">
        <v>83</v>
      </c>
      <c r="H665" t="s">
        <v>30</v>
      </c>
      <c r="I665" t="s">
        <v>41</v>
      </c>
      <c r="J665" t="s">
        <v>1012</v>
      </c>
      <c r="K665" t="s">
        <v>48</v>
      </c>
      <c r="L665" t="s">
        <v>23</v>
      </c>
      <c r="M665" t="s">
        <v>78</v>
      </c>
      <c r="N665">
        <v>3</v>
      </c>
    </row>
    <row r="666" spans="1:15" x14ac:dyDescent="0.2">
      <c r="A666">
        <v>664</v>
      </c>
      <c r="B666" t="s">
        <v>91</v>
      </c>
      <c r="C666" t="s">
        <v>92</v>
      </c>
      <c r="D666" s="1">
        <v>23552</v>
      </c>
      <c r="E666" s="1">
        <v>45376</v>
      </c>
      <c r="F666" s="1">
        <v>45388</v>
      </c>
      <c r="G666" t="s">
        <v>88</v>
      </c>
      <c r="H666" t="s">
        <v>66</v>
      </c>
      <c r="I666" t="s">
        <v>41</v>
      </c>
      <c r="J666" t="s">
        <v>1013</v>
      </c>
      <c r="K666" t="s">
        <v>43</v>
      </c>
      <c r="M666" t="s">
        <v>78</v>
      </c>
      <c r="O666" t="s">
        <v>36</v>
      </c>
    </row>
    <row r="667" spans="1:15" x14ac:dyDescent="0.2">
      <c r="A667">
        <v>665</v>
      </c>
      <c r="B667" t="s">
        <v>64</v>
      </c>
      <c r="C667" t="s">
        <v>97</v>
      </c>
      <c r="D667" s="1">
        <v>38958</v>
      </c>
      <c r="E667" s="1">
        <v>45300</v>
      </c>
      <c r="F667" s="1">
        <v>45314</v>
      </c>
      <c r="G667" t="s">
        <v>72</v>
      </c>
      <c r="H667" t="s">
        <v>19</v>
      </c>
      <c r="I667" t="s">
        <v>67</v>
      </c>
      <c r="J667" t="s">
        <v>1014</v>
      </c>
      <c r="K667" t="s">
        <v>48</v>
      </c>
      <c r="L667" t="s">
        <v>34</v>
      </c>
      <c r="M667" t="s">
        <v>24</v>
      </c>
      <c r="N667">
        <v>13</v>
      </c>
    </row>
    <row r="668" spans="1:15" x14ac:dyDescent="0.2">
      <c r="A668">
        <v>666</v>
      </c>
      <c r="B668" t="s">
        <v>64</v>
      </c>
      <c r="C668" t="s">
        <v>17</v>
      </c>
      <c r="D668" s="1">
        <v>36014</v>
      </c>
      <c r="E668" s="1">
        <v>45316</v>
      </c>
      <c r="F668" s="1">
        <v>45326</v>
      </c>
      <c r="G668" t="s">
        <v>83</v>
      </c>
      <c r="H668" t="s">
        <v>19</v>
      </c>
      <c r="I668" t="s">
        <v>57</v>
      </c>
      <c r="J668" t="s">
        <v>1015</v>
      </c>
      <c r="K668" t="s">
        <v>33</v>
      </c>
      <c r="M668" t="s">
        <v>35</v>
      </c>
    </row>
    <row r="669" spans="1:15" x14ac:dyDescent="0.2">
      <c r="A669" t="s">
        <v>1016</v>
      </c>
      <c r="B669" t="s">
        <v>56</v>
      </c>
      <c r="C669" t="s">
        <v>28</v>
      </c>
      <c r="D669" s="1">
        <v>27807</v>
      </c>
      <c r="E669" s="1">
        <v>45315</v>
      </c>
      <c r="F669" s="1">
        <v>45324</v>
      </c>
      <c r="G669" t="s">
        <v>100</v>
      </c>
      <c r="H669" t="s">
        <v>30</v>
      </c>
      <c r="I669" t="s">
        <v>53</v>
      </c>
      <c r="J669" t="s">
        <v>852</v>
      </c>
      <c r="K669" t="s">
        <v>71</v>
      </c>
      <c r="L669" t="s">
        <v>34</v>
      </c>
      <c r="M669" t="s">
        <v>78</v>
      </c>
      <c r="N669">
        <v>6</v>
      </c>
    </row>
    <row r="670" spans="1:15" x14ac:dyDescent="0.2">
      <c r="A670" t="s">
        <v>1017</v>
      </c>
      <c r="B670" t="s">
        <v>16</v>
      </c>
      <c r="C670" t="s">
        <v>28</v>
      </c>
      <c r="D670" s="1">
        <v>25606</v>
      </c>
      <c r="E670" s="1">
        <v>45393</v>
      </c>
      <c r="F670" s="1">
        <v>45401</v>
      </c>
      <c r="G670" t="s">
        <v>72</v>
      </c>
      <c r="H670" t="s">
        <v>30</v>
      </c>
      <c r="I670" t="s">
        <v>31</v>
      </c>
      <c r="J670" t="s">
        <v>1018</v>
      </c>
      <c r="K670" t="s">
        <v>48</v>
      </c>
      <c r="L670" t="s">
        <v>23</v>
      </c>
      <c r="M670" t="s">
        <v>35</v>
      </c>
      <c r="N670">
        <v>8</v>
      </c>
    </row>
    <row r="671" spans="1:15" x14ac:dyDescent="0.2">
      <c r="A671" t="s">
        <v>1019</v>
      </c>
      <c r="B671" t="s">
        <v>150</v>
      </c>
      <c r="C671" t="s">
        <v>97</v>
      </c>
      <c r="D671" s="1">
        <v>31475</v>
      </c>
      <c r="E671" s="1">
        <v>45425</v>
      </c>
      <c r="G671" t="s">
        <v>100</v>
      </c>
      <c r="H671" t="s">
        <v>30</v>
      </c>
      <c r="I671" t="s">
        <v>76</v>
      </c>
      <c r="J671" t="s">
        <v>1020</v>
      </c>
      <c r="K671" t="s">
        <v>22</v>
      </c>
      <c r="L671" t="s">
        <v>34</v>
      </c>
      <c r="M671" t="s">
        <v>78</v>
      </c>
      <c r="N671">
        <v>10</v>
      </c>
      <c r="O671" t="s">
        <v>36</v>
      </c>
    </row>
    <row r="672" spans="1:15" x14ac:dyDescent="0.2">
      <c r="A672" t="s">
        <v>1021</v>
      </c>
      <c r="B672" t="s">
        <v>38</v>
      </c>
      <c r="C672" t="s">
        <v>49</v>
      </c>
      <c r="D672" s="1">
        <v>25119</v>
      </c>
      <c r="E672" s="1">
        <v>45431</v>
      </c>
      <c r="F672" s="1">
        <v>45442</v>
      </c>
      <c r="G672" t="s">
        <v>83</v>
      </c>
      <c r="H672" t="s">
        <v>19</v>
      </c>
      <c r="I672" t="s">
        <v>53</v>
      </c>
      <c r="J672" t="s">
        <v>1022</v>
      </c>
      <c r="K672" t="s">
        <v>48</v>
      </c>
      <c r="M672" t="s">
        <v>24</v>
      </c>
      <c r="O672" t="s">
        <v>25</v>
      </c>
    </row>
    <row r="673" spans="1:15" x14ac:dyDescent="0.2">
      <c r="A673" t="s">
        <v>1023</v>
      </c>
      <c r="B673" t="s">
        <v>140</v>
      </c>
      <c r="C673" t="s">
        <v>65</v>
      </c>
      <c r="D673" s="1">
        <v>22244</v>
      </c>
      <c r="E673" s="1">
        <v>45342</v>
      </c>
      <c r="F673" s="1">
        <v>45344</v>
      </c>
      <c r="G673" t="s">
        <v>29</v>
      </c>
      <c r="H673" t="s">
        <v>19</v>
      </c>
      <c r="I673" t="s">
        <v>67</v>
      </c>
      <c r="J673">
        <v>1382</v>
      </c>
      <c r="K673" t="s">
        <v>22</v>
      </c>
      <c r="M673" t="s">
        <v>78</v>
      </c>
      <c r="O673" t="s">
        <v>25</v>
      </c>
    </row>
    <row r="674" spans="1:15" x14ac:dyDescent="0.2">
      <c r="A674">
        <v>672</v>
      </c>
      <c r="B674" t="s">
        <v>45</v>
      </c>
      <c r="C674" t="s">
        <v>49</v>
      </c>
      <c r="D674" s="1">
        <v>27147</v>
      </c>
      <c r="E674" s="1">
        <v>45449</v>
      </c>
      <c r="F674" s="1">
        <v>45452</v>
      </c>
      <c r="G674" t="s">
        <v>60</v>
      </c>
      <c r="H674" t="s">
        <v>61</v>
      </c>
      <c r="I674" t="s">
        <v>53</v>
      </c>
      <c r="J674" t="s">
        <v>1024</v>
      </c>
      <c r="K674" t="s">
        <v>43</v>
      </c>
      <c r="M674" t="s">
        <v>78</v>
      </c>
      <c r="N674">
        <v>15</v>
      </c>
      <c r="O674" t="s">
        <v>36</v>
      </c>
    </row>
    <row r="675" spans="1:15" x14ac:dyDescent="0.2">
      <c r="A675" t="s">
        <v>1025</v>
      </c>
      <c r="B675" t="s">
        <v>87</v>
      </c>
      <c r="C675" t="s">
        <v>97</v>
      </c>
      <c r="D675" s="1">
        <v>35446</v>
      </c>
      <c r="E675" s="1">
        <v>45294</v>
      </c>
      <c r="F675" s="1">
        <v>45297</v>
      </c>
      <c r="G675" t="s">
        <v>74</v>
      </c>
      <c r="H675" t="s">
        <v>66</v>
      </c>
      <c r="I675" t="s">
        <v>31</v>
      </c>
      <c r="J675" t="s">
        <v>1026</v>
      </c>
      <c r="K675" t="s">
        <v>48</v>
      </c>
      <c r="M675" t="s">
        <v>78</v>
      </c>
    </row>
    <row r="676" spans="1:15" x14ac:dyDescent="0.2">
      <c r="A676">
        <v>674</v>
      </c>
      <c r="B676" t="s">
        <v>85</v>
      </c>
      <c r="C676" t="s">
        <v>97</v>
      </c>
      <c r="D676" s="1">
        <v>20451</v>
      </c>
      <c r="E676" s="1">
        <v>45454</v>
      </c>
      <c r="F676" s="1">
        <v>45455</v>
      </c>
      <c r="G676" t="s">
        <v>60</v>
      </c>
      <c r="H676" t="s">
        <v>30</v>
      </c>
      <c r="I676" t="s">
        <v>41</v>
      </c>
      <c r="J676" t="s">
        <v>440</v>
      </c>
      <c r="K676" t="s">
        <v>33</v>
      </c>
      <c r="M676" t="s">
        <v>78</v>
      </c>
      <c r="N676">
        <v>11</v>
      </c>
    </row>
    <row r="677" spans="1:15" x14ac:dyDescent="0.2">
      <c r="A677" t="s">
        <v>1027</v>
      </c>
      <c r="B677" t="s">
        <v>150</v>
      </c>
      <c r="C677" t="s">
        <v>65</v>
      </c>
      <c r="D677" s="1">
        <v>23258</v>
      </c>
      <c r="E677" s="1">
        <v>45347</v>
      </c>
      <c r="F677" s="1">
        <v>45357</v>
      </c>
      <c r="G677" t="s">
        <v>46</v>
      </c>
      <c r="I677" t="s">
        <v>57</v>
      </c>
      <c r="J677">
        <v>1302</v>
      </c>
      <c r="K677" t="s">
        <v>33</v>
      </c>
      <c r="M677" t="s">
        <v>24</v>
      </c>
      <c r="N677">
        <v>11</v>
      </c>
      <c r="O677" t="s">
        <v>36</v>
      </c>
    </row>
    <row r="678" spans="1:15" x14ac:dyDescent="0.2">
      <c r="A678" t="s">
        <v>1028</v>
      </c>
      <c r="B678" t="s">
        <v>140</v>
      </c>
      <c r="C678" t="s">
        <v>17</v>
      </c>
      <c r="D678" s="1">
        <v>25860</v>
      </c>
      <c r="E678" s="1">
        <v>45315</v>
      </c>
      <c r="G678" t="s">
        <v>100</v>
      </c>
      <c r="I678" t="s">
        <v>20</v>
      </c>
      <c r="J678" t="s">
        <v>1029</v>
      </c>
      <c r="K678" t="s">
        <v>48</v>
      </c>
      <c r="L678" t="s">
        <v>23</v>
      </c>
      <c r="M678" t="s">
        <v>24</v>
      </c>
      <c r="N678">
        <v>7</v>
      </c>
    </row>
    <row r="679" spans="1:15" x14ac:dyDescent="0.2">
      <c r="A679">
        <v>677</v>
      </c>
      <c r="B679" t="s">
        <v>59</v>
      </c>
      <c r="C679" t="s">
        <v>92</v>
      </c>
      <c r="D679" s="1">
        <v>34660</v>
      </c>
      <c r="E679" s="1">
        <v>45353</v>
      </c>
      <c r="F679" s="1">
        <v>45360</v>
      </c>
      <c r="G679" t="s">
        <v>83</v>
      </c>
      <c r="H679" t="s">
        <v>30</v>
      </c>
      <c r="I679" t="s">
        <v>41</v>
      </c>
      <c r="J679" t="s">
        <v>1030</v>
      </c>
      <c r="K679" t="s">
        <v>43</v>
      </c>
      <c r="L679" t="s">
        <v>34</v>
      </c>
      <c r="M679" t="s">
        <v>24</v>
      </c>
      <c r="N679">
        <v>3</v>
      </c>
    </row>
    <row r="680" spans="1:15" x14ac:dyDescent="0.2">
      <c r="A680">
        <v>678</v>
      </c>
      <c r="B680" t="s">
        <v>87</v>
      </c>
      <c r="C680" t="s">
        <v>39</v>
      </c>
      <c r="D680" s="1">
        <v>32591</v>
      </c>
      <c r="E680" s="1">
        <v>45417</v>
      </c>
      <c r="F680" s="1">
        <v>45426</v>
      </c>
      <c r="G680" t="s">
        <v>72</v>
      </c>
      <c r="H680" t="s">
        <v>30</v>
      </c>
      <c r="I680" t="s">
        <v>67</v>
      </c>
      <c r="J680" t="s">
        <v>159</v>
      </c>
      <c r="K680" t="s">
        <v>71</v>
      </c>
      <c r="M680" t="s">
        <v>24</v>
      </c>
      <c r="N680">
        <v>10</v>
      </c>
    </row>
    <row r="681" spans="1:15" x14ac:dyDescent="0.2">
      <c r="A681" t="s">
        <v>1031</v>
      </c>
      <c r="B681" t="s">
        <v>118</v>
      </c>
      <c r="C681" t="s">
        <v>92</v>
      </c>
      <c r="D681" s="1">
        <v>24129</v>
      </c>
      <c r="E681" s="1">
        <v>45342</v>
      </c>
      <c r="F681" s="1">
        <v>45346</v>
      </c>
      <c r="G681" t="s">
        <v>18</v>
      </c>
      <c r="H681" t="s">
        <v>30</v>
      </c>
      <c r="I681" t="s">
        <v>31</v>
      </c>
      <c r="J681" t="s">
        <v>1032</v>
      </c>
      <c r="K681" t="s">
        <v>33</v>
      </c>
      <c r="L681" t="s">
        <v>34</v>
      </c>
      <c r="M681" t="s">
        <v>24</v>
      </c>
    </row>
    <row r="682" spans="1:15" x14ac:dyDescent="0.2">
      <c r="A682">
        <v>680</v>
      </c>
      <c r="B682" t="s">
        <v>56</v>
      </c>
      <c r="C682" t="s">
        <v>28</v>
      </c>
      <c r="D682" s="1">
        <v>19703</v>
      </c>
      <c r="E682" s="1">
        <v>45362</v>
      </c>
      <c r="F682" s="1">
        <v>45376</v>
      </c>
      <c r="G682" t="s">
        <v>100</v>
      </c>
      <c r="H682" t="s">
        <v>61</v>
      </c>
      <c r="I682" t="s">
        <v>53</v>
      </c>
      <c r="J682">
        <v>1030</v>
      </c>
      <c r="K682" t="s">
        <v>22</v>
      </c>
      <c r="M682" t="s">
        <v>24</v>
      </c>
      <c r="N682">
        <v>13</v>
      </c>
    </row>
    <row r="683" spans="1:15" x14ac:dyDescent="0.2">
      <c r="A683" t="s">
        <v>1033</v>
      </c>
      <c r="B683" t="s">
        <v>80</v>
      </c>
      <c r="C683" t="s">
        <v>92</v>
      </c>
      <c r="D683" s="1">
        <v>19208</v>
      </c>
      <c r="E683" s="1">
        <v>45472</v>
      </c>
      <c r="F683" s="1">
        <v>45475</v>
      </c>
      <c r="G683" t="s">
        <v>29</v>
      </c>
      <c r="I683" t="s">
        <v>41</v>
      </c>
      <c r="J683" t="s">
        <v>1034</v>
      </c>
      <c r="K683" t="s">
        <v>71</v>
      </c>
      <c r="L683" t="s">
        <v>34</v>
      </c>
      <c r="M683" t="s">
        <v>78</v>
      </c>
    </row>
    <row r="684" spans="1:15" x14ac:dyDescent="0.2">
      <c r="A684">
        <v>682</v>
      </c>
      <c r="B684" t="s">
        <v>51</v>
      </c>
      <c r="C684" t="s">
        <v>49</v>
      </c>
      <c r="D684" s="1">
        <v>38383</v>
      </c>
      <c r="E684" s="1">
        <v>45377</v>
      </c>
      <c r="F684" s="1">
        <v>45380</v>
      </c>
      <c r="G684" t="s">
        <v>40</v>
      </c>
      <c r="H684" t="s">
        <v>66</v>
      </c>
      <c r="I684" t="s">
        <v>53</v>
      </c>
      <c r="J684">
        <v>925</v>
      </c>
      <c r="K684" t="s">
        <v>48</v>
      </c>
      <c r="L684" t="s">
        <v>34</v>
      </c>
      <c r="M684" t="s">
        <v>35</v>
      </c>
      <c r="N684">
        <v>9</v>
      </c>
      <c r="O684" t="s">
        <v>25</v>
      </c>
    </row>
    <row r="685" spans="1:15" x14ac:dyDescent="0.2">
      <c r="A685" t="s">
        <v>1035</v>
      </c>
      <c r="B685" t="s">
        <v>38</v>
      </c>
      <c r="C685" t="s">
        <v>17</v>
      </c>
      <c r="D685" s="1">
        <v>23919</v>
      </c>
      <c r="E685" s="1">
        <v>45303</v>
      </c>
      <c r="F685" s="1">
        <v>45315</v>
      </c>
      <c r="G685" t="s">
        <v>46</v>
      </c>
      <c r="H685" t="s">
        <v>75</v>
      </c>
      <c r="I685" t="s">
        <v>53</v>
      </c>
      <c r="J685" t="s">
        <v>1036</v>
      </c>
      <c r="K685" t="s">
        <v>33</v>
      </c>
      <c r="M685" t="s">
        <v>35</v>
      </c>
      <c r="N685">
        <v>10</v>
      </c>
    </row>
    <row r="686" spans="1:15" x14ac:dyDescent="0.2">
      <c r="A686" t="s">
        <v>1037</v>
      </c>
      <c r="B686" t="s">
        <v>119</v>
      </c>
      <c r="C686" t="s">
        <v>28</v>
      </c>
      <c r="D686" s="1">
        <v>21152</v>
      </c>
      <c r="E686" s="1">
        <v>45315</v>
      </c>
      <c r="F686" s="1">
        <v>45318</v>
      </c>
      <c r="G686" t="s">
        <v>18</v>
      </c>
      <c r="H686" t="s">
        <v>75</v>
      </c>
      <c r="I686" t="s">
        <v>20</v>
      </c>
      <c r="J686" t="s">
        <v>1038</v>
      </c>
      <c r="K686" t="s">
        <v>22</v>
      </c>
      <c r="M686" t="s">
        <v>78</v>
      </c>
    </row>
    <row r="687" spans="1:15" x14ac:dyDescent="0.2">
      <c r="A687" t="s">
        <v>1039</v>
      </c>
      <c r="B687" t="s">
        <v>45</v>
      </c>
      <c r="C687" t="s">
        <v>39</v>
      </c>
      <c r="D687" s="1">
        <v>39311</v>
      </c>
      <c r="E687" s="1">
        <v>45325</v>
      </c>
      <c r="G687" t="s">
        <v>60</v>
      </c>
      <c r="H687" t="s">
        <v>52</v>
      </c>
      <c r="I687" t="s">
        <v>31</v>
      </c>
      <c r="J687" t="s">
        <v>1040</v>
      </c>
      <c r="K687" t="s">
        <v>71</v>
      </c>
      <c r="L687" t="s">
        <v>23</v>
      </c>
      <c r="M687" t="s">
        <v>35</v>
      </c>
      <c r="O687" t="s">
        <v>25</v>
      </c>
    </row>
    <row r="688" spans="1:15" x14ac:dyDescent="0.2">
      <c r="A688" t="s">
        <v>1041</v>
      </c>
      <c r="B688" t="s">
        <v>45</v>
      </c>
      <c r="C688" t="s">
        <v>92</v>
      </c>
      <c r="D688" s="1">
        <v>32668</v>
      </c>
      <c r="E688" s="1">
        <v>45315</v>
      </c>
      <c r="F688" s="1">
        <v>45321</v>
      </c>
      <c r="G688" t="s">
        <v>72</v>
      </c>
      <c r="H688" t="s">
        <v>61</v>
      </c>
      <c r="I688" t="s">
        <v>76</v>
      </c>
      <c r="J688" t="s">
        <v>1042</v>
      </c>
      <c r="K688" t="s">
        <v>48</v>
      </c>
      <c r="M688" t="s">
        <v>35</v>
      </c>
      <c r="N688">
        <v>4</v>
      </c>
    </row>
    <row r="689" spans="1:15" x14ac:dyDescent="0.2">
      <c r="A689">
        <v>687</v>
      </c>
      <c r="B689" t="s">
        <v>102</v>
      </c>
      <c r="C689" t="s">
        <v>49</v>
      </c>
      <c r="D689" s="1">
        <v>27723</v>
      </c>
      <c r="E689" s="1">
        <v>45379</v>
      </c>
      <c r="G689" t="s">
        <v>50</v>
      </c>
      <c r="H689" t="s">
        <v>30</v>
      </c>
      <c r="I689" t="s">
        <v>67</v>
      </c>
      <c r="J689" t="s">
        <v>742</v>
      </c>
      <c r="K689" t="s">
        <v>48</v>
      </c>
      <c r="L689" t="s">
        <v>34</v>
      </c>
      <c r="M689" t="s">
        <v>24</v>
      </c>
      <c r="N689">
        <v>3</v>
      </c>
      <c r="O689" t="s">
        <v>36</v>
      </c>
    </row>
    <row r="690" spans="1:15" x14ac:dyDescent="0.2">
      <c r="A690" t="s">
        <v>1043</v>
      </c>
      <c r="B690" t="s">
        <v>114</v>
      </c>
      <c r="C690" t="s">
        <v>65</v>
      </c>
      <c r="D690" s="1">
        <v>28847</v>
      </c>
      <c r="E690" s="1">
        <v>45436</v>
      </c>
      <c r="F690" s="1">
        <v>45451</v>
      </c>
      <c r="G690" t="s">
        <v>83</v>
      </c>
      <c r="H690" t="s">
        <v>75</v>
      </c>
      <c r="I690" t="s">
        <v>20</v>
      </c>
      <c r="J690" t="s">
        <v>1044</v>
      </c>
      <c r="K690" t="s">
        <v>48</v>
      </c>
      <c r="L690" t="s">
        <v>23</v>
      </c>
      <c r="M690" t="s">
        <v>78</v>
      </c>
      <c r="N690">
        <v>6</v>
      </c>
    </row>
    <row r="691" spans="1:15" x14ac:dyDescent="0.2">
      <c r="A691" t="s">
        <v>1045</v>
      </c>
      <c r="B691" t="s">
        <v>140</v>
      </c>
      <c r="C691" t="s">
        <v>92</v>
      </c>
      <c r="D691" s="1">
        <v>28300</v>
      </c>
      <c r="E691" s="1">
        <v>45411</v>
      </c>
      <c r="F691" s="1">
        <v>45419</v>
      </c>
      <c r="G691" t="s">
        <v>18</v>
      </c>
      <c r="H691" t="s">
        <v>61</v>
      </c>
      <c r="I691" t="s">
        <v>53</v>
      </c>
      <c r="J691">
        <v>990</v>
      </c>
      <c r="K691" t="s">
        <v>71</v>
      </c>
      <c r="L691" t="s">
        <v>23</v>
      </c>
      <c r="M691" t="s">
        <v>78</v>
      </c>
      <c r="N691">
        <v>10</v>
      </c>
      <c r="O691" t="s">
        <v>36</v>
      </c>
    </row>
    <row r="692" spans="1:15" x14ac:dyDescent="0.2">
      <c r="A692">
        <v>690</v>
      </c>
      <c r="B692" t="s">
        <v>118</v>
      </c>
      <c r="C692" t="s">
        <v>92</v>
      </c>
      <c r="D692" s="1">
        <v>19578</v>
      </c>
      <c r="E692" s="1">
        <v>45421</v>
      </c>
      <c r="F692" s="1">
        <v>45434</v>
      </c>
      <c r="G692" t="s">
        <v>18</v>
      </c>
      <c r="H692" t="s">
        <v>19</v>
      </c>
      <c r="I692" t="s">
        <v>57</v>
      </c>
      <c r="J692" t="s">
        <v>1046</v>
      </c>
      <c r="K692" t="s">
        <v>43</v>
      </c>
      <c r="L692" t="s">
        <v>23</v>
      </c>
      <c r="M692" t="s">
        <v>78</v>
      </c>
      <c r="N692">
        <v>12</v>
      </c>
    </row>
    <row r="693" spans="1:15" x14ac:dyDescent="0.2">
      <c r="A693" t="s">
        <v>1047</v>
      </c>
      <c r="B693" t="s">
        <v>119</v>
      </c>
      <c r="C693" t="s">
        <v>39</v>
      </c>
      <c r="D693" s="1">
        <v>22836</v>
      </c>
      <c r="E693" s="1">
        <v>45461</v>
      </c>
      <c r="F693" s="1">
        <v>45462</v>
      </c>
      <c r="G693" t="s">
        <v>60</v>
      </c>
      <c r="I693" t="s">
        <v>41</v>
      </c>
      <c r="J693" t="s">
        <v>1048</v>
      </c>
      <c r="K693" t="s">
        <v>71</v>
      </c>
      <c r="M693" t="s">
        <v>35</v>
      </c>
      <c r="N693">
        <v>11</v>
      </c>
      <c r="O693" t="s">
        <v>25</v>
      </c>
    </row>
    <row r="694" spans="1:15" x14ac:dyDescent="0.2">
      <c r="A694" t="s">
        <v>1049</v>
      </c>
      <c r="B694" t="s">
        <v>140</v>
      </c>
      <c r="C694" t="s">
        <v>92</v>
      </c>
      <c r="D694" s="1">
        <v>28341</v>
      </c>
      <c r="E694" s="1">
        <v>45339</v>
      </c>
      <c r="F694" s="1">
        <v>45346</v>
      </c>
      <c r="G694" t="s">
        <v>50</v>
      </c>
      <c r="H694" t="s">
        <v>52</v>
      </c>
      <c r="I694" t="s">
        <v>53</v>
      </c>
      <c r="J694" t="s">
        <v>1050</v>
      </c>
      <c r="K694" t="s">
        <v>48</v>
      </c>
      <c r="M694" t="s">
        <v>35</v>
      </c>
      <c r="N694">
        <v>8</v>
      </c>
    </row>
    <row r="695" spans="1:15" x14ac:dyDescent="0.2">
      <c r="A695" t="s">
        <v>1051</v>
      </c>
      <c r="B695" t="s">
        <v>118</v>
      </c>
      <c r="C695" t="s">
        <v>49</v>
      </c>
      <c r="D695" s="1">
        <v>25226</v>
      </c>
      <c r="E695" s="1">
        <v>45463</v>
      </c>
      <c r="F695" s="1">
        <v>45475</v>
      </c>
      <c r="G695" t="s">
        <v>74</v>
      </c>
      <c r="H695" t="s">
        <v>19</v>
      </c>
      <c r="I695" t="s">
        <v>67</v>
      </c>
      <c r="J695" t="s">
        <v>1052</v>
      </c>
      <c r="K695" t="s">
        <v>71</v>
      </c>
      <c r="M695" t="s">
        <v>78</v>
      </c>
      <c r="N695">
        <v>12</v>
      </c>
      <c r="O695" t="s">
        <v>36</v>
      </c>
    </row>
    <row r="696" spans="1:15" x14ac:dyDescent="0.2">
      <c r="A696" t="s">
        <v>1053</v>
      </c>
      <c r="B696" t="s">
        <v>118</v>
      </c>
      <c r="C696" t="s">
        <v>65</v>
      </c>
      <c r="D696" s="1">
        <v>20612</v>
      </c>
      <c r="E696" s="1">
        <v>45417</v>
      </c>
      <c r="F696" s="1">
        <v>45427</v>
      </c>
      <c r="G696" t="s">
        <v>50</v>
      </c>
      <c r="H696" t="s">
        <v>30</v>
      </c>
      <c r="I696" t="s">
        <v>31</v>
      </c>
      <c r="J696" t="s">
        <v>1054</v>
      </c>
      <c r="K696" t="s">
        <v>43</v>
      </c>
      <c r="M696" t="s">
        <v>35</v>
      </c>
      <c r="N696">
        <v>3</v>
      </c>
      <c r="O696" t="s">
        <v>36</v>
      </c>
    </row>
    <row r="697" spans="1:15" x14ac:dyDescent="0.2">
      <c r="A697" t="s">
        <v>1055</v>
      </c>
      <c r="B697" t="s">
        <v>80</v>
      </c>
      <c r="C697" t="s">
        <v>97</v>
      </c>
      <c r="D697" s="1">
        <v>28157</v>
      </c>
      <c r="E697" s="1">
        <v>45315</v>
      </c>
      <c r="F697" s="1">
        <v>45318</v>
      </c>
      <c r="G697" t="s">
        <v>46</v>
      </c>
      <c r="H697" t="s">
        <v>30</v>
      </c>
      <c r="I697" t="s">
        <v>31</v>
      </c>
      <c r="J697">
        <v>892</v>
      </c>
      <c r="K697" t="s">
        <v>48</v>
      </c>
      <c r="M697" t="s">
        <v>78</v>
      </c>
      <c r="O697" t="s">
        <v>36</v>
      </c>
    </row>
    <row r="698" spans="1:15" x14ac:dyDescent="0.2">
      <c r="A698" t="s">
        <v>1056</v>
      </c>
      <c r="B698" t="s">
        <v>105</v>
      </c>
      <c r="C698" t="s">
        <v>39</v>
      </c>
      <c r="D698" s="1">
        <v>21751</v>
      </c>
      <c r="E698" s="1">
        <v>45313</v>
      </c>
      <c r="F698" s="1">
        <v>45315</v>
      </c>
      <c r="G698" t="s">
        <v>88</v>
      </c>
      <c r="H698" t="s">
        <v>52</v>
      </c>
      <c r="I698" t="s">
        <v>31</v>
      </c>
      <c r="J698">
        <v>363</v>
      </c>
      <c r="K698" t="s">
        <v>71</v>
      </c>
      <c r="L698" t="s">
        <v>34</v>
      </c>
      <c r="M698" t="s">
        <v>78</v>
      </c>
      <c r="N698">
        <v>11</v>
      </c>
      <c r="O698" t="s">
        <v>36</v>
      </c>
    </row>
    <row r="699" spans="1:15" x14ac:dyDescent="0.2">
      <c r="A699">
        <v>697</v>
      </c>
      <c r="B699" t="s">
        <v>80</v>
      </c>
      <c r="C699" t="s">
        <v>92</v>
      </c>
      <c r="D699" s="1">
        <v>32189</v>
      </c>
      <c r="E699" s="1">
        <v>45454</v>
      </c>
      <c r="F699" s="1">
        <v>45467</v>
      </c>
      <c r="G699" t="s">
        <v>40</v>
      </c>
      <c r="H699" t="s">
        <v>30</v>
      </c>
      <c r="I699" t="s">
        <v>41</v>
      </c>
      <c r="J699" t="s">
        <v>941</v>
      </c>
      <c r="K699" t="s">
        <v>43</v>
      </c>
      <c r="M699" t="s">
        <v>35</v>
      </c>
      <c r="N699">
        <v>7</v>
      </c>
    </row>
    <row r="700" spans="1:15" x14ac:dyDescent="0.2">
      <c r="A700">
        <v>698</v>
      </c>
      <c r="B700" t="s">
        <v>150</v>
      </c>
      <c r="C700" t="s">
        <v>97</v>
      </c>
      <c r="D700" s="1">
        <v>18491</v>
      </c>
      <c r="E700" s="1">
        <v>45473</v>
      </c>
      <c r="F700" s="1">
        <v>45487</v>
      </c>
      <c r="G700" t="s">
        <v>29</v>
      </c>
      <c r="H700" t="s">
        <v>66</v>
      </c>
      <c r="I700" t="s">
        <v>76</v>
      </c>
      <c r="J700" t="s">
        <v>1057</v>
      </c>
      <c r="K700" t="s">
        <v>48</v>
      </c>
      <c r="M700" t="s">
        <v>78</v>
      </c>
      <c r="N700">
        <v>15</v>
      </c>
    </row>
    <row r="701" spans="1:15" x14ac:dyDescent="0.2">
      <c r="A701" t="s">
        <v>1058</v>
      </c>
      <c r="B701" t="s">
        <v>102</v>
      </c>
      <c r="C701" t="s">
        <v>92</v>
      </c>
      <c r="D701" s="1">
        <v>32213</v>
      </c>
      <c r="E701" s="1">
        <v>45464</v>
      </c>
      <c r="F701" s="1">
        <v>45465</v>
      </c>
      <c r="G701" t="s">
        <v>46</v>
      </c>
      <c r="H701" t="s">
        <v>30</v>
      </c>
      <c r="I701" t="s">
        <v>31</v>
      </c>
      <c r="J701" t="s">
        <v>1059</v>
      </c>
      <c r="K701" t="s">
        <v>71</v>
      </c>
      <c r="M701" t="s">
        <v>78</v>
      </c>
      <c r="N701">
        <v>10</v>
      </c>
      <c r="O701" t="s">
        <v>25</v>
      </c>
    </row>
    <row r="702" spans="1:15" x14ac:dyDescent="0.2">
      <c r="A702">
        <v>700</v>
      </c>
      <c r="B702" t="s">
        <v>80</v>
      </c>
      <c r="C702" t="s">
        <v>65</v>
      </c>
      <c r="D702" s="1">
        <v>31247</v>
      </c>
      <c r="E702" s="1">
        <v>45336</v>
      </c>
      <c r="F702" s="1">
        <v>45339</v>
      </c>
      <c r="G702" t="s">
        <v>72</v>
      </c>
      <c r="H702" t="s">
        <v>19</v>
      </c>
      <c r="I702" t="s">
        <v>76</v>
      </c>
      <c r="J702" t="s">
        <v>530</v>
      </c>
      <c r="K702" t="s">
        <v>71</v>
      </c>
      <c r="L702" t="s">
        <v>23</v>
      </c>
      <c r="M702" t="s">
        <v>24</v>
      </c>
      <c r="N702">
        <v>10</v>
      </c>
      <c r="O702" t="s">
        <v>36</v>
      </c>
    </row>
    <row r="703" spans="1:15" x14ac:dyDescent="0.2">
      <c r="A703" t="s">
        <v>1060</v>
      </c>
      <c r="B703" t="s">
        <v>150</v>
      </c>
      <c r="C703" t="s">
        <v>92</v>
      </c>
      <c r="D703" s="1">
        <v>30479</v>
      </c>
      <c r="E703" s="1">
        <v>45329</v>
      </c>
      <c r="F703" s="1">
        <v>45341</v>
      </c>
      <c r="G703" t="s">
        <v>83</v>
      </c>
      <c r="H703" t="s">
        <v>75</v>
      </c>
      <c r="I703" t="s">
        <v>53</v>
      </c>
      <c r="J703">
        <v>718</v>
      </c>
      <c r="K703" t="s">
        <v>71</v>
      </c>
      <c r="L703" t="s">
        <v>34</v>
      </c>
      <c r="M703" t="s">
        <v>35</v>
      </c>
      <c r="N703">
        <v>5</v>
      </c>
    </row>
    <row r="704" spans="1:15" x14ac:dyDescent="0.2">
      <c r="A704" t="s">
        <v>1061</v>
      </c>
      <c r="B704" t="s">
        <v>150</v>
      </c>
      <c r="C704" t="s">
        <v>39</v>
      </c>
      <c r="D704" s="1">
        <v>32466</v>
      </c>
      <c r="E704" s="1">
        <v>45341</v>
      </c>
      <c r="F704" s="1">
        <v>45351</v>
      </c>
      <c r="G704" t="s">
        <v>88</v>
      </c>
      <c r="H704" t="s">
        <v>30</v>
      </c>
      <c r="I704" t="s">
        <v>57</v>
      </c>
      <c r="J704" t="s">
        <v>1062</v>
      </c>
      <c r="K704" t="s">
        <v>71</v>
      </c>
      <c r="M704" t="s">
        <v>24</v>
      </c>
      <c r="N704">
        <v>3</v>
      </c>
      <c r="O704" t="s">
        <v>36</v>
      </c>
    </row>
    <row r="705" spans="1:15" x14ac:dyDescent="0.2">
      <c r="A705" t="s">
        <v>1063</v>
      </c>
      <c r="B705" t="s">
        <v>80</v>
      </c>
      <c r="C705" t="s">
        <v>65</v>
      </c>
      <c r="D705" s="1">
        <v>31327</v>
      </c>
      <c r="E705" s="1">
        <v>45465</v>
      </c>
      <c r="F705" s="1">
        <v>45472</v>
      </c>
      <c r="G705" t="s">
        <v>88</v>
      </c>
      <c r="I705" t="s">
        <v>76</v>
      </c>
      <c r="J705" t="s">
        <v>1064</v>
      </c>
      <c r="K705" t="s">
        <v>33</v>
      </c>
      <c r="M705" t="s">
        <v>78</v>
      </c>
      <c r="N705">
        <v>11</v>
      </c>
      <c r="O705" t="s">
        <v>36</v>
      </c>
    </row>
    <row r="706" spans="1:15" x14ac:dyDescent="0.2">
      <c r="A706" t="s">
        <v>1065</v>
      </c>
      <c r="B706" t="s">
        <v>91</v>
      </c>
      <c r="C706" t="s">
        <v>97</v>
      </c>
      <c r="D706" s="1">
        <v>18856</v>
      </c>
      <c r="E706" s="1">
        <v>45348</v>
      </c>
      <c r="F706" s="1">
        <v>45360</v>
      </c>
      <c r="G706" t="s">
        <v>18</v>
      </c>
      <c r="H706" t="s">
        <v>19</v>
      </c>
      <c r="I706" t="s">
        <v>53</v>
      </c>
      <c r="J706" t="s">
        <v>1066</v>
      </c>
      <c r="K706" t="s">
        <v>43</v>
      </c>
      <c r="M706" t="s">
        <v>78</v>
      </c>
      <c r="N706">
        <v>1</v>
      </c>
      <c r="O706" t="s">
        <v>36</v>
      </c>
    </row>
    <row r="707" spans="1:15" x14ac:dyDescent="0.2">
      <c r="A707">
        <v>705</v>
      </c>
      <c r="B707" t="s">
        <v>59</v>
      </c>
      <c r="C707" t="s">
        <v>92</v>
      </c>
      <c r="D707" s="1">
        <v>32825</v>
      </c>
      <c r="E707" s="1">
        <v>45410</v>
      </c>
      <c r="F707" s="1">
        <v>45422</v>
      </c>
      <c r="G707" t="s">
        <v>72</v>
      </c>
      <c r="H707" t="s">
        <v>19</v>
      </c>
      <c r="I707" t="s">
        <v>31</v>
      </c>
      <c r="J707" t="s">
        <v>1067</v>
      </c>
      <c r="K707" t="s">
        <v>43</v>
      </c>
      <c r="L707" t="s">
        <v>34</v>
      </c>
      <c r="M707" t="s">
        <v>24</v>
      </c>
      <c r="N707">
        <v>6</v>
      </c>
      <c r="O707" t="s">
        <v>25</v>
      </c>
    </row>
    <row r="708" spans="1:15" x14ac:dyDescent="0.2">
      <c r="A708" t="s">
        <v>1068</v>
      </c>
      <c r="B708" t="s">
        <v>105</v>
      </c>
      <c r="C708" t="s">
        <v>92</v>
      </c>
      <c r="D708" s="1">
        <v>28226</v>
      </c>
      <c r="E708" s="1">
        <v>45372</v>
      </c>
      <c r="F708" s="1">
        <v>45373</v>
      </c>
      <c r="G708" t="s">
        <v>18</v>
      </c>
      <c r="H708" t="s">
        <v>61</v>
      </c>
      <c r="I708" t="s">
        <v>67</v>
      </c>
      <c r="J708" t="s">
        <v>1069</v>
      </c>
      <c r="K708" t="s">
        <v>43</v>
      </c>
      <c r="M708" t="s">
        <v>78</v>
      </c>
      <c r="N708">
        <v>1</v>
      </c>
      <c r="O708" t="s">
        <v>36</v>
      </c>
    </row>
    <row r="709" spans="1:15" x14ac:dyDescent="0.2">
      <c r="A709" t="s">
        <v>1070</v>
      </c>
      <c r="B709" t="s">
        <v>56</v>
      </c>
      <c r="C709" t="s">
        <v>97</v>
      </c>
      <c r="D709" s="1">
        <v>30561</v>
      </c>
      <c r="E709" s="1">
        <v>45388</v>
      </c>
      <c r="G709" t="s">
        <v>50</v>
      </c>
      <c r="H709" t="s">
        <v>52</v>
      </c>
      <c r="I709" t="s">
        <v>20</v>
      </c>
      <c r="J709" t="s">
        <v>1071</v>
      </c>
      <c r="K709" t="s">
        <v>22</v>
      </c>
      <c r="L709" t="s">
        <v>23</v>
      </c>
      <c r="M709" t="s">
        <v>24</v>
      </c>
      <c r="N709">
        <v>9</v>
      </c>
      <c r="O709" t="s">
        <v>36</v>
      </c>
    </row>
    <row r="710" spans="1:15" x14ac:dyDescent="0.2">
      <c r="A710">
        <v>708</v>
      </c>
      <c r="B710" t="s">
        <v>51</v>
      </c>
      <c r="C710" t="s">
        <v>28</v>
      </c>
      <c r="D710" s="1">
        <v>37900</v>
      </c>
      <c r="E710" s="1">
        <v>45373</v>
      </c>
      <c r="F710" s="1">
        <v>45384</v>
      </c>
      <c r="G710" t="s">
        <v>40</v>
      </c>
      <c r="H710" t="s">
        <v>61</v>
      </c>
      <c r="I710" t="s">
        <v>57</v>
      </c>
      <c r="J710" t="s">
        <v>1072</v>
      </c>
      <c r="K710" t="s">
        <v>71</v>
      </c>
      <c r="M710" t="s">
        <v>78</v>
      </c>
      <c r="O710" t="s">
        <v>36</v>
      </c>
    </row>
    <row r="711" spans="1:15" x14ac:dyDescent="0.2">
      <c r="A711" t="s">
        <v>1073</v>
      </c>
      <c r="B711" t="s">
        <v>140</v>
      </c>
      <c r="C711" t="s">
        <v>28</v>
      </c>
      <c r="D711" s="1">
        <v>27714</v>
      </c>
      <c r="E711" s="1">
        <v>45428</v>
      </c>
      <c r="F711" s="1">
        <v>45439</v>
      </c>
      <c r="G711" t="s">
        <v>72</v>
      </c>
      <c r="H711" t="s">
        <v>66</v>
      </c>
      <c r="I711" t="s">
        <v>76</v>
      </c>
      <c r="J711">
        <v>1288</v>
      </c>
      <c r="K711" t="s">
        <v>71</v>
      </c>
      <c r="M711" t="s">
        <v>35</v>
      </c>
      <c r="N711">
        <v>10</v>
      </c>
      <c r="O711" t="s">
        <v>25</v>
      </c>
    </row>
    <row r="712" spans="1:15" x14ac:dyDescent="0.2">
      <c r="A712" t="s">
        <v>1074</v>
      </c>
      <c r="B712" t="s">
        <v>85</v>
      </c>
      <c r="C712" t="s">
        <v>65</v>
      </c>
      <c r="D712" s="1">
        <v>34758</v>
      </c>
      <c r="E712" s="1">
        <v>45445</v>
      </c>
      <c r="F712" s="1">
        <v>45451</v>
      </c>
      <c r="G712" t="s">
        <v>46</v>
      </c>
      <c r="H712" t="s">
        <v>61</v>
      </c>
      <c r="I712" t="s">
        <v>53</v>
      </c>
      <c r="J712" t="s">
        <v>1075</v>
      </c>
      <c r="K712" t="s">
        <v>33</v>
      </c>
      <c r="L712" t="s">
        <v>34</v>
      </c>
      <c r="M712" t="s">
        <v>24</v>
      </c>
      <c r="N712">
        <v>13</v>
      </c>
    </row>
    <row r="713" spans="1:15" x14ac:dyDescent="0.2">
      <c r="A713">
        <v>711</v>
      </c>
      <c r="B713" t="s">
        <v>27</v>
      </c>
      <c r="C713" t="s">
        <v>65</v>
      </c>
      <c r="D713" s="1">
        <v>24589</v>
      </c>
      <c r="E713" s="1">
        <v>45409</v>
      </c>
      <c r="F713" s="1">
        <v>45413</v>
      </c>
      <c r="G713" t="s">
        <v>100</v>
      </c>
      <c r="H713" t="s">
        <v>75</v>
      </c>
      <c r="I713" t="s">
        <v>67</v>
      </c>
      <c r="J713" t="s">
        <v>218</v>
      </c>
      <c r="K713" t="s">
        <v>33</v>
      </c>
      <c r="L713" t="s">
        <v>34</v>
      </c>
      <c r="M713" t="s">
        <v>35</v>
      </c>
      <c r="O713" t="s">
        <v>36</v>
      </c>
    </row>
    <row r="714" spans="1:15" x14ac:dyDescent="0.2">
      <c r="A714">
        <v>712</v>
      </c>
      <c r="B714" t="s">
        <v>91</v>
      </c>
      <c r="C714" t="s">
        <v>49</v>
      </c>
      <c r="D714" s="1">
        <v>38031</v>
      </c>
      <c r="E714" s="1">
        <v>45353</v>
      </c>
      <c r="F714" s="1">
        <v>45362</v>
      </c>
      <c r="G714" t="s">
        <v>18</v>
      </c>
      <c r="I714" t="s">
        <v>31</v>
      </c>
      <c r="J714" t="s">
        <v>1076</v>
      </c>
      <c r="K714" t="s">
        <v>71</v>
      </c>
      <c r="L714" t="s">
        <v>34</v>
      </c>
      <c r="M714" t="s">
        <v>35</v>
      </c>
      <c r="N714">
        <v>11</v>
      </c>
    </row>
    <row r="715" spans="1:15" x14ac:dyDescent="0.2">
      <c r="A715">
        <v>713</v>
      </c>
      <c r="B715" t="s">
        <v>105</v>
      </c>
      <c r="C715" t="s">
        <v>28</v>
      </c>
      <c r="D715" s="1">
        <v>30890</v>
      </c>
      <c r="E715" s="1">
        <v>45398</v>
      </c>
      <c r="F715" s="1">
        <v>45407</v>
      </c>
      <c r="G715" t="s">
        <v>18</v>
      </c>
      <c r="H715" t="s">
        <v>75</v>
      </c>
      <c r="I715" t="s">
        <v>57</v>
      </c>
      <c r="J715">
        <v>148</v>
      </c>
      <c r="K715" t="s">
        <v>71</v>
      </c>
      <c r="L715" t="s">
        <v>34</v>
      </c>
      <c r="M715" t="s">
        <v>78</v>
      </c>
      <c r="N715">
        <v>14</v>
      </c>
    </row>
    <row r="716" spans="1:15" x14ac:dyDescent="0.2">
      <c r="A716" t="s">
        <v>1077</v>
      </c>
      <c r="B716" t="s">
        <v>102</v>
      </c>
      <c r="C716" t="s">
        <v>28</v>
      </c>
      <c r="D716" s="1">
        <v>35026</v>
      </c>
      <c r="E716" s="1">
        <v>45401</v>
      </c>
      <c r="G716" t="s">
        <v>60</v>
      </c>
      <c r="I716" t="s">
        <v>41</v>
      </c>
      <c r="J716" t="s">
        <v>1078</v>
      </c>
      <c r="K716" t="s">
        <v>22</v>
      </c>
      <c r="M716" t="s">
        <v>78</v>
      </c>
      <c r="N716">
        <v>3</v>
      </c>
      <c r="O716" t="s">
        <v>25</v>
      </c>
    </row>
    <row r="717" spans="1:15" x14ac:dyDescent="0.2">
      <c r="A717">
        <v>715</v>
      </c>
      <c r="B717" t="s">
        <v>51</v>
      </c>
      <c r="C717" t="s">
        <v>92</v>
      </c>
      <c r="D717" s="1">
        <v>21446</v>
      </c>
      <c r="E717" s="1">
        <v>45456</v>
      </c>
      <c r="F717" s="1">
        <v>45468</v>
      </c>
      <c r="G717" t="s">
        <v>50</v>
      </c>
      <c r="I717" t="s">
        <v>31</v>
      </c>
      <c r="J717" t="s">
        <v>1079</v>
      </c>
      <c r="K717" t="s">
        <v>71</v>
      </c>
      <c r="M717" t="s">
        <v>78</v>
      </c>
      <c r="N717">
        <v>10</v>
      </c>
      <c r="O717" t="s">
        <v>36</v>
      </c>
    </row>
    <row r="718" spans="1:15" x14ac:dyDescent="0.2">
      <c r="A718" t="s">
        <v>1080</v>
      </c>
      <c r="B718" t="s">
        <v>80</v>
      </c>
      <c r="C718" t="s">
        <v>39</v>
      </c>
      <c r="D718" s="1">
        <v>22852</v>
      </c>
      <c r="E718" s="1">
        <v>45425</v>
      </c>
      <c r="G718" t="s">
        <v>83</v>
      </c>
      <c r="H718" t="s">
        <v>61</v>
      </c>
      <c r="I718" t="s">
        <v>31</v>
      </c>
      <c r="J718" t="s">
        <v>740</v>
      </c>
      <c r="K718" t="s">
        <v>22</v>
      </c>
      <c r="M718" t="s">
        <v>78</v>
      </c>
      <c r="N718">
        <v>11</v>
      </c>
      <c r="O718" t="s">
        <v>36</v>
      </c>
    </row>
    <row r="719" spans="1:15" x14ac:dyDescent="0.2">
      <c r="A719" t="s">
        <v>1081</v>
      </c>
      <c r="B719" t="s">
        <v>87</v>
      </c>
      <c r="C719" t="s">
        <v>97</v>
      </c>
      <c r="D719" s="1">
        <v>38168</v>
      </c>
      <c r="E719" s="1">
        <v>45390</v>
      </c>
      <c r="F719" s="1">
        <v>45391</v>
      </c>
      <c r="G719" t="s">
        <v>18</v>
      </c>
      <c r="H719" t="s">
        <v>30</v>
      </c>
      <c r="I719" t="s">
        <v>67</v>
      </c>
      <c r="J719" t="s">
        <v>1082</v>
      </c>
      <c r="K719" t="s">
        <v>33</v>
      </c>
      <c r="M719" t="s">
        <v>24</v>
      </c>
      <c r="N719">
        <v>14</v>
      </c>
    </row>
    <row r="720" spans="1:15" x14ac:dyDescent="0.2">
      <c r="A720">
        <v>718</v>
      </c>
      <c r="B720" t="s">
        <v>56</v>
      </c>
      <c r="C720" t="s">
        <v>65</v>
      </c>
      <c r="D720" s="1">
        <v>23847</v>
      </c>
      <c r="E720" s="1">
        <v>45456</v>
      </c>
      <c r="F720" s="1">
        <v>45465</v>
      </c>
      <c r="G720" t="s">
        <v>40</v>
      </c>
      <c r="H720" t="s">
        <v>30</v>
      </c>
      <c r="I720" t="s">
        <v>76</v>
      </c>
      <c r="J720" t="s">
        <v>1083</v>
      </c>
      <c r="K720" t="s">
        <v>43</v>
      </c>
      <c r="M720" t="s">
        <v>35</v>
      </c>
      <c r="N720">
        <v>7</v>
      </c>
      <c r="O720" t="s">
        <v>25</v>
      </c>
    </row>
    <row r="721" spans="1:15" x14ac:dyDescent="0.2">
      <c r="A721" t="s">
        <v>1084</v>
      </c>
      <c r="B721" t="s">
        <v>150</v>
      </c>
      <c r="C721" t="s">
        <v>92</v>
      </c>
      <c r="D721" s="1">
        <v>25631</v>
      </c>
      <c r="E721" s="1">
        <v>45344</v>
      </c>
      <c r="F721" s="1">
        <v>45354</v>
      </c>
      <c r="G721" t="s">
        <v>72</v>
      </c>
      <c r="H721" t="s">
        <v>52</v>
      </c>
      <c r="I721" t="s">
        <v>31</v>
      </c>
      <c r="J721">
        <v>1121</v>
      </c>
      <c r="K721" t="s">
        <v>43</v>
      </c>
      <c r="L721" t="s">
        <v>34</v>
      </c>
      <c r="M721" t="s">
        <v>24</v>
      </c>
      <c r="N721">
        <v>13</v>
      </c>
    </row>
    <row r="722" spans="1:15" x14ac:dyDescent="0.2">
      <c r="A722" t="s">
        <v>1085</v>
      </c>
      <c r="B722" t="s">
        <v>51</v>
      </c>
      <c r="C722" t="s">
        <v>92</v>
      </c>
      <c r="D722" s="1">
        <v>40029</v>
      </c>
      <c r="E722" s="1">
        <v>45394</v>
      </c>
      <c r="F722" s="1">
        <v>45403</v>
      </c>
      <c r="G722" t="s">
        <v>60</v>
      </c>
      <c r="H722" t="s">
        <v>61</v>
      </c>
      <c r="I722" t="s">
        <v>57</v>
      </c>
      <c r="J722" t="s">
        <v>1086</v>
      </c>
      <c r="K722" t="s">
        <v>48</v>
      </c>
      <c r="M722" t="s">
        <v>24</v>
      </c>
      <c r="N722">
        <v>4</v>
      </c>
      <c r="O722" t="s">
        <v>36</v>
      </c>
    </row>
    <row r="723" spans="1:15" x14ac:dyDescent="0.2">
      <c r="A723" t="s">
        <v>1087</v>
      </c>
      <c r="B723" t="s">
        <v>140</v>
      </c>
      <c r="C723" t="s">
        <v>49</v>
      </c>
      <c r="D723" s="1">
        <v>39589</v>
      </c>
      <c r="E723" s="1">
        <v>45350</v>
      </c>
      <c r="F723" s="1">
        <v>45360</v>
      </c>
      <c r="G723" t="s">
        <v>40</v>
      </c>
      <c r="H723" t="s">
        <v>30</v>
      </c>
      <c r="I723" t="s">
        <v>20</v>
      </c>
      <c r="J723" t="s">
        <v>1088</v>
      </c>
      <c r="K723" t="s">
        <v>22</v>
      </c>
      <c r="M723" t="s">
        <v>35</v>
      </c>
      <c r="O723" t="s">
        <v>25</v>
      </c>
    </row>
    <row r="724" spans="1:15" x14ac:dyDescent="0.2">
      <c r="A724" t="s">
        <v>1089</v>
      </c>
      <c r="B724" t="s">
        <v>119</v>
      </c>
      <c r="C724" t="s">
        <v>28</v>
      </c>
      <c r="D724" s="1">
        <v>33477</v>
      </c>
      <c r="E724" s="1">
        <v>45429</v>
      </c>
      <c r="F724" s="1">
        <v>45440</v>
      </c>
      <c r="G724" t="s">
        <v>50</v>
      </c>
      <c r="H724" t="s">
        <v>19</v>
      </c>
      <c r="I724" t="s">
        <v>20</v>
      </c>
      <c r="J724" t="s">
        <v>736</v>
      </c>
      <c r="K724" t="s">
        <v>71</v>
      </c>
      <c r="L724" t="s">
        <v>23</v>
      </c>
      <c r="M724" t="s">
        <v>35</v>
      </c>
      <c r="N724">
        <v>4</v>
      </c>
    </row>
    <row r="725" spans="1:15" x14ac:dyDescent="0.2">
      <c r="A725">
        <v>723</v>
      </c>
      <c r="B725" t="s">
        <v>45</v>
      </c>
      <c r="C725" t="s">
        <v>65</v>
      </c>
      <c r="D725" s="1">
        <v>18578</v>
      </c>
      <c r="E725" s="1">
        <v>45320</v>
      </c>
      <c r="F725" s="1">
        <v>45324</v>
      </c>
      <c r="G725" t="s">
        <v>88</v>
      </c>
      <c r="H725" t="s">
        <v>30</v>
      </c>
      <c r="I725" t="s">
        <v>41</v>
      </c>
      <c r="J725" t="s">
        <v>1090</v>
      </c>
      <c r="K725" t="s">
        <v>71</v>
      </c>
      <c r="L725" t="s">
        <v>23</v>
      </c>
      <c r="M725" t="s">
        <v>78</v>
      </c>
      <c r="N725">
        <v>9</v>
      </c>
      <c r="O725" t="s">
        <v>36</v>
      </c>
    </row>
    <row r="726" spans="1:15" x14ac:dyDescent="0.2">
      <c r="A726" t="s">
        <v>1091</v>
      </c>
      <c r="B726" t="s">
        <v>45</v>
      </c>
      <c r="C726" t="s">
        <v>92</v>
      </c>
      <c r="D726" s="1">
        <v>35702</v>
      </c>
      <c r="E726" s="1">
        <v>45379</v>
      </c>
      <c r="F726" s="1">
        <v>45388</v>
      </c>
      <c r="G726" t="s">
        <v>72</v>
      </c>
      <c r="H726" t="s">
        <v>19</v>
      </c>
      <c r="I726" t="s">
        <v>20</v>
      </c>
      <c r="J726">
        <v>473</v>
      </c>
      <c r="K726" t="s">
        <v>48</v>
      </c>
      <c r="M726" t="s">
        <v>24</v>
      </c>
      <c r="N726">
        <v>3</v>
      </c>
      <c r="O726" t="s">
        <v>25</v>
      </c>
    </row>
    <row r="727" spans="1:15" x14ac:dyDescent="0.2">
      <c r="A727" t="s">
        <v>1092</v>
      </c>
      <c r="B727" t="s">
        <v>82</v>
      </c>
      <c r="C727" t="s">
        <v>49</v>
      </c>
      <c r="D727" s="1">
        <v>28246</v>
      </c>
      <c r="E727" s="1">
        <v>45405</v>
      </c>
      <c r="F727" s="1">
        <v>45414</v>
      </c>
      <c r="G727" t="s">
        <v>50</v>
      </c>
      <c r="I727" t="s">
        <v>20</v>
      </c>
      <c r="J727" t="s">
        <v>1093</v>
      </c>
      <c r="K727" t="s">
        <v>33</v>
      </c>
      <c r="M727" t="s">
        <v>78</v>
      </c>
      <c r="N727">
        <v>8</v>
      </c>
      <c r="O727" t="s">
        <v>25</v>
      </c>
    </row>
    <row r="728" spans="1:15" x14ac:dyDescent="0.2">
      <c r="A728" t="s">
        <v>1094</v>
      </c>
      <c r="B728" t="s">
        <v>45</v>
      </c>
      <c r="C728" t="s">
        <v>65</v>
      </c>
      <c r="D728" s="1">
        <v>25154</v>
      </c>
      <c r="E728" s="1">
        <v>45374</v>
      </c>
      <c r="F728" s="1">
        <v>45381</v>
      </c>
      <c r="G728" t="s">
        <v>46</v>
      </c>
      <c r="H728" t="s">
        <v>61</v>
      </c>
      <c r="I728" t="s">
        <v>53</v>
      </c>
      <c r="J728" t="s">
        <v>1095</v>
      </c>
      <c r="K728" t="s">
        <v>43</v>
      </c>
      <c r="M728" t="s">
        <v>24</v>
      </c>
      <c r="N728">
        <v>7</v>
      </c>
    </row>
    <row r="729" spans="1:15" x14ac:dyDescent="0.2">
      <c r="A729">
        <v>727</v>
      </c>
      <c r="B729" t="s">
        <v>91</v>
      </c>
      <c r="C729" t="s">
        <v>92</v>
      </c>
      <c r="D729" s="1">
        <v>33729</v>
      </c>
      <c r="E729" s="1">
        <v>45386</v>
      </c>
      <c r="F729" s="1">
        <v>45398</v>
      </c>
      <c r="G729" t="s">
        <v>83</v>
      </c>
      <c r="H729" t="s">
        <v>19</v>
      </c>
      <c r="I729" t="s">
        <v>31</v>
      </c>
      <c r="J729">
        <v>971</v>
      </c>
      <c r="K729" t="s">
        <v>71</v>
      </c>
      <c r="L729" t="s">
        <v>34</v>
      </c>
      <c r="M729" t="s">
        <v>78</v>
      </c>
      <c r="O729" t="s">
        <v>36</v>
      </c>
    </row>
    <row r="730" spans="1:15" x14ac:dyDescent="0.2">
      <c r="A730">
        <v>728</v>
      </c>
      <c r="B730" t="s">
        <v>87</v>
      </c>
      <c r="C730" t="s">
        <v>28</v>
      </c>
      <c r="D730" s="1">
        <v>27249</v>
      </c>
      <c r="E730" s="1">
        <v>45472</v>
      </c>
      <c r="F730" s="1">
        <v>45484</v>
      </c>
      <c r="G730" t="s">
        <v>60</v>
      </c>
      <c r="I730" t="s">
        <v>31</v>
      </c>
      <c r="J730" t="s">
        <v>1096</v>
      </c>
      <c r="K730" t="s">
        <v>71</v>
      </c>
      <c r="M730" t="s">
        <v>78</v>
      </c>
      <c r="N730">
        <v>12</v>
      </c>
      <c r="O730" t="s">
        <v>25</v>
      </c>
    </row>
    <row r="731" spans="1:15" x14ac:dyDescent="0.2">
      <c r="A731" t="s">
        <v>1097</v>
      </c>
      <c r="B731" t="s">
        <v>85</v>
      </c>
      <c r="C731" t="s">
        <v>65</v>
      </c>
      <c r="D731" s="1">
        <v>32685</v>
      </c>
      <c r="E731" s="1">
        <v>45319</v>
      </c>
      <c r="F731" s="1">
        <v>45325</v>
      </c>
      <c r="G731" t="s">
        <v>18</v>
      </c>
      <c r="H731" t="s">
        <v>19</v>
      </c>
      <c r="I731" t="s">
        <v>20</v>
      </c>
      <c r="J731">
        <v>1450</v>
      </c>
      <c r="K731" t="s">
        <v>71</v>
      </c>
      <c r="L731" t="s">
        <v>23</v>
      </c>
      <c r="M731" t="s">
        <v>78</v>
      </c>
      <c r="N731">
        <v>10</v>
      </c>
      <c r="O731" t="s">
        <v>36</v>
      </c>
    </row>
    <row r="732" spans="1:15" x14ac:dyDescent="0.2">
      <c r="A732" t="s">
        <v>1098</v>
      </c>
      <c r="B732" t="s">
        <v>16</v>
      </c>
      <c r="C732" t="s">
        <v>17</v>
      </c>
      <c r="D732" s="1">
        <v>39223</v>
      </c>
      <c r="E732" s="1">
        <v>45362</v>
      </c>
      <c r="F732" s="1">
        <v>45367</v>
      </c>
      <c r="G732" t="s">
        <v>100</v>
      </c>
      <c r="H732" t="s">
        <v>52</v>
      </c>
      <c r="I732" t="s">
        <v>53</v>
      </c>
      <c r="J732" t="s">
        <v>1099</v>
      </c>
      <c r="K732" t="s">
        <v>71</v>
      </c>
      <c r="L732" t="s">
        <v>23</v>
      </c>
      <c r="M732" t="s">
        <v>35</v>
      </c>
      <c r="N732">
        <v>10</v>
      </c>
      <c r="O732" t="s">
        <v>25</v>
      </c>
    </row>
    <row r="733" spans="1:15" x14ac:dyDescent="0.2">
      <c r="A733" t="s">
        <v>1100</v>
      </c>
      <c r="B733" t="s">
        <v>150</v>
      </c>
      <c r="C733" t="s">
        <v>28</v>
      </c>
      <c r="D733" s="1">
        <v>26299</v>
      </c>
      <c r="E733" s="1">
        <v>45438</v>
      </c>
      <c r="F733" s="1">
        <v>45452</v>
      </c>
      <c r="G733" t="s">
        <v>88</v>
      </c>
      <c r="H733" t="s">
        <v>52</v>
      </c>
      <c r="I733" t="s">
        <v>41</v>
      </c>
      <c r="J733" t="s">
        <v>1101</v>
      </c>
      <c r="K733" t="s">
        <v>33</v>
      </c>
      <c r="M733" t="s">
        <v>24</v>
      </c>
      <c r="N733">
        <v>3</v>
      </c>
      <c r="O733" t="s">
        <v>36</v>
      </c>
    </row>
    <row r="734" spans="1:15" x14ac:dyDescent="0.2">
      <c r="A734">
        <v>732</v>
      </c>
      <c r="B734" t="s">
        <v>91</v>
      </c>
      <c r="C734" t="s">
        <v>28</v>
      </c>
      <c r="D734" s="1">
        <v>30132</v>
      </c>
      <c r="E734" s="1">
        <v>45342</v>
      </c>
      <c r="F734" s="1">
        <v>45354</v>
      </c>
      <c r="G734" t="s">
        <v>46</v>
      </c>
      <c r="H734" t="s">
        <v>66</v>
      </c>
      <c r="I734" t="s">
        <v>53</v>
      </c>
      <c r="J734">
        <v>941</v>
      </c>
      <c r="K734" t="s">
        <v>71</v>
      </c>
      <c r="M734" t="s">
        <v>35</v>
      </c>
      <c r="N734">
        <v>1</v>
      </c>
    </row>
    <row r="735" spans="1:15" x14ac:dyDescent="0.2">
      <c r="A735">
        <v>733</v>
      </c>
      <c r="B735" t="s">
        <v>64</v>
      </c>
      <c r="C735" t="s">
        <v>65</v>
      </c>
      <c r="D735" s="1">
        <v>32590</v>
      </c>
      <c r="E735" s="1">
        <v>45421</v>
      </c>
      <c r="F735" s="1">
        <v>45429</v>
      </c>
      <c r="G735" t="s">
        <v>18</v>
      </c>
      <c r="H735" t="s">
        <v>30</v>
      </c>
      <c r="I735" t="s">
        <v>53</v>
      </c>
      <c r="J735" t="s">
        <v>1102</v>
      </c>
      <c r="K735" t="s">
        <v>43</v>
      </c>
      <c r="L735" t="s">
        <v>34</v>
      </c>
      <c r="M735" t="s">
        <v>24</v>
      </c>
      <c r="N735">
        <v>9</v>
      </c>
      <c r="O735" t="s">
        <v>25</v>
      </c>
    </row>
    <row r="736" spans="1:15" x14ac:dyDescent="0.2">
      <c r="A736" t="s">
        <v>1103</v>
      </c>
      <c r="B736" t="s">
        <v>150</v>
      </c>
      <c r="C736" t="s">
        <v>65</v>
      </c>
      <c r="D736" s="1">
        <v>33614</v>
      </c>
      <c r="E736" s="1">
        <v>45310</v>
      </c>
      <c r="F736" s="1">
        <v>45318</v>
      </c>
      <c r="G736" t="s">
        <v>46</v>
      </c>
      <c r="H736" t="s">
        <v>75</v>
      </c>
      <c r="I736" t="s">
        <v>31</v>
      </c>
      <c r="J736" t="s">
        <v>1104</v>
      </c>
      <c r="K736" t="s">
        <v>43</v>
      </c>
      <c r="M736" t="s">
        <v>78</v>
      </c>
      <c r="N736">
        <v>12</v>
      </c>
    </row>
    <row r="737" spans="1:15" x14ac:dyDescent="0.2">
      <c r="A737">
        <v>735</v>
      </c>
      <c r="B737" t="s">
        <v>64</v>
      </c>
      <c r="C737" t="s">
        <v>28</v>
      </c>
      <c r="D737" s="1">
        <v>37097</v>
      </c>
      <c r="E737" s="1">
        <v>45293</v>
      </c>
      <c r="G737" t="s">
        <v>50</v>
      </c>
      <c r="H737" t="s">
        <v>30</v>
      </c>
      <c r="I737" t="s">
        <v>76</v>
      </c>
      <c r="J737" t="s">
        <v>1105</v>
      </c>
      <c r="K737" t="s">
        <v>22</v>
      </c>
      <c r="M737" t="s">
        <v>24</v>
      </c>
      <c r="N737">
        <v>11</v>
      </c>
      <c r="O737" t="s">
        <v>25</v>
      </c>
    </row>
    <row r="738" spans="1:15" x14ac:dyDescent="0.2">
      <c r="A738" t="s">
        <v>1106</v>
      </c>
      <c r="B738" t="s">
        <v>102</v>
      </c>
      <c r="C738" t="s">
        <v>49</v>
      </c>
      <c r="D738" s="1">
        <v>37166</v>
      </c>
      <c r="E738" s="1">
        <v>45340</v>
      </c>
      <c r="F738" s="1">
        <v>45343</v>
      </c>
      <c r="G738" t="s">
        <v>88</v>
      </c>
      <c r="H738" t="s">
        <v>61</v>
      </c>
      <c r="I738" t="s">
        <v>57</v>
      </c>
      <c r="J738" t="s">
        <v>1107</v>
      </c>
      <c r="K738" t="s">
        <v>43</v>
      </c>
      <c r="M738" t="s">
        <v>35</v>
      </c>
      <c r="N738">
        <v>6</v>
      </c>
      <c r="O738" t="s">
        <v>25</v>
      </c>
    </row>
    <row r="739" spans="1:15" x14ac:dyDescent="0.2">
      <c r="A739" t="s">
        <v>1108</v>
      </c>
      <c r="B739" t="s">
        <v>51</v>
      </c>
      <c r="C739" t="s">
        <v>97</v>
      </c>
      <c r="D739" s="1">
        <v>28190</v>
      </c>
      <c r="E739" s="1">
        <v>45400</v>
      </c>
      <c r="F739" s="1">
        <v>45415</v>
      </c>
      <c r="G739" t="s">
        <v>83</v>
      </c>
      <c r="H739" t="s">
        <v>66</v>
      </c>
      <c r="I739" t="s">
        <v>67</v>
      </c>
      <c r="J739" t="s">
        <v>1109</v>
      </c>
      <c r="K739" t="s">
        <v>71</v>
      </c>
      <c r="L739" t="s">
        <v>34</v>
      </c>
      <c r="M739" t="s">
        <v>78</v>
      </c>
      <c r="N739">
        <v>14</v>
      </c>
    </row>
    <row r="740" spans="1:15" x14ac:dyDescent="0.2">
      <c r="A740" t="s">
        <v>1110</v>
      </c>
      <c r="B740" t="s">
        <v>118</v>
      </c>
      <c r="C740" t="s">
        <v>17</v>
      </c>
      <c r="D740" s="1">
        <v>32905</v>
      </c>
      <c r="E740" s="1">
        <v>45394</v>
      </c>
      <c r="F740" s="1">
        <v>45401</v>
      </c>
      <c r="G740" t="s">
        <v>74</v>
      </c>
      <c r="H740" t="s">
        <v>52</v>
      </c>
      <c r="I740" t="s">
        <v>57</v>
      </c>
      <c r="J740" t="s">
        <v>1111</v>
      </c>
      <c r="K740" t="s">
        <v>22</v>
      </c>
      <c r="L740" t="s">
        <v>23</v>
      </c>
      <c r="M740" t="s">
        <v>35</v>
      </c>
      <c r="N740">
        <v>12</v>
      </c>
    </row>
    <row r="741" spans="1:15" x14ac:dyDescent="0.2">
      <c r="A741">
        <v>739</v>
      </c>
      <c r="B741" t="s">
        <v>59</v>
      </c>
      <c r="C741" t="s">
        <v>28</v>
      </c>
      <c r="D741" s="1">
        <v>24522</v>
      </c>
      <c r="E741" s="1">
        <v>45315</v>
      </c>
      <c r="F741" s="1">
        <v>45324</v>
      </c>
      <c r="G741" t="s">
        <v>100</v>
      </c>
      <c r="H741" t="s">
        <v>66</v>
      </c>
      <c r="I741" t="s">
        <v>20</v>
      </c>
      <c r="J741">
        <v>878</v>
      </c>
      <c r="K741" t="s">
        <v>71</v>
      </c>
      <c r="L741" t="s">
        <v>34</v>
      </c>
      <c r="M741" t="s">
        <v>78</v>
      </c>
      <c r="N741">
        <v>5</v>
      </c>
      <c r="O741" t="s">
        <v>25</v>
      </c>
    </row>
    <row r="742" spans="1:15" x14ac:dyDescent="0.2">
      <c r="A742">
        <v>740</v>
      </c>
      <c r="B742" t="s">
        <v>45</v>
      </c>
      <c r="C742" t="s">
        <v>97</v>
      </c>
      <c r="D742" s="1">
        <v>21031</v>
      </c>
      <c r="E742" s="1">
        <v>45412</v>
      </c>
      <c r="F742" s="1">
        <v>45417</v>
      </c>
      <c r="G742" t="s">
        <v>88</v>
      </c>
      <c r="H742" t="s">
        <v>52</v>
      </c>
      <c r="I742" t="s">
        <v>41</v>
      </c>
      <c r="J742" t="s">
        <v>1112</v>
      </c>
      <c r="K742" t="s">
        <v>43</v>
      </c>
      <c r="L742" t="s">
        <v>34</v>
      </c>
      <c r="M742" t="s">
        <v>35</v>
      </c>
      <c r="N742">
        <v>3</v>
      </c>
    </row>
    <row r="743" spans="1:15" x14ac:dyDescent="0.2">
      <c r="A743">
        <v>741</v>
      </c>
      <c r="B743" t="s">
        <v>80</v>
      </c>
      <c r="C743" t="s">
        <v>17</v>
      </c>
      <c r="D743" s="1">
        <v>37800</v>
      </c>
      <c r="E743" s="1">
        <v>45461</v>
      </c>
      <c r="F743" s="1">
        <v>45468</v>
      </c>
      <c r="G743" t="s">
        <v>29</v>
      </c>
      <c r="H743" t="s">
        <v>52</v>
      </c>
      <c r="I743" t="s">
        <v>67</v>
      </c>
      <c r="J743" t="s">
        <v>1113</v>
      </c>
      <c r="K743" t="s">
        <v>22</v>
      </c>
      <c r="M743" t="s">
        <v>35</v>
      </c>
      <c r="N743">
        <v>1</v>
      </c>
      <c r="O743" t="s">
        <v>36</v>
      </c>
    </row>
    <row r="744" spans="1:15" x14ac:dyDescent="0.2">
      <c r="A744" t="s">
        <v>1114</v>
      </c>
      <c r="B744" t="s">
        <v>45</v>
      </c>
      <c r="C744" t="s">
        <v>28</v>
      </c>
      <c r="D744" s="1">
        <v>38754</v>
      </c>
      <c r="E744" s="1">
        <v>45359</v>
      </c>
      <c r="G744" t="s">
        <v>88</v>
      </c>
      <c r="H744" t="s">
        <v>30</v>
      </c>
      <c r="I744" t="s">
        <v>20</v>
      </c>
      <c r="J744" t="s">
        <v>1115</v>
      </c>
      <c r="K744" t="s">
        <v>22</v>
      </c>
      <c r="M744" t="s">
        <v>35</v>
      </c>
      <c r="N744">
        <v>13</v>
      </c>
    </row>
    <row r="745" spans="1:15" x14ac:dyDescent="0.2">
      <c r="A745" t="s">
        <v>1116</v>
      </c>
      <c r="B745" t="s">
        <v>105</v>
      </c>
      <c r="C745" t="s">
        <v>97</v>
      </c>
      <c r="D745" s="1">
        <v>23446</v>
      </c>
      <c r="E745" s="1">
        <v>45295</v>
      </c>
      <c r="F745" s="1">
        <v>45297</v>
      </c>
      <c r="G745" t="s">
        <v>74</v>
      </c>
      <c r="H745" t="s">
        <v>66</v>
      </c>
      <c r="I745" t="s">
        <v>76</v>
      </c>
      <c r="J745">
        <v>1051</v>
      </c>
      <c r="K745" t="s">
        <v>43</v>
      </c>
      <c r="M745" t="s">
        <v>35</v>
      </c>
      <c r="N745">
        <v>13</v>
      </c>
    </row>
    <row r="746" spans="1:15" x14ac:dyDescent="0.2">
      <c r="A746" t="s">
        <v>1117</v>
      </c>
      <c r="B746" t="s">
        <v>45</v>
      </c>
      <c r="C746" t="s">
        <v>28</v>
      </c>
      <c r="D746" s="1">
        <v>33648</v>
      </c>
      <c r="E746" s="1">
        <v>45324</v>
      </c>
      <c r="F746" s="1">
        <v>45330</v>
      </c>
      <c r="G746" t="s">
        <v>100</v>
      </c>
      <c r="H746" t="s">
        <v>19</v>
      </c>
      <c r="I746" t="s">
        <v>53</v>
      </c>
      <c r="J746" t="s">
        <v>1118</v>
      </c>
      <c r="K746" t="s">
        <v>22</v>
      </c>
      <c r="L746" t="s">
        <v>23</v>
      </c>
      <c r="M746" t="s">
        <v>24</v>
      </c>
      <c r="O746" t="s">
        <v>25</v>
      </c>
    </row>
    <row r="747" spans="1:15" x14ac:dyDescent="0.2">
      <c r="A747" t="s">
        <v>1119</v>
      </c>
      <c r="B747" t="s">
        <v>150</v>
      </c>
      <c r="C747" t="s">
        <v>49</v>
      </c>
      <c r="D747" s="1">
        <v>21370</v>
      </c>
      <c r="E747" s="1">
        <v>45364</v>
      </c>
      <c r="F747" s="1">
        <v>45369</v>
      </c>
      <c r="G747" t="s">
        <v>72</v>
      </c>
      <c r="H747" t="s">
        <v>30</v>
      </c>
      <c r="I747" t="s">
        <v>31</v>
      </c>
      <c r="J747" t="s">
        <v>1120</v>
      </c>
      <c r="K747" t="s">
        <v>22</v>
      </c>
      <c r="M747" t="s">
        <v>78</v>
      </c>
      <c r="N747">
        <v>3</v>
      </c>
    </row>
    <row r="748" spans="1:15" x14ac:dyDescent="0.2">
      <c r="A748" t="s">
        <v>1121</v>
      </c>
      <c r="B748" t="s">
        <v>80</v>
      </c>
      <c r="C748" t="s">
        <v>49</v>
      </c>
      <c r="D748" s="1">
        <v>30880</v>
      </c>
      <c r="E748" s="1">
        <v>45342</v>
      </c>
      <c r="G748" t="s">
        <v>72</v>
      </c>
      <c r="H748" t="s">
        <v>66</v>
      </c>
      <c r="I748" t="s">
        <v>41</v>
      </c>
      <c r="J748" t="s">
        <v>1122</v>
      </c>
      <c r="K748" t="s">
        <v>71</v>
      </c>
      <c r="M748" t="s">
        <v>35</v>
      </c>
      <c r="N748">
        <v>8</v>
      </c>
      <c r="O748" t="s">
        <v>36</v>
      </c>
    </row>
    <row r="749" spans="1:15" x14ac:dyDescent="0.2">
      <c r="A749" t="s">
        <v>1123</v>
      </c>
      <c r="B749" t="s">
        <v>119</v>
      </c>
      <c r="C749" t="s">
        <v>28</v>
      </c>
      <c r="D749" s="1">
        <v>33078</v>
      </c>
      <c r="E749" s="1">
        <v>45408</v>
      </c>
      <c r="F749" s="1">
        <v>45410</v>
      </c>
      <c r="G749" t="s">
        <v>72</v>
      </c>
      <c r="I749" t="s">
        <v>57</v>
      </c>
      <c r="J749" t="s">
        <v>1124</v>
      </c>
      <c r="K749" t="s">
        <v>22</v>
      </c>
      <c r="M749" t="s">
        <v>78</v>
      </c>
      <c r="N749">
        <v>8</v>
      </c>
    </row>
    <row r="750" spans="1:15" x14ac:dyDescent="0.2">
      <c r="A750">
        <v>748</v>
      </c>
      <c r="B750" t="s">
        <v>16</v>
      </c>
      <c r="C750" t="s">
        <v>49</v>
      </c>
      <c r="D750" s="1">
        <v>29482</v>
      </c>
      <c r="E750" s="1">
        <v>45308</v>
      </c>
      <c r="F750" s="1">
        <v>45309</v>
      </c>
      <c r="G750" t="s">
        <v>74</v>
      </c>
      <c r="H750" t="s">
        <v>52</v>
      </c>
      <c r="I750" t="s">
        <v>76</v>
      </c>
      <c r="J750" t="s">
        <v>1125</v>
      </c>
      <c r="K750" t="s">
        <v>43</v>
      </c>
      <c r="M750" t="s">
        <v>35</v>
      </c>
      <c r="N750">
        <v>5</v>
      </c>
      <c r="O750" t="s">
        <v>36</v>
      </c>
    </row>
    <row r="751" spans="1:15" x14ac:dyDescent="0.2">
      <c r="A751">
        <v>749</v>
      </c>
      <c r="B751" t="s">
        <v>27</v>
      </c>
      <c r="C751" t="s">
        <v>17</v>
      </c>
      <c r="D751" s="1">
        <v>34802</v>
      </c>
      <c r="E751" s="1">
        <v>45393</v>
      </c>
      <c r="G751" t="s">
        <v>72</v>
      </c>
      <c r="H751" t="s">
        <v>52</v>
      </c>
      <c r="I751" t="s">
        <v>41</v>
      </c>
      <c r="J751" t="s">
        <v>1126</v>
      </c>
      <c r="K751" t="s">
        <v>33</v>
      </c>
      <c r="L751" t="s">
        <v>23</v>
      </c>
      <c r="M751" t="s">
        <v>24</v>
      </c>
      <c r="N751">
        <v>9</v>
      </c>
      <c r="O751" t="s">
        <v>25</v>
      </c>
    </row>
    <row r="752" spans="1:15" x14ac:dyDescent="0.2">
      <c r="A752" t="s">
        <v>1127</v>
      </c>
      <c r="B752" t="s">
        <v>102</v>
      </c>
      <c r="C752" t="s">
        <v>65</v>
      </c>
      <c r="D752" s="1">
        <v>25814</v>
      </c>
      <c r="E752" s="1">
        <v>45387</v>
      </c>
      <c r="G752" t="s">
        <v>46</v>
      </c>
      <c r="H752" t="s">
        <v>75</v>
      </c>
      <c r="I752" t="s">
        <v>53</v>
      </c>
      <c r="J752" t="s">
        <v>1128</v>
      </c>
      <c r="K752" t="s">
        <v>22</v>
      </c>
      <c r="M752" t="s">
        <v>35</v>
      </c>
      <c r="O752" t="s">
        <v>36</v>
      </c>
    </row>
    <row r="753" spans="1:15" x14ac:dyDescent="0.2">
      <c r="A753">
        <v>751</v>
      </c>
      <c r="B753" t="s">
        <v>118</v>
      </c>
      <c r="C753" t="s">
        <v>65</v>
      </c>
      <c r="D753" s="1">
        <v>32067</v>
      </c>
      <c r="E753" s="1">
        <v>45411</v>
      </c>
      <c r="G753" t="s">
        <v>60</v>
      </c>
      <c r="H753" t="s">
        <v>66</v>
      </c>
      <c r="I753" t="s">
        <v>20</v>
      </c>
      <c r="J753" t="s">
        <v>1129</v>
      </c>
      <c r="K753" t="s">
        <v>22</v>
      </c>
      <c r="L753" t="s">
        <v>34</v>
      </c>
      <c r="M753" t="s">
        <v>35</v>
      </c>
      <c r="N753">
        <v>3</v>
      </c>
      <c r="O753" t="s">
        <v>25</v>
      </c>
    </row>
    <row r="754" spans="1:15" x14ac:dyDescent="0.2">
      <c r="A754">
        <v>752</v>
      </c>
      <c r="B754" t="s">
        <v>140</v>
      </c>
      <c r="C754" t="s">
        <v>39</v>
      </c>
      <c r="D754" s="1">
        <v>26209</v>
      </c>
      <c r="E754" s="1">
        <v>45332</v>
      </c>
      <c r="F754" s="1">
        <v>45336</v>
      </c>
      <c r="G754" t="s">
        <v>83</v>
      </c>
      <c r="H754" t="s">
        <v>66</v>
      </c>
      <c r="I754" t="s">
        <v>67</v>
      </c>
      <c r="J754" t="s">
        <v>1130</v>
      </c>
      <c r="K754" t="s">
        <v>71</v>
      </c>
      <c r="L754" t="s">
        <v>34</v>
      </c>
      <c r="M754" t="s">
        <v>24</v>
      </c>
      <c r="N754">
        <v>11</v>
      </c>
      <c r="O754" t="s">
        <v>25</v>
      </c>
    </row>
    <row r="755" spans="1:15" x14ac:dyDescent="0.2">
      <c r="A755" t="s">
        <v>1131</v>
      </c>
      <c r="B755" t="s">
        <v>114</v>
      </c>
      <c r="C755" t="s">
        <v>97</v>
      </c>
      <c r="D755" s="1">
        <v>27290</v>
      </c>
      <c r="E755" s="1">
        <v>45294</v>
      </c>
      <c r="F755" s="1">
        <v>45303</v>
      </c>
      <c r="G755" t="s">
        <v>72</v>
      </c>
      <c r="H755" t="s">
        <v>61</v>
      </c>
      <c r="I755" t="s">
        <v>76</v>
      </c>
      <c r="J755">
        <v>575</v>
      </c>
      <c r="K755" t="s">
        <v>33</v>
      </c>
      <c r="L755" t="s">
        <v>34</v>
      </c>
      <c r="M755" t="s">
        <v>24</v>
      </c>
      <c r="N755">
        <v>8</v>
      </c>
      <c r="O755" t="s">
        <v>25</v>
      </c>
    </row>
    <row r="756" spans="1:15" x14ac:dyDescent="0.2">
      <c r="A756" t="s">
        <v>1132</v>
      </c>
      <c r="B756" t="s">
        <v>59</v>
      </c>
      <c r="C756" t="s">
        <v>92</v>
      </c>
      <c r="D756" s="1">
        <v>19606</v>
      </c>
      <c r="E756" s="1">
        <v>45357</v>
      </c>
      <c r="F756" s="1">
        <v>45364</v>
      </c>
      <c r="G756" t="s">
        <v>100</v>
      </c>
      <c r="I756" t="s">
        <v>31</v>
      </c>
      <c r="J756" t="s">
        <v>1133</v>
      </c>
      <c r="K756" t="s">
        <v>48</v>
      </c>
      <c r="M756" t="s">
        <v>35</v>
      </c>
      <c r="N756">
        <v>11</v>
      </c>
      <c r="O756" t="s">
        <v>36</v>
      </c>
    </row>
    <row r="757" spans="1:15" x14ac:dyDescent="0.2">
      <c r="A757" t="s">
        <v>1134</v>
      </c>
      <c r="B757" t="s">
        <v>82</v>
      </c>
      <c r="C757" t="s">
        <v>28</v>
      </c>
      <c r="D757" s="1">
        <v>20120</v>
      </c>
      <c r="E757" s="1">
        <v>45363</v>
      </c>
      <c r="F757" s="1">
        <v>45374</v>
      </c>
      <c r="G757" t="s">
        <v>29</v>
      </c>
      <c r="H757" t="s">
        <v>75</v>
      </c>
      <c r="I757" t="s">
        <v>41</v>
      </c>
      <c r="J757" t="s">
        <v>1129</v>
      </c>
      <c r="K757" t="s">
        <v>48</v>
      </c>
      <c r="L757" t="s">
        <v>34</v>
      </c>
      <c r="M757" t="s">
        <v>35</v>
      </c>
      <c r="N757">
        <v>8</v>
      </c>
      <c r="O757" t="s">
        <v>25</v>
      </c>
    </row>
    <row r="758" spans="1:15" x14ac:dyDescent="0.2">
      <c r="A758" t="s">
        <v>1135</v>
      </c>
      <c r="B758" t="s">
        <v>56</v>
      </c>
      <c r="C758" t="s">
        <v>97</v>
      </c>
      <c r="D758" s="1">
        <v>37632</v>
      </c>
      <c r="E758" s="1">
        <v>45462</v>
      </c>
      <c r="G758" t="s">
        <v>100</v>
      </c>
      <c r="H758" t="s">
        <v>61</v>
      </c>
      <c r="I758" t="s">
        <v>57</v>
      </c>
      <c r="J758">
        <v>1258</v>
      </c>
      <c r="K758" t="s">
        <v>43</v>
      </c>
      <c r="M758" t="s">
        <v>35</v>
      </c>
      <c r="N758">
        <v>10</v>
      </c>
    </row>
    <row r="759" spans="1:15" x14ac:dyDescent="0.2">
      <c r="A759" t="s">
        <v>1136</v>
      </c>
      <c r="B759" t="s">
        <v>119</v>
      </c>
      <c r="C759" t="s">
        <v>17</v>
      </c>
      <c r="D759" s="1">
        <v>22113</v>
      </c>
      <c r="E759" s="1">
        <v>45384</v>
      </c>
      <c r="F759" s="1">
        <v>45396</v>
      </c>
      <c r="G759" t="s">
        <v>83</v>
      </c>
      <c r="H759" t="s">
        <v>75</v>
      </c>
      <c r="I759" t="s">
        <v>41</v>
      </c>
      <c r="J759">
        <v>1001</v>
      </c>
      <c r="K759" t="s">
        <v>43</v>
      </c>
      <c r="L759" t="s">
        <v>34</v>
      </c>
      <c r="M759" t="s">
        <v>78</v>
      </c>
      <c r="N759">
        <v>11</v>
      </c>
    </row>
    <row r="760" spans="1:15" x14ac:dyDescent="0.2">
      <c r="A760">
        <v>758</v>
      </c>
      <c r="B760" t="s">
        <v>64</v>
      </c>
      <c r="C760" t="s">
        <v>97</v>
      </c>
      <c r="D760" s="1">
        <v>36841</v>
      </c>
      <c r="E760" s="1">
        <v>45298</v>
      </c>
      <c r="G760" t="s">
        <v>29</v>
      </c>
      <c r="I760" t="s">
        <v>20</v>
      </c>
      <c r="J760" t="s">
        <v>386</v>
      </c>
      <c r="K760" t="s">
        <v>33</v>
      </c>
      <c r="M760" t="s">
        <v>78</v>
      </c>
      <c r="N760">
        <v>4</v>
      </c>
      <c r="O760" t="s">
        <v>36</v>
      </c>
    </row>
    <row r="761" spans="1:15" x14ac:dyDescent="0.2">
      <c r="A761">
        <v>759</v>
      </c>
      <c r="B761" t="s">
        <v>80</v>
      </c>
      <c r="C761" t="s">
        <v>92</v>
      </c>
      <c r="D761" s="1">
        <v>33278</v>
      </c>
      <c r="E761" s="1">
        <v>45333</v>
      </c>
      <c r="F761" s="1">
        <v>45347</v>
      </c>
      <c r="G761" t="s">
        <v>29</v>
      </c>
      <c r="I761" t="s">
        <v>31</v>
      </c>
      <c r="J761">
        <v>452</v>
      </c>
      <c r="K761" t="s">
        <v>48</v>
      </c>
      <c r="M761" t="s">
        <v>78</v>
      </c>
      <c r="N761">
        <v>12</v>
      </c>
      <c r="O761" t="s">
        <v>25</v>
      </c>
    </row>
    <row r="762" spans="1:15" x14ac:dyDescent="0.2">
      <c r="A762">
        <v>760</v>
      </c>
      <c r="B762" t="s">
        <v>45</v>
      </c>
      <c r="C762" t="s">
        <v>17</v>
      </c>
      <c r="D762" s="1">
        <v>21227</v>
      </c>
      <c r="E762" s="1">
        <v>45372</v>
      </c>
      <c r="F762" s="1">
        <v>45385</v>
      </c>
      <c r="G762" t="s">
        <v>50</v>
      </c>
      <c r="H762" t="s">
        <v>30</v>
      </c>
      <c r="I762" t="s">
        <v>41</v>
      </c>
      <c r="J762" t="s">
        <v>1137</v>
      </c>
      <c r="K762" t="s">
        <v>33</v>
      </c>
      <c r="M762" t="s">
        <v>78</v>
      </c>
      <c r="N762">
        <v>3</v>
      </c>
      <c r="O762" t="s">
        <v>36</v>
      </c>
    </row>
    <row r="763" spans="1:15" x14ac:dyDescent="0.2">
      <c r="A763" t="s">
        <v>1138</v>
      </c>
      <c r="B763" t="s">
        <v>16</v>
      </c>
      <c r="C763" t="s">
        <v>97</v>
      </c>
      <c r="D763" s="1">
        <v>37329</v>
      </c>
      <c r="E763" s="1">
        <v>45421</v>
      </c>
      <c r="F763" s="1">
        <v>45430</v>
      </c>
      <c r="G763" t="s">
        <v>29</v>
      </c>
      <c r="H763" t="s">
        <v>61</v>
      </c>
      <c r="I763" t="s">
        <v>53</v>
      </c>
      <c r="J763" t="s">
        <v>1139</v>
      </c>
      <c r="K763" t="s">
        <v>48</v>
      </c>
      <c r="L763" t="s">
        <v>34</v>
      </c>
      <c r="M763" t="s">
        <v>24</v>
      </c>
      <c r="N763">
        <v>15</v>
      </c>
    </row>
    <row r="764" spans="1:15" x14ac:dyDescent="0.2">
      <c r="A764">
        <v>762</v>
      </c>
      <c r="B764" t="s">
        <v>38</v>
      </c>
      <c r="C764" t="s">
        <v>97</v>
      </c>
      <c r="D764" s="1">
        <v>29410</v>
      </c>
      <c r="E764" s="1">
        <v>45393</v>
      </c>
      <c r="F764" s="1">
        <v>45395</v>
      </c>
      <c r="G764" t="s">
        <v>18</v>
      </c>
      <c r="H764" t="s">
        <v>61</v>
      </c>
      <c r="I764" t="s">
        <v>20</v>
      </c>
      <c r="J764" t="s">
        <v>521</v>
      </c>
      <c r="K764" t="s">
        <v>71</v>
      </c>
      <c r="L764" t="s">
        <v>34</v>
      </c>
      <c r="M764" t="s">
        <v>35</v>
      </c>
      <c r="N764">
        <v>11</v>
      </c>
      <c r="O764" t="s">
        <v>36</v>
      </c>
    </row>
    <row r="765" spans="1:15" x14ac:dyDescent="0.2">
      <c r="A765" t="s">
        <v>1140</v>
      </c>
      <c r="B765" t="s">
        <v>56</v>
      </c>
      <c r="C765" t="s">
        <v>97</v>
      </c>
      <c r="D765" s="1">
        <v>25439</v>
      </c>
      <c r="E765" s="1">
        <v>45349</v>
      </c>
      <c r="F765" s="1">
        <v>45353</v>
      </c>
      <c r="G765" t="s">
        <v>88</v>
      </c>
      <c r="H765" t="s">
        <v>30</v>
      </c>
      <c r="I765" t="s">
        <v>67</v>
      </c>
      <c r="J765">
        <v>142</v>
      </c>
      <c r="K765" t="s">
        <v>71</v>
      </c>
      <c r="M765" t="s">
        <v>24</v>
      </c>
      <c r="N765">
        <v>10</v>
      </c>
      <c r="O765" t="s">
        <v>25</v>
      </c>
    </row>
    <row r="766" spans="1:15" x14ac:dyDescent="0.2">
      <c r="A766">
        <v>764</v>
      </c>
      <c r="B766" t="s">
        <v>140</v>
      </c>
      <c r="C766" t="s">
        <v>39</v>
      </c>
      <c r="D766" s="1">
        <v>35256</v>
      </c>
      <c r="E766" s="1">
        <v>45452</v>
      </c>
      <c r="F766" s="1">
        <v>45464</v>
      </c>
      <c r="G766" t="s">
        <v>60</v>
      </c>
      <c r="H766" t="s">
        <v>19</v>
      </c>
      <c r="I766" t="s">
        <v>31</v>
      </c>
      <c r="J766" t="s">
        <v>1141</v>
      </c>
      <c r="K766" t="s">
        <v>33</v>
      </c>
      <c r="M766" t="s">
        <v>35</v>
      </c>
      <c r="N766">
        <v>3</v>
      </c>
      <c r="O766" t="s">
        <v>36</v>
      </c>
    </row>
    <row r="767" spans="1:15" x14ac:dyDescent="0.2">
      <c r="A767" t="s">
        <v>1142</v>
      </c>
      <c r="B767" t="s">
        <v>91</v>
      </c>
      <c r="C767" t="s">
        <v>39</v>
      </c>
      <c r="D767" s="1">
        <v>35902</v>
      </c>
      <c r="E767" s="1">
        <v>45316</v>
      </c>
      <c r="F767" s="1">
        <v>45318</v>
      </c>
      <c r="G767" t="s">
        <v>83</v>
      </c>
      <c r="H767" t="s">
        <v>75</v>
      </c>
      <c r="I767" t="s">
        <v>53</v>
      </c>
      <c r="J767" t="s">
        <v>1143</v>
      </c>
      <c r="K767" t="s">
        <v>71</v>
      </c>
      <c r="M767" t="s">
        <v>24</v>
      </c>
      <c r="N767">
        <v>8</v>
      </c>
    </row>
    <row r="768" spans="1:15" x14ac:dyDescent="0.2">
      <c r="A768">
        <v>766</v>
      </c>
      <c r="B768" t="s">
        <v>56</v>
      </c>
      <c r="C768" t="s">
        <v>65</v>
      </c>
      <c r="D768" s="1">
        <v>32556</v>
      </c>
      <c r="E768" s="1">
        <v>45335</v>
      </c>
      <c r="F768" s="1">
        <v>45344</v>
      </c>
      <c r="G768" t="s">
        <v>83</v>
      </c>
      <c r="H768" t="s">
        <v>19</v>
      </c>
      <c r="I768" t="s">
        <v>41</v>
      </c>
      <c r="J768" t="s">
        <v>1144</v>
      </c>
      <c r="K768" t="s">
        <v>33</v>
      </c>
      <c r="L768" t="s">
        <v>34</v>
      </c>
      <c r="M768" t="s">
        <v>24</v>
      </c>
      <c r="O768" t="s">
        <v>36</v>
      </c>
    </row>
    <row r="769" spans="1:15" x14ac:dyDescent="0.2">
      <c r="A769" t="s">
        <v>1145</v>
      </c>
      <c r="B769" t="s">
        <v>64</v>
      </c>
      <c r="C769" t="s">
        <v>49</v>
      </c>
      <c r="D769" s="1">
        <v>37850</v>
      </c>
      <c r="E769" s="1">
        <v>45402</v>
      </c>
      <c r="F769" s="1">
        <v>45406</v>
      </c>
      <c r="G769" t="s">
        <v>60</v>
      </c>
      <c r="H769" t="s">
        <v>61</v>
      </c>
      <c r="I769" t="s">
        <v>53</v>
      </c>
      <c r="J769" t="s">
        <v>1146</v>
      </c>
      <c r="K769" t="s">
        <v>33</v>
      </c>
      <c r="L769" t="s">
        <v>23</v>
      </c>
      <c r="M769" t="s">
        <v>24</v>
      </c>
      <c r="N769">
        <v>9</v>
      </c>
      <c r="O769" t="s">
        <v>36</v>
      </c>
    </row>
    <row r="770" spans="1:15" x14ac:dyDescent="0.2">
      <c r="A770" t="s">
        <v>1147</v>
      </c>
      <c r="B770" t="s">
        <v>27</v>
      </c>
      <c r="C770" t="s">
        <v>49</v>
      </c>
      <c r="D770" s="1">
        <v>37494</v>
      </c>
      <c r="E770" s="1">
        <v>45293</v>
      </c>
      <c r="F770" s="1">
        <v>45299</v>
      </c>
      <c r="G770" t="s">
        <v>74</v>
      </c>
      <c r="H770" t="s">
        <v>61</v>
      </c>
      <c r="I770" t="s">
        <v>20</v>
      </c>
      <c r="J770">
        <v>1184</v>
      </c>
      <c r="K770" t="s">
        <v>22</v>
      </c>
      <c r="L770" t="s">
        <v>23</v>
      </c>
      <c r="M770" t="s">
        <v>35</v>
      </c>
      <c r="N770">
        <v>13</v>
      </c>
      <c r="O770" t="s">
        <v>25</v>
      </c>
    </row>
    <row r="771" spans="1:15" x14ac:dyDescent="0.2">
      <c r="A771" t="s">
        <v>1148</v>
      </c>
      <c r="B771" t="s">
        <v>64</v>
      </c>
      <c r="C771" t="s">
        <v>49</v>
      </c>
      <c r="D771" s="1">
        <v>34483</v>
      </c>
      <c r="E771" s="1">
        <v>45376</v>
      </c>
      <c r="G771" t="s">
        <v>29</v>
      </c>
      <c r="H771" t="s">
        <v>61</v>
      </c>
      <c r="I771" t="s">
        <v>53</v>
      </c>
      <c r="J771">
        <v>893</v>
      </c>
      <c r="K771" t="s">
        <v>71</v>
      </c>
      <c r="M771" t="s">
        <v>35</v>
      </c>
      <c r="N771">
        <v>3</v>
      </c>
      <c r="O771" t="s">
        <v>25</v>
      </c>
    </row>
    <row r="772" spans="1:15" x14ac:dyDescent="0.2">
      <c r="A772">
        <v>770</v>
      </c>
      <c r="B772" t="s">
        <v>102</v>
      </c>
      <c r="C772" t="s">
        <v>97</v>
      </c>
      <c r="D772" s="1">
        <v>32366</v>
      </c>
      <c r="E772" s="1">
        <v>45419</v>
      </c>
      <c r="F772" s="1">
        <v>45426</v>
      </c>
      <c r="G772" t="s">
        <v>50</v>
      </c>
      <c r="H772" t="s">
        <v>30</v>
      </c>
      <c r="I772" t="s">
        <v>53</v>
      </c>
      <c r="J772" t="s">
        <v>1149</v>
      </c>
      <c r="K772" t="s">
        <v>33</v>
      </c>
      <c r="M772" t="s">
        <v>35</v>
      </c>
      <c r="N772">
        <v>1</v>
      </c>
    </row>
    <row r="773" spans="1:15" x14ac:dyDescent="0.2">
      <c r="A773" t="s">
        <v>1150</v>
      </c>
      <c r="B773" t="s">
        <v>27</v>
      </c>
      <c r="C773" t="s">
        <v>17</v>
      </c>
      <c r="D773" s="1">
        <v>30491</v>
      </c>
      <c r="E773" s="1">
        <v>45335</v>
      </c>
      <c r="F773" s="1">
        <v>45344</v>
      </c>
      <c r="G773" t="s">
        <v>88</v>
      </c>
      <c r="H773" t="s">
        <v>30</v>
      </c>
      <c r="I773" t="s">
        <v>76</v>
      </c>
      <c r="J773" t="s">
        <v>1151</v>
      </c>
      <c r="K773" t="s">
        <v>43</v>
      </c>
      <c r="M773" t="s">
        <v>35</v>
      </c>
      <c r="N773">
        <v>4</v>
      </c>
    </row>
    <row r="774" spans="1:15" x14ac:dyDescent="0.2">
      <c r="A774" t="s">
        <v>1152</v>
      </c>
      <c r="B774" t="s">
        <v>56</v>
      </c>
      <c r="C774" t="s">
        <v>97</v>
      </c>
      <c r="D774" s="1">
        <v>35801</v>
      </c>
      <c r="E774" s="1">
        <v>45380</v>
      </c>
      <c r="F774" s="1">
        <v>45395</v>
      </c>
      <c r="G774" t="s">
        <v>18</v>
      </c>
      <c r="H774" t="s">
        <v>30</v>
      </c>
      <c r="I774" t="s">
        <v>57</v>
      </c>
      <c r="J774">
        <v>462</v>
      </c>
      <c r="K774" t="s">
        <v>22</v>
      </c>
      <c r="L774" t="s">
        <v>23</v>
      </c>
      <c r="M774" t="s">
        <v>78</v>
      </c>
      <c r="O774" t="s">
        <v>25</v>
      </c>
    </row>
    <row r="775" spans="1:15" x14ac:dyDescent="0.2">
      <c r="A775" t="s">
        <v>1153</v>
      </c>
      <c r="B775" t="s">
        <v>16</v>
      </c>
      <c r="C775" t="s">
        <v>39</v>
      </c>
      <c r="D775" s="1">
        <v>28476</v>
      </c>
      <c r="E775" s="1">
        <v>45319</v>
      </c>
      <c r="F775" s="1">
        <v>45329</v>
      </c>
      <c r="G775" t="s">
        <v>74</v>
      </c>
      <c r="H775" t="s">
        <v>19</v>
      </c>
      <c r="I775" t="s">
        <v>67</v>
      </c>
      <c r="J775" t="s">
        <v>1154</v>
      </c>
      <c r="K775" t="s">
        <v>43</v>
      </c>
      <c r="M775" t="s">
        <v>78</v>
      </c>
      <c r="N775">
        <v>9</v>
      </c>
      <c r="O775" t="s">
        <v>36</v>
      </c>
    </row>
    <row r="776" spans="1:15" x14ac:dyDescent="0.2">
      <c r="A776">
        <v>774</v>
      </c>
      <c r="B776" t="s">
        <v>16</v>
      </c>
      <c r="C776" t="s">
        <v>49</v>
      </c>
      <c r="D776" s="1">
        <v>36432</v>
      </c>
      <c r="E776" s="1">
        <v>45378</v>
      </c>
      <c r="F776" s="1">
        <v>45382</v>
      </c>
      <c r="G776" t="s">
        <v>50</v>
      </c>
      <c r="I776" t="s">
        <v>76</v>
      </c>
      <c r="J776" t="s">
        <v>1155</v>
      </c>
      <c r="K776" t="s">
        <v>48</v>
      </c>
      <c r="M776" t="s">
        <v>24</v>
      </c>
      <c r="N776">
        <v>14</v>
      </c>
    </row>
    <row r="777" spans="1:15" x14ac:dyDescent="0.2">
      <c r="A777" t="s">
        <v>1156</v>
      </c>
      <c r="B777" t="s">
        <v>105</v>
      </c>
      <c r="C777" t="s">
        <v>17</v>
      </c>
      <c r="D777" s="1">
        <v>40005</v>
      </c>
      <c r="E777" s="1">
        <v>45426</v>
      </c>
      <c r="F777" s="1">
        <v>45437</v>
      </c>
      <c r="G777" t="s">
        <v>60</v>
      </c>
      <c r="H777" t="s">
        <v>30</v>
      </c>
      <c r="I777" t="s">
        <v>67</v>
      </c>
      <c r="J777" t="s">
        <v>1157</v>
      </c>
      <c r="K777" t="s">
        <v>33</v>
      </c>
      <c r="M777" t="s">
        <v>78</v>
      </c>
      <c r="N777">
        <v>2</v>
      </c>
      <c r="O777" t="s">
        <v>36</v>
      </c>
    </row>
    <row r="778" spans="1:15" x14ac:dyDescent="0.2">
      <c r="A778" t="s">
        <v>1158</v>
      </c>
      <c r="B778" t="s">
        <v>56</v>
      </c>
      <c r="C778" t="s">
        <v>17</v>
      </c>
      <c r="D778" s="1">
        <v>28799</v>
      </c>
      <c r="E778" s="1">
        <v>45448</v>
      </c>
      <c r="F778" s="1">
        <v>45461</v>
      </c>
      <c r="G778" t="s">
        <v>72</v>
      </c>
      <c r="H778" t="s">
        <v>75</v>
      </c>
      <c r="I778" t="s">
        <v>20</v>
      </c>
      <c r="J778" t="s">
        <v>989</v>
      </c>
      <c r="K778" t="s">
        <v>22</v>
      </c>
      <c r="L778" t="s">
        <v>34</v>
      </c>
      <c r="M778" t="s">
        <v>78</v>
      </c>
      <c r="N778">
        <v>12</v>
      </c>
    </row>
    <row r="779" spans="1:15" x14ac:dyDescent="0.2">
      <c r="A779" t="s">
        <v>1159</v>
      </c>
      <c r="B779" t="s">
        <v>140</v>
      </c>
      <c r="C779" t="s">
        <v>49</v>
      </c>
      <c r="D779" s="1">
        <v>28541</v>
      </c>
      <c r="E779" s="1">
        <v>45428</v>
      </c>
      <c r="G779" t="s">
        <v>60</v>
      </c>
      <c r="H779" t="s">
        <v>19</v>
      </c>
      <c r="I779" t="s">
        <v>67</v>
      </c>
      <c r="J779" t="s">
        <v>1160</v>
      </c>
      <c r="K779" t="s">
        <v>71</v>
      </c>
      <c r="L779" t="s">
        <v>23</v>
      </c>
      <c r="M779" t="s">
        <v>24</v>
      </c>
      <c r="N779">
        <v>12</v>
      </c>
      <c r="O779" t="s">
        <v>25</v>
      </c>
    </row>
    <row r="780" spans="1:15" x14ac:dyDescent="0.2">
      <c r="A780" t="s">
        <v>1161</v>
      </c>
      <c r="B780" t="s">
        <v>16</v>
      </c>
      <c r="C780" t="s">
        <v>28</v>
      </c>
      <c r="D780" s="1">
        <v>24349</v>
      </c>
      <c r="E780" s="1">
        <v>45373</v>
      </c>
      <c r="F780" s="1">
        <v>45381</v>
      </c>
      <c r="G780" t="s">
        <v>18</v>
      </c>
      <c r="H780" t="s">
        <v>75</v>
      </c>
      <c r="I780" t="s">
        <v>57</v>
      </c>
      <c r="J780" t="s">
        <v>1162</v>
      </c>
      <c r="K780" t="s">
        <v>71</v>
      </c>
      <c r="L780" t="s">
        <v>23</v>
      </c>
      <c r="M780" t="s">
        <v>24</v>
      </c>
      <c r="O780" t="s">
        <v>36</v>
      </c>
    </row>
    <row r="781" spans="1:15" x14ac:dyDescent="0.2">
      <c r="A781" t="s">
        <v>1163</v>
      </c>
      <c r="B781" t="s">
        <v>91</v>
      </c>
      <c r="C781" t="s">
        <v>49</v>
      </c>
      <c r="D781" s="1">
        <v>29102</v>
      </c>
      <c r="E781" s="1">
        <v>45391</v>
      </c>
      <c r="F781" s="1">
        <v>45405</v>
      </c>
      <c r="G781" t="s">
        <v>88</v>
      </c>
      <c r="H781" t="s">
        <v>52</v>
      </c>
      <c r="I781" t="s">
        <v>67</v>
      </c>
      <c r="J781" t="s">
        <v>1164</v>
      </c>
      <c r="K781" t="s">
        <v>43</v>
      </c>
      <c r="M781" t="s">
        <v>78</v>
      </c>
      <c r="N781">
        <v>12</v>
      </c>
    </row>
    <row r="782" spans="1:15" x14ac:dyDescent="0.2">
      <c r="A782">
        <v>780</v>
      </c>
      <c r="B782" t="s">
        <v>51</v>
      </c>
      <c r="C782" t="s">
        <v>49</v>
      </c>
      <c r="D782" s="1">
        <v>27197</v>
      </c>
      <c r="E782" s="1">
        <v>45468</v>
      </c>
      <c r="F782" s="1">
        <v>45475</v>
      </c>
      <c r="G782" t="s">
        <v>60</v>
      </c>
      <c r="I782" t="s">
        <v>67</v>
      </c>
      <c r="J782" t="s">
        <v>1165</v>
      </c>
      <c r="K782" t="s">
        <v>43</v>
      </c>
      <c r="L782" t="s">
        <v>34</v>
      </c>
      <c r="M782" t="s">
        <v>24</v>
      </c>
      <c r="N782">
        <v>1</v>
      </c>
    </row>
    <row r="783" spans="1:15" x14ac:dyDescent="0.2">
      <c r="A783">
        <v>781</v>
      </c>
      <c r="B783" t="s">
        <v>87</v>
      </c>
      <c r="C783" t="s">
        <v>49</v>
      </c>
      <c r="D783" s="1">
        <v>25570</v>
      </c>
      <c r="E783" s="1">
        <v>45455</v>
      </c>
      <c r="G783" t="s">
        <v>100</v>
      </c>
      <c r="H783" t="s">
        <v>66</v>
      </c>
      <c r="I783" t="s">
        <v>67</v>
      </c>
      <c r="J783" t="s">
        <v>1166</v>
      </c>
      <c r="K783" t="s">
        <v>22</v>
      </c>
      <c r="M783" t="s">
        <v>24</v>
      </c>
      <c r="N783">
        <v>12</v>
      </c>
      <c r="O783" t="s">
        <v>36</v>
      </c>
    </row>
    <row r="784" spans="1:15" x14ac:dyDescent="0.2">
      <c r="A784">
        <v>782</v>
      </c>
      <c r="B784" t="s">
        <v>27</v>
      </c>
      <c r="C784" t="s">
        <v>92</v>
      </c>
      <c r="D784" s="1">
        <v>27593</v>
      </c>
      <c r="E784" s="1">
        <v>45319</v>
      </c>
      <c r="F784" s="1">
        <v>45334</v>
      </c>
      <c r="G784" t="s">
        <v>74</v>
      </c>
      <c r="H784" t="s">
        <v>61</v>
      </c>
      <c r="I784" t="s">
        <v>41</v>
      </c>
      <c r="J784" t="s">
        <v>1167</v>
      </c>
      <c r="K784" t="s">
        <v>22</v>
      </c>
      <c r="L784" t="s">
        <v>34</v>
      </c>
      <c r="M784" t="s">
        <v>78</v>
      </c>
      <c r="N784">
        <v>2</v>
      </c>
      <c r="O784" t="s">
        <v>25</v>
      </c>
    </row>
    <row r="785" spans="1:15" x14ac:dyDescent="0.2">
      <c r="A785" t="s">
        <v>1168</v>
      </c>
      <c r="B785" t="s">
        <v>118</v>
      </c>
      <c r="C785" t="s">
        <v>97</v>
      </c>
      <c r="D785" s="1">
        <v>21003</v>
      </c>
      <c r="E785" s="1">
        <v>45353</v>
      </c>
      <c r="F785" s="1">
        <v>45361</v>
      </c>
      <c r="G785" t="s">
        <v>100</v>
      </c>
      <c r="H785" t="s">
        <v>61</v>
      </c>
      <c r="I785" t="s">
        <v>41</v>
      </c>
      <c r="J785" t="s">
        <v>1169</v>
      </c>
      <c r="K785" t="s">
        <v>22</v>
      </c>
      <c r="M785" t="s">
        <v>35</v>
      </c>
      <c r="N785">
        <v>3</v>
      </c>
      <c r="O785" t="s">
        <v>36</v>
      </c>
    </row>
    <row r="786" spans="1:15" x14ac:dyDescent="0.2">
      <c r="A786">
        <v>784</v>
      </c>
      <c r="B786" t="s">
        <v>140</v>
      </c>
      <c r="C786" t="s">
        <v>92</v>
      </c>
      <c r="D786" s="1">
        <v>33403</v>
      </c>
      <c r="E786" s="1">
        <v>45456</v>
      </c>
      <c r="F786" s="1">
        <v>45459</v>
      </c>
      <c r="G786" t="s">
        <v>40</v>
      </c>
      <c r="H786" t="s">
        <v>66</v>
      </c>
      <c r="I786" t="s">
        <v>67</v>
      </c>
      <c r="J786" t="s">
        <v>1170</v>
      </c>
      <c r="K786" t="s">
        <v>33</v>
      </c>
      <c r="M786" t="s">
        <v>35</v>
      </c>
      <c r="N786">
        <v>2</v>
      </c>
      <c r="O786" t="s">
        <v>25</v>
      </c>
    </row>
    <row r="787" spans="1:15" x14ac:dyDescent="0.2">
      <c r="A787" t="s">
        <v>1171</v>
      </c>
      <c r="B787" t="s">
        <v>105</v>
      </c>
      <c r="C787" t="s">
        <v>92</v>
      </c>
      <c r="D787" s="1">
        <v>36510</v>
      </c>
      <c r="E787" s="1">
        <v>45328</v>
      </c>
      <c r="G787" t="s">
        <v>72</v>
      </c>
      <c r="H787" t="s">
        <v>66</v>
      </c>
      <c r="I787" t="s">
        <v>76</v>
      </c>
      <c r="J787" t="s">
        <v>1172</v>
      </c>
      <c r="K787" t="s">
        <v>43</v>
      </c>
      <c r="L787" t="s">
        <v>23</v>
      </c>
      <c r="M787" t="s">
        <v>24</v>
      </c>
      <c r="N787">
        <v>6</v>
      </c>
      <c r="O787" t="s">
        <v>25</v>
      </c>
    </row>
    <row r="788" spans="1:15" x14ac:dyDescent="0.2">
      <c r="A788" t="s">
        <v>1173</v>
      </c>
      <c r="B788" t="s">
        <v>16</v>
      </c>
      <c r="C788" t="s">
        <v>49</v>
      </c>
      <c r="D788" s="1">
        <v>25920</v>
      </c>
      <c r="E788" s="1">
        <v>45389</v>
      </c>
      <c r="F788" s="1">
        <v>45403</v>
      </c>
      <c r="G788" t="s">
        <v>18</v>
      </c>
      <c r="H788" t="s">
        <v>66</v>
      </c>
      <c r="I788" t="s">
        <v>41</v>
      </c>
      <c r="J788" t="s">
        <v>864</v>
      </c>
      <c r="K788" t="s">
        <v>43</v>
      </c>
      <c r="L788" t="s">
        <v>34</v>
      </c>
      <c r="M788" t="s">
        <v>35</v>
      </c>
      <c r="N788">
        <v>15</v>
      </c>
      <c r="O788" t="s">
        <v>36</v>
      </c>
    </row>
    <row r="789" spans="1:15" x14ac:dyDescent="0.2">
      <c r="A789" t="s">
        <v>1174</v>
      </c>
      <c r="B789" t="s">
        <v>118</v>
      </c>
      <c r="C789" t="s">
        <v>92</v>
      </c>
      <c r="D789" s="1">
        <v>38450</v>
      </c>
      <c r="E789" s="1">
        <v>45407</v>
      </c>
      <c r="F789" s="1">
        <v>45417</v>
      </c>
      <c r="G789" t="s">
        <v>83</v>
      </c>
      <c r="H789" t="s">
        <v>75</v>
      </c>
      <c r="I789" t="s">
        <v>76</v>
      </c>
      <c r="J789" t="s">
        <v>1175</v>
      </c>
      <c r="K789" t="s">
        <v>71</v>
      </c>
      <c r="M789" t="s">
        <v>35</v>
      </c>
    </row>
    <row r="790" spans="1:15" x14ac:dyDescent="0.2">
      <c r="A790" t="s">
        <v>1176</v>
      </c>
      <c r="B790" t="s">
        <v>140</v>
      </c>
      <c r="C790" t="s">
        <v>28</v>
      </c>
      <c r="D790" s="1">
        <v>26692</v>
      </c>
      <c r="E790" s="1">
        <v>45386</v>
      </c>
      <c r="F790" s="1">
        <v>45391</v>
      </c>
      <c r="G790" t="s">
        <v>88</v>
      </c>
      <c r="H790" t="s">
        <v>19</v>
      </c>
      <c r="I790" t="s">
        <v>76</v>
      </c>
      <c r="J790" t="s">
        <v>1177</v>
      </c>
      <c r="K790" t="s">
        <v>71</v>
      </c>
      <c r="L790" t="s">
        <v>23</v>
      </c>
      <c r="M790" t="s">
        <v>24</v>
      </c>
      <c r="N790">
        <v>7</v>
      </c>
      <c r="O790" t="s">
        <v>36</v>
      </c>
    </row>
    <row r="791" spans="1:15" x14ac:dyDescent="0.2">
      <c r="A791">
        <v>789</v>
      </c>
      <c r="B791" t="s">
        <v>114</v>
      </c>
      <c r="C791" t="s">
        <v>49</v>
      </c>
      <c r="D791" s="1">
        <v>33085</v>
      </c>
      <c r="E791" s="1">
        <v>45391</v>
      </c>
      <c r="F791" s="1">
        <v>45397</v>
      </c>
      <c r="G791" t="s">
        <v>46</v>
      </c>
      <c r="H791" t="s">
        <v>75</v>
      </c>
      <c r="I791" t="s">
        <v>57</v>
      </c>
      <c r="J791" t="s">
        <v>1178</v>
      </c>
      <c r="K791" t="s">
        <v>22</v>
      </c>
      <c r="L791" t="s">
        <v>23</v>
      </c>
      <c r="M791" t="s">
        <v>24</v>
      </c>
    </row>
    <row r="792" spans="1:15" x14ac:dyDescent="0.2">
      <c r="A792" t="s">
        <v>1179</v>
      </c>
      <c r="B792" t="s">
        <v>85</v>
      </c>
      <c r="C792" t="s">
        <v>92</v>
      </c>
      <c r="D792" s="1">
        <v>33447</v>
      </c>
      <c r="E792" s="1">
        <v>45387</v>
      </c>
      <c r="F792" s="1">
        <v>45390</v>
      </c>
      <c r="G792" t="s">
        <v>74</v>
      </c>
      <c r="H792" t="s">
        <v>61</v>
      </c>
      <c r="I792" t="s">
        <v>53</v>
      </c>
      <c r="J792" t="s">
        <v>1180</v>
      </c>
      <c r="K792" t="s">
        <v>43</v>
      </c>
      <c r="M792" t="s">
        <v>35</v>
      </c>
      <c r="O792" t="s">
        <v>36</v>
      </c>
    </row>
    <row r="793" spans="1:15" x14ac:dyDescent="0.2">
      <c r="A793" t="s">
        <v>1181</v>
      </c>
      <c r="B793" t="s">
        <v>140</v>
      </c>
      <c r="C793" t="s">
        <v>49</v>
      </c>
      <c r="D793" s="1">
        <v>30856</v>
      </c>
      <c r="E793" s="1">
        <v>45338</v>
      </c>
      <c r="G793" t="s">
        <v>50</v>
      </c>
      <c r="H793" t="s">
        <v>19</v>
      </c>
      <c r="I793" t="s">
        <v>57</v>
      </c>
      <c r="J793" t="s">
        <v>1182</v>
      </c>
      <c r="K793" t="s">
        <v>33</v>
      </c>
      <c r="L793" t="s">
        <v>23</v>
      </c>
      <c r="M793" t="s">
        <v>24</v>
      </c>
      <c r="N793">
        <v>13</v>
      </c>
      <c r="O793" t="s">
        <v>25</v>
      </c>
    </row>
    <row r="794" spans="1:15" x14ac:dyDescent="0.2">
      <c r="A794" t="s">
        <v>1183</v>
      </c>
      <c r="B794" t="s">
        <v>82</v>
      </c>
      <c r="C794" t="s">
        <v>92</v>
      </c>
      <c r="D794" s="1">
        <v>33618</v>
      </c>
      <c r="E794" s="1">
        <v>45325</v>
      </c>
      <c r="F794" s="1">
        <v>45340</v>
      </c>
      <c r="G794" t="s">
        <v>72</v>
      </c>
      <c r="H794" t="s">
        <v>66</v>
      </c>
      <c r="I794" t="s">
        <v>41</v>
      </c>
      <c r="J794" t="s">
        <v>1184</v>
      </c>
      <c r="K794" t="s">
        <v>48</v>
      </c>
      <c r="L794" t="s">
        <v>34</v>
      </c>
      <c r="M794" t="s">
        <v>35</v>
      </c>
      <c r="N794">
        <v>2</v>
      </c>
      <c r="O794" t="s">
        <v>36</v>
      </c>
    </row>
    <row r="795" spans="1:15" x14ac:dyDescent="0.2">
      <c r="A795">
        <v>793</v>
      </c>
      <c r="B795" t="s">
        <v>51</v>
      </c>
      <c r="C795" t="s">
        <v>49</v>
      </c>
      <c r="D795" s="1">
        <v>23198</v>
      </c>
      <c r="E795" s="1">
        <v>45370</v>
      </c>
      <c r="F795" s="1">
        <v>45385</v>
      </c>
      <c r="G795" t="s">
        <v>18</v>
      </c>
      <c r="I795" t="s">
        <v>76</v>
      </c>
      <c r="J795" t="s">
        <v>1185</v>
      </c>
      <c r="K795" t="s">
        <v>22</v>
      </c>
      <c r="M795" t="s">
        <v>78</v>
      </c>
    </row>
    <row r="796" spans="1:15" x14ac:dyDescent="0.2">
      <c r="A796" t="s">
        <v>1186</v>
      </c>
      <c r="B796" t="s">
        <v>87</v>
      </c>
      <c r="C796" t="s">
        <v>97</v>
      </c>
      <c r="D796" s="1">
        <v>31868</v>
      </c>
      <c r="E796" s="1">
        <v>45428</v>
      </c>
      <c r="F796" s="1">
        <v>45437</v>
      </c>
      <c r="G796" t="s">
        <v>60</v>
      </c>
      <c r="H796" t="s">
        <v>75</v>
      </c>
      <c r="I796" t="s">
        <v>41</v>
      </c>
      <c r="J796" t="s">
        <v>1187</v>
      </c>
      <c r="K796" t="s">
        <v>22</v>
      </c>
      <c r="M796" t="s">
        <v>35</v>
      </c>
      <c r="N796">
        <v>3</v>
      </c>
      <c r="O796" t="s">
        <v>36</v>
      </c>
    </row>
    <row r="797" spans="1:15" x14ac:dyDescent="0.2">
      <c r="A797">
        <v>795</v>
      </c>
      <c r="B797" t="s">
        <v>118</v>
      </c>
      <c r="C797" t="s">
        <v>28</v>
      </c>
      <c r="D797" s="1">
        <v>23849</v>
      </c>
      <c r="E797" s="1">
        <v>45442</v>
      </c>
      <c r="F797" s="1">
        <v>45452</v>
      </c>
      <c r="G797" t="s">
        <v>100</v>
      </c>
      <c r="H797" t="s">
        <v>66</v>
      </c>
      <c r="I797" t="s">
        <v>76</v>
      </c>
      <c r="J797" t="s">
        <v>1188</v>
      </c>
      <c r="K797" t="s">
        <v>33</v>
      </c>
      <c r="L797" t="s">
        <v>34</v>
      </c>
      <c r="M797" t="s">
        <v>78</v>
      </c>
      <c r="O797" t="s">
        <v>25</v>
      </c>
    </row>
    <row r="798" spans="1:15" x14ac:dyDescent="0.2">
      <c r="A798" t="s">
        <v>1189</v>
      </c>
      <c r="B798" t="s">
        <v>45</v>
      </c>
      <c r="C798" t="s">
        <v>49</v>
      </c>
      <c r="D798" s="1">
        <v>31162</v>
      </c>
      <c r="E798" s="1">
        <v>45320</v>
      </c>
      <c r="F798" s="1">
        <v>45326</v>
      </c>
      <c r="G798" t="s">
        <v>74</v>
      </c>
      <c r="H798" t="s">
        <v>30</v>
      </c>
      <c r="I798" t="s">
        <v>57</v>
      </c>
      <c r="J798" t="s">
        <v>1190</v>
      </c>
      <c r="K798" t="s">
        <v>43</v>
      </c>
      <c r="M798" t="s">
        <v>35</v>
      </c>
      <c r="N798">
        <v>5</v>
      </c>
      <c r="O798" t="s">
        <v>25</v>
      </c>
    </row>
    <row r="799" spans="1:15" x14ac:dyDescent="0.2">
      <c r="A799" t="s">
        <v>1191</v>
      </c>
      <c r="B799" t="s">
        <v>38</v>
      </c>
      <c r="C799" t="s">
        <v>65</v>
      </c>
      <c r="D799" s="1">
        <v>19032</v>
      </c>
      <c r="E799" s="1">
        <v>45373</v>
      </c>
      <c r="G799" t="s">
        <v>50</v>
      </c>
      <c r="H799" t="s">
        <v>75</v>
      </c>
      <c r="I799" t="s">
        <v>31</v>
      </c>
      <c r="J799">
        <v>638</v>
      </c>
      <c r="K799" t="s">
        <v>71</v>
      </c>
      <c r="M799" t="s">
        <v>35</v>
      </c>
    </row>
    <row r="800" spans="1:15" x14ac:dyDescent="0.2">
      <c r="A800">
        <v>798</v>
      </c>
      <c r="B800" t="s">
        <v>150</v>
      </c>
      <c r="C800" t="s">
        <v>92</v>
      </c>
      <c r="D800" s="1">
        <v>36328</v>
      </c>
      <c r="E800" s="1">
        <v>45325</v>
      </c>
      <c r="F800" s="1">
        <v>45326</v>
      </c>
      <c r="G800" t="s">
        <v>29</v>
      </c>
      <c r="H800" t="s">
        <v>52</v>
      </c>
      <c r="I800" t="s">
        <v>76</v>
      </c>
      <c r="J800">
        <v>878</v>
      </c>
      <c r="K800" t="s">
        <v>48</v>
      </c>
      <c r="M800" t="s">
        <v>24</v>
      </c>
      <c r="N800">
        <v>6</v>
      </c>
    </row>
    <row r="801" spans="1:15" x14ac:dyDescent="0.2">
      <c r="A801">
        <v>799</v>
      </c>
      <c r="B801" t="s">
        <v>82</v>
      </c>
      <c r="C801" t="s">
        <v>49</v>
      </c>
      <c r="D801" s="1">
        <v>29474</v>
      </c>
      <c r="E801" s="1">
        <v>45380</v>
      </c>
      <c r="F801" s="1">
        <v>45388</v>
      </c>
      <c r="G801" t="s">
        <v>60</v>
      </c>
      <c r="H801" t="s">
        <v>66</v>
      </c>
      <c r="I801" t="s">
        <v>76</v>
      </c>
      <c r="J801" t="s">
        <v>1192</v>
      </c>
      <c r="K801" t="s">
        <v>33</v>
      </c>
      <c r="L801" t="s">
        <v>34</v>
      </c>
      <c r="M801" t="s">
        <v>35</v>
      </c>
      <c r="N801">
        <v>13</v>
      </c>
      <c r="O801" t="s">
        <v>25</v>
      </c>
    </row>
    <row r="802" spans="1:15" x14ac:dyDescent="0.2">
      <c r="A802" t="s">
        <v>1193</v>
      </c>
      <c r="B802" t="s">
        <v>150</v>
      </c>
      <c r="C802" t="s">
        <v>97</v>
      </c>
      <c r="D802" s="1">
        <v>30499</v>
      </c>
      <c r="E802" s="1">
        <v>45331</v>
      </c>
      <c r="F802" s="1">
        <v>45345</v>
      </c>
      <c r="G802" t="s">
        <v>88</v>
      </c>
      <c r="H802" t="s">
        <v>75</v>
      </c>
      <c r="I802" t="s">
        <v>20</v>
      </c>
      <c r="J802" t="s">
        <v>124</v>
      </c>
      <c r="K802" t="s">
        <v>22</v>
      </c>
      <c r="M802" t="s">
        <v>24</v>
      </c>
      <c r="N802">
        <v>13</v>
      </c>
    </row>
    <row r="803" spans="1:15" x14ac:dyDescent="0.2">
      <c r="A803" t="s">
        <v>1194</v>
      </c>
      <c r="B803" t="s">
        <v>85</v>
      </c>
      <c r="C803" t="s">
        <v>17</v>
      </c>
      <c r="D803" s="1">
        <v>20104</v>
      </c>
      <c r="E803" s="1">
        <v>45343</v>
      </c>
      <c r="F803" s="1">
        <v>45355</v>
      </c>
      <c r="G803" t="s">
        <v>88</v>
      </c>
      <c r="H803" t="s">
        <v>19</v>
      </c>
      <c r="I803" t="s">
        <v>41</v>
      </c>
      <c r="J803" t="s">
        <v>1195</v>
      </c>
      <c r="K803" t="s">
        <v>48</v>
      </c>
      <c r="L803" t="s">
        <v>34</v>
      </c>
      <c r="M803" t="s">
        <v>78</v>
      </c>
      <c r="N803">
        <v>9</v>
      </c>
      <c r="O803" t="s">
        <v>25</v>
      </c>
    </row>
    <row r="804" spans="1:15" x14ac:dyDescent="0.2">
      <c r="A804">
        <v>802</v>
      </c>
      <c r="B804" t="s">
        <v>51</v>
      </c>
      <c r="C804" t="s">
        <v>49</v>
      </c>
      <c r="D804" s="1">
        <v>34494</v>
      </c>
      <c r="E804" s="1">
        <v>45412</v>
      </c>
      <c r="F804" s="1">
        <v>45422</v>
      </c>
      <c r="G804" t="s">
        <v>100</v>
      </c>
      <c r="H804" t="s">
        <v>52</v>
      </c>
      <c r="I804" t="s">
        <v>57</v>
      </c>
      <c r="J804" t="s">
        <v>1196</v>
      </c>
      <c r="K804" t="s">
        <v>22</v>
      </c>
      <c r="L804" t="s">
        <v>23</v>
      </c>
      <c r="M804" t="s">
        <v>78</v>
      </c>
    </row>
    <row r="805" spans="1:15" x14ac:dyDescent="0.2">
      <c r="A805" t="s">
        <v>1197</v>
      </c>
      <c r="B805" t="s">
        <v>51</v>
      </c>
      <c r="C805" t="s">
        <v>49</v>
      </c>
      <c r="D805" s="1">
        <v>22327</v>
      </c>
      <c r="E805" s="1">
        <v>45340</v>
      </c>
      <c r="F805" s="1">
        <v>45353</v>
      </c>
      <c r="G805" t="s">
        <v>46</v>
      </c>
      <c r="H805" t="s">
        <v>19</v>
      </c>
      <c r="I805" t="s">
        <v>53</v>
      </c>
      <c r="J805" t="s">
        <v>1198</v>
      </c>
      <c r="K805" t="s">
        <v>43</v>
      </c>
      <c r="M805" t="s">
        <v>24</v>
      </c>
      <c r="N805">
        <v>4</v>
      </c>
      <c r="O805" t="s">
        <v>36</v>
      </c>
    </row>
    <row r="806" spans="1:15" x14ac:dyDescent="0.2">
      <c r="A806">
        <v>804</v>
      </c>
      <c r="B806" t="s">
        <v>102</v>
      </c>
      <c r="C806" t="s">
        <v>49</v>
      </c>
      <c r="D806" s="1">
        <v>26153</v>
      </c>
      <c r="E806" s="1">
        <v>45459</v>
      </c>
      <c r="F806" s="1">
        <v>45462</v>
      </c>
      <c r="G806" t="s">
        <v>88</v>
      </c>
      <c r="H806" t="s">
        <v>66</v>
      </c>
      <c r="I806" t="s">
        <v>76</v>
      </c>
      <c r="J806" t="s">
        <v>1199</v>
      </c>
      <c r="K806" t="s">
        <v>43</v>
      </c>
      <c r="M806" t="s">
        <v>35</v>
      </c>
      <c r="N806">
        <v>15</v>
      </c>
    </row>
    <row r="807" spans="1:15" x14ac:dyDescent="0.2">
      <c r="A807">
        <v>805</v>
      </c>
      <c r="B807" t="s">
        <v>64</v>
      </c>
      <c r="C807" t="s">
        <v>49</v>
      </c>
      <c r="D807" s="1">
        <v>21155</v>
      </c>
      <c r="E807" s="1">
        <v>45442</v>
      </c>
      <c r="F807" s="1">
        <v>45452</v>
      </c>
      <c r="G807" t="s">
        <v>18</v>
      </c>
      <c r="H807" t="s">
        <v>30</v>
      </c>
      <c r="I807" t="s">
        <v>53</v>
      </c>
      <c r="J807">
        <v>753</v>
      </c>
      <c r="K807" t="s">
        <v>33</v>
      </c>
      <c r="M807" t="s">
        <v>78</v>
      </c>
      <c r="N807">
        <v>13</v>
      </c>
      <c r="O807" t="s">
        <v>36</v>
      </c>
    </row>
    <row r="808" spans="1:15" x14ac:dyDescent="0.2">
      <c r="A808">
        <v>806</v>
      </c>
      <c r="B808" t="s">
        <v>27</v>
      </c>
      <c r="C808" t="s">
        <v>49</v>
      </c>
      <c r="D808" s="1">
        <v>24499</v>
      </c>
      <c r="E808" s="1">
        <v>45442</v>
      </c>
      <c r="G808" t="s">
        <v>83</v>
      </c>
      <c r="H808" t="s">
        <v>19</v>
      </c>
      <c r="I808" t="s">
        <v>76</v>
      </c>
      <c r="J808" t="s">
        <v>1200</v>
      </c>
      <c r="K808" t="s">
        <v>71</v>
      </c>
      <c r="M808" t="s">
        <v>78</v>
      </c>
      <c r="N808">
        <v>3</v>
      </c>
    </row>
    <row r="809" spans="1:15" x14ac:dyDescent="0.2">
      <c r="A809">
        <v>807</v>
      </c>
      <c r="B809" t="s">
        <v>82</v>
      </c>
      <c r="C809" t="s">
        <v>17</v>
      </c>
      <c r="D809" s="1">
        <v>22832</v>
      </c>
      <c r="E809" s="1">
        <v>45389</v>
      </c>
      <c r="F809" s="1">
        <v>45390</v>
      </c>
      <c r="G809" t="s">
        <v>72</v>
      </c>
      <c r="H809" t="s">
        <v>52</v>
      </c>
      <c r="I809" t="s">
        <v>67</v>
      </c>
      <c r="J809" t="s">
        <v>1201</v>
      </c>
      <c r="K809" t="s">
        <v>22</v>
      </c>
      <c r="L809" t="s">
        <v>34</v>
      </c>
      <c r="M809" t="s">
        <v>35</v>
      </c>
      <c r="N809">
        <v>3</v>
      </c>
      <c r="O809" t="s">
        <v>36</v>
      </c>
    </row>
    <row r="810" spans="1:15" x14ac:dyDescent="0.2">
      <c r="A810">
        <v>808</v>
      </c>
      <c r="B810" t="s">
        <v>51</v>
      </c>
      <c r="C810" t="s">
        <v>17</v>
      </c>
      <c r="D810" s="1">
        <v>34560</v>
      </c>
      <c r="E810" s="1">
        <v>45332</v>
      </c>
      <c r="F810" s="1">
        <v>45346</v>
      </c>
      <c r="G810" t="s">
        <v>50</v>
      </c>
      <c r="H810" t="s">
        <v>52</v>
      </c>
      <c r="I810" t="s">
        <v>76</v>
      </c>
      <c r="J810">
        <v>1342</v>
      </c>
      <c r="K810" t="s">
        <v>71</v>
      </c>
      <c r="M810" t="s">
        <v>35</v>
      </c>
      <c r="N810">
        <v>11</v>
      </c>
      <c r="O810" t="s">
        <v>25</v>
      </c>
    </row>
    <row r="811" spans="1:15" x14ac:dyDescent="0.2">
      <c r="A811">
        <v>809</v>
      </c>
      <c r="B811" t="s">
        <v>16</v>
      </c>
      <c r="C811" t="s">
        <v>17</v>
      </c>
      <c r="D811" s="1">
        <v>28857</v>
      </c>
      <c r="E811" s="1">
        <v>45447</v>
      </c>
      <c r="G811" t="s">
        <v>40</v>
      </c>
      <c r="H811" t="s">
        <v>19</v>
      </c>
      <c r="I811" t="s">
        <v>41</v>
      </c>
      <c r="J811">
        <v>543</v>
      </c>
      <c r="K811" t="s">
        <v>71</v>
      </c>
      <c r="L811" t="s">
        <v>34</v>
      </c>
      <c r="M811" t="s">
        <v>78</v>
      </c>
      <c r="N811">
        <v>6</v>
      </c>
    </row>
    <row r="812" spans="1:15" x14ac:dyDescent="0.2">
      <c r="A812">
        <v>810</v>
      </c>
      <c r="B812" t="s">
        <v>85</v>
      </c>
      <c r="C812" t="s">
        <v>28</v>
      </c>
      <c r="D812" s="1">
        <v>38305</v>
      </c>
      <c r="E812" s="1">
        <v>45445</v>
      </c>
      <c r="F812" s="1">
        <v>45451</v>
      </c>
      <c r="G812" t="s">
        <v>46</v>
      </c>
      <c r="H812" t="s">
        <v>30</v>
      </c>
      <c r="I812" t="s">
        <v>57</v>
      </c>
      <c r="J812" t="s">
        <v>1202</v>
      </c>
      <c r="K812" t="s">
        <v>48</v>
      </c>
      <c r="M812" t="s">
        <v>78</v>
      </c>
      <c r="N812">
        <v>4</v>
      </c>
      <c r="O812" t="s">
        <v>36</v>
      </c>
    </row>
    <row r="813" spans="1:15" x14ac:dyDescent="0.2">
      <c r="A813" t="s">
        <v>1203</v>
      </c>
      <c r="B813" t="s">
        <v>91</v>
      </c>
      <c r="C813" t="s">
        <v>39</v>
      </c>
      <c r="D813" s="1">
        <v>28505</v>
      </c>
      <c r="E813" s="1">
        <v>45363</v>
      </c>
      <c r="F813" s="1">
        <v>45369</v>
      </c>
      <c r="G813" t="s">
        <v>46</v>
      </c>
      <c r="H813" t="s">
        <v>30</v>
      </c>
      <c r="I813" t="s">
        <v>41</v>
      </c>
      <c r="J813" t="s">
        <v>1204</v>
      </c>
      <c r="K813" t="s">
        <v>43</v>
      </c>
      <c r="L813" t="s">
        <v>23</v>
      </c>
      <c r="M813" t="s">
        <v>35</v>
      </c>
      <c r="N813">
        <v>8</v>
      </c>
      <c r="O813" t="s">
        <v>25</v>
      </c>
    </row>
    <row r="814" spans="1:15" x14ac:dyDescent="0.2">
      <c r="A814">
        <v>812</v>
      </c>
      <c r="B814" t="s">
        <v>105</v>
      </c>
      <c r="C814" t="s">
        <v>17</v>
      </c>
      <c r="D814" s="1">
        <v>30851</v>
      </c>
      <c r="E814" s="1">
        <v>45451</v>
      </c>
      <c r="G814" t="s">
        <v>100</v>
      </c>
      <c r="H814" t="s">
        <v>19</v>
      </c>
      <c r="I814" t="s">
        <v>57</v>
      </c>
      <c r="J814" t="s">
        <v>1205</v>
      </c>
      <c r="K814" t="s">
        <v>71</v>
      </c>
      <c r="M814" t="s">
        <v>35</v>
      </c>
      <c r="N814">
        <v>5</v>
      </c>
    </row>
    <row r="815" spans="1:15" x14ac:dyDescent="0.2">
      <c r="A815" t="s">
        <v>1206</v>
      </c>
      <c r="B815" t="s">
        <v>102</v>
      </c>
      <c r="C815" t="s">
        <v>39</v>
      </c>
      <c r="D815" s="1">
        <v>20198</v>
      </c>
      <c r="E815" s="1">
        <v>45355</v>
      </c>
      <c r="F815" s="1">
        <v>45361</v>
      </c>
      <c r="G815" t="s">
        <v>18</v>
      </c>
      <c r="H815" t="s">
        <v>19</v>
      </c>
      <c r="I815" t="s">
        <v>57</v>
      </c>
      <c r="J815" t="s">
        <v>1207</v>
      </c>
      <c r="K815" t="s">
        <v>33</v>
      </c>
      <c r="M815" t="s">
        <v>78</v>
      </c>
      <c r="N815">
        <v>9</v>
      </c>
      <c r="O815" t="s">
        <v>25</v>
      </c>
    </row>
    <row r="816" spans="1:15" x14ac:dyDescent="0.2">
      <c r="A816" t="s">
        <v>1208</v>
      </c>
      <c r="B816" t="s">
        <v>51</v>
      </c>
      <c r="C816" t="s">
        <v>65</v>
      </c>
      <c r="D816" s="1">
        <v>38091</v>
      </c>
      <c r="E816" s="1">
        <v>45367</v>
      </c>
      <c r="F816" s="1">
        <v>45371</v>
      </c>
      <c r="G816" t="s">
        <v>50</v>
      </c>
      <c r="I816" t="s">
        <v>76</v>
      </c>
      <c r="J816" t="s">
        <v>1209</v>
      </c>
      <c r="K816" t="s">
        <v>33</v>
      </c>
      <c r="M816" t="s">
        <v>35</v>
      </c>
      <c r="O816" t="s">
        <v>25</v>
      </c>
    </row>
    <row r="817" spans="1:15" x14ac:dyDescent="0.2">
      <c r="A817" t="s">
        <v>1210</v>
      </c>
      <c r="B817" t="s">
        <v>82</v>
      </c>
      <c r="C817" t="s">
        <v>17</v>
      </c>
      <c r="D817" s="1">
        <v>30343</v>
      </c>
      <c r="E817" s="1">
        <v>45329</v>
      </c>
      <c r="F817" s="1">
        <v>45338</v>
      </c>
      <c r="G817" t="s">
        <v>18</v>
      </c>
      <c r="H817" t="s">
        <v>19</v>
      </c>
      <c r="I817" t="s">
        <v>41</v>
      </c>
      <c r="J817" t="s">
        <v>1211</v>
      </c>
      <c r="K817" t="s">
        <v>33</v>
      </c>
      <c r="M817" t="s">
        <v>78</v>
      </c>
    </row>
    <row r="818" spans="1:15" x14ac:dyDescent="0.2">
      <c r="A818">
        <v>816</v>
      </c>
      <c r="B818" t="s">
        <v>45</v>
      </c>
      <c r="C818" t="s">
        <v>97</v>
      </c>
      <c r="D818" s="1">
        <v>37481</v>
      </c>
      <c r="E818" s="1">
        <v>45374</v>
      </c>
      <c r="G818" t="s">
        <v>83</v>
      </c>
      <c r="H818" t="s">
        <v>61</v>
      </c>
      <c r="I818" t="s">
        <v>76</v>
      </c>
      <c r="J818" t="s">
        <v>1212</v>
      </c>
      <c r="K818" t="s">
        <v>33</v>
      </c>
      <c r="M818" t="s">
        <v>24</v>
      </c>
      <c r="O818" t="s">
        <v>36</v>
      </c>
    </row>
    <row r="819" spans="1:15" x14ac:dyDescent="0.2">
      <c r="A819" t="s">
        <v>1213</v>
      </c>
      <c r="B819" t="s">
        <v>59</v>
      </c>
      <c r="C819" t="s">
        <v>28</v>
      </c>
      <c r="D819" s="1">
        <v>24096</v>
      </c>
      <c r="E819" s="1">
        <v>45448</v>
      </c>
      <c r="F819" s="1">
        <v>45454</v>
      </c>
      <c r="G819" t="s">
        <v>40</v>
      </c>
      <c r="H819" t="s">
        <v>66</v>
      </c>
      <c r="I819" t="s">
        <v>53</v>
      </c>
      <c r="J819">
        <v>370</v>
      </c>
      <c r="K819" t="s">
        <v>48</v>
      </c>
      <c r="L819" t="s">
        <v>34</v>
      </c>
      <c r="M819" t="s">
        <v>35</v>
      </c>
    </row>
    <row r="820" spans="1:15" x14ac:dyDescent="0.2">
      <c r="A820" t="s">
        <v>1214</v>
      </c>
      <c r="B820" t="s">
        <v>91</v>
      </c>
      <c r="C820" t="s">
        <v>17</v>
      </c>
      <c r="D820" s="1">
        <v>30070</v>
      </c>
      <c r="E820" s="1">
        <v>45378</v>
      </c>
      <c r="F820" s="1">
        <v>45391</v>
      </c>
      <c r="G820" t="s">
        <v>100</v>
      </c>
      <c r="H820" t="s">
        <v>19</v>
      </c>
      <c r="I820" t="s">
        <v>57</v>
      </c>
      <c r="J820">
        <v>227</v>
      </c>
      <c r="K820" t="s">
        <v>71</v>
      </c>
      <c r="L820" t="s">
        <v>23</v>
      </c>
      <c r="M820" t="s">
        <v>24</v>
      </c>
      <c r="N820">
        <v>14</v>
      </c>
      <c r="O820" t="s">
        <v>25</v>
      </c>
    </row>
    <row r="821" spans="1:15" x14ac:dyDescent="0.2">
      <c r="A821">
        <v>819</v>
      </c>
      <c r="B821" t="s">
        <v>140</v>
      </c>
      <c r="C821" t="s">
        <v>17</v>
      </c>
      <c r="D821" s="1">
        <v>26808</v>
      </c>
      <c r="E821" s="1">
        <v>45353</v>
      </c>
      <c r="F821" s="1">
        <v>45362</v>
      </c>
      <c r="G821" t="s">
        <v>88</v>
      </c>
      <c r="H821" t="s">
        <v>75</v>
      </c>
      <c r="I821" t="s">
        <v>41</v>
      </c>
      <c r="J821">
        <v>561</v>
      </c>
      <c r="K821" t="s">
        <v>48</v>
      </c>
      <c r="L821" t="s">
        <v>34</v>
      </c>
      <c r="M821" t="s">
        <v>35</v>
      </c>
      <c r="N821">
        <v>3</v>
      </c>
      <c r="O821" t="s">
        <v>25</v>
      </c>
    </row>
    <row r="822" spans="1:15" x14ac:dyDescent="0.2">
      <c r="A822" t="s">
        <v>1215</v>
      </c>
      <c r="B822" t="s">
        <v>59</v>
      </c>
      <c r="C822" t="s">
        <v>92</v>
      </c>
      <c r="D822" s="1">
        <v>30962</v>
      </c>
      <c r="E822" s="1">
        <v>45296</v>
      </c>
      <c r="F822" s="1">
        <v>45307</v>
      </c>
      <c r="G822" t="s">
        <v>40</v>
      </c>
      <c r="H822" t="s">
        <v>66</v>
      </c>
      <c r="I822" t="s">
        <v>20</v>
      </c>
      <c r="J822" t="s">
        <v>1216</v>
      </c>
      <c r="K822" t="s">
        <v>22</v>
      </c>
      <c r="L822" t="s">
        <v>23</v>
      </c>
      <c r="M822" t="s">
        <v>24</v>
      </c>
      <c r="N822">
        <v>6</v>
      </c>
    </row>
    <row r="823" spans="1:15" x14ac:dyDescent="0.2">
      <c r="A823" t="s">
        <v>1217</v>
      </c>
      <c r="B823" t="s">
        <v>119</v>
      </c>
      <c r="C823" t="s">
        <v>92</v>
      </c>
      <c r="D823" s="1">
        <v>34947</v>
      </c>
      <c r="E823" s="1">
        <v>45393</v>
      </c>
      <c r="F823" s="1">
        <v>45394</v>
      </c>
      <c r="G823" t="s">
        <v>60</v>
      </c>
      <c r="H823" t="s">
        <v>61</v>
      </c>
      <c r="I823" t="s">
        <v>31</v>
      </c>
      <c r="J823">
        <v>1146</v>
      </c>
      <c r="K823" t="s">
        <v>22</v>
      </c>
      <c r="L823" t="s">
        <v>23</v>
      </c>
      <c r="M823" t="s">
        <v>24</v>
      </c>
      <c r="O823" t="s">
        <v>25</v>
      </c>
    </row>
    <row r="824" spans="1:15" x14ac:dyDescent="0.2">
      <c r="A824">
        <v>822</v>
      </c>
      <c r="B824" t="s">
        <v>38</v>
      </c>
      <c r="C824" t="s">
        <v>28</v>
      </c>
      <c r="D824" s="1">
        <v>22168</v>
      </c>
      <c r="E824" s="1">
        <v>45407</v>
      </c>
      <c r="F824" s="1">
        <v>45418</v>
      </c>
      <c r="G824" t="s">
        <v>50</v>
      </c>
      <c r="H824" t="s">
        <v>52</v>
      </c>
      <c r="I824" t="s">
        <v>20</v>
      </c>
      <c r="J824">
        <v>185</v>
      </c>
      <c r="K824" t="s">
        <v>48</v>
      </c>
      <c r="L824" t="s">
        <v>23</v>
      </c>
      <c r="M824" t="s">
        <v>35</v>
      </c>
      <c r="N824">
        <v>12</v>
      </c>
    </row>
    <row r="825" spans="1:15" x14ac:dyDescent="0.2">
      <c r="A825">
        <v>823</v>
      </c>
      <c r="B825" t="s">
        <v>51</v>
      </c>
      <c r="C825" t="s">
        <v>65</v>
      </c>
      <c r="D825" s="1">
        <v>28204</v>
      </c>
      <c r="E825" s="1">
        <v>45410</v>
      </c>
      <c r="F825" s="1">
        <v>45414</v>
      </c>
      <c r="G825" t="s">
        <v>50</v>
      </c>
      <c r="H825" t="s">
        <v>61</v>
      </c>
      <c r="I825" t="s">
        <v>20</v>
      </c>
      <c r="J825" t="s">
        <v>1218</v>
      </c>
      <c r="K825" t="s">
        <v>22</v>
      </c>
      <c r="L825" t="s">
        <v>23</v>
      </c>
      <c r="M825" t="s">
        <v>78</v>
      </c>
    </row>
    <row r="826" spans="1:15" x14ac:dyDescent="0.2">
      <c r="A826">
        <v>824</v>
      </c>
      <c r="B826" t="s">
        <v>59</v>
      </c>
      <c r="C826" t="s">
        <v>28</v>
      </c>
      <c r="D826" s="1">
        <v>31068</v>
      </c>
      <c r="E826" s="1">
        <v>45417</v>
      </c>
      <c r="F826" s="1">
        <v>45422</v>
      </c>
      <c r="G826" t="s">
        <v>74</v>
      </c>
      <c r="H826" t="s">
        <v>61</v>
      </c>
      <c r="I826" t="s">
        <v>20</v>
      </c>
      <c r="J826" t="s">
        <v>1219</v>
      </c>
      <c r="K826" t="s">
        <v>43</v>
      </c>
      <c r="L826" t="s">
        <v>34</v>
      </c>
      <c r="M826" t="s">
        <v>35</v>
      </c>
      <c r="N826">
        <v>15</v>
      </c>
      <c r="O826" t="s">
        <v>25</v>
      </c>
    </row>
    <row r="827" spans="1:15" x14ac:dyDescent="0.2">
      <c r="A827">
        <v>825</v>
      </c>
      <c r="B827" t="s">
        <v>114</v>
      </c>
      <c r="C827" t="s">
        <v>28</v>
      </c>
      <c r="D827" s="1">
        <v>36879</v>
      </c>
      <c r="E827" s="1">
        <v>45316</v>
      </c>
      <c r="F827" s="1">
        <v>45327</v>
      </c>
      <c r="G827" t="s">
        <v>29</v>
      </c>
      <c r="H827" t="s">
        <v>75</v>
      </c>
      <c r="I827" t="s">
        <v>31</v>
      </c>
      <c r="J827" t="s">
        <v>1220</v>
      </c>
      <c r="K827" t="s">
        <v>71</v>
      </c>
      <c r="L827" t="s">
        <v>34</v>
      </c>
      <c r="M827" t="s">
        <v>78</v>
      </c>
      <c r="N827">
        <v>15</v>
      </c>
      <c r="O827" t="s">
        <v>25</v>
      </c>
    </row>
    <row r="828" spans="1:15" x14ac:dyDescent="0.2">
      <c r="A828">
        <v>826</v>
      </c>
      <c r="B828" t="s">
        <v>87</v>
      </c>
      <c r="C828" t="s">
        <v>92</v>
      </c>
      <c r="D828" s="1">
        <v>33236</v>
      </c>
      <c r="E828" s="1">
        <v>45322</v>
      </c>
      <c r="F828" s="1">
        <v>45337</v>
      </c>
      <c r="G828" t="s">
        <v>46</v>
      </c>
      <c r="H828" t="s">
        <v>66</v>
      </c>
      <c r="I828" t="s">
        <v>20</v>
      </c>
      <c r="J828" t="s">
        <v>1221</v>
      </c>
      <c r="K828" t="s">
        <v>71</v>
      </c>
      <c r="M828" t="s">
        <v>78</v>
      </c>
    </row>
    <row r="829" spans="1:15" x14ac:dyDescent="0.2">
      <c r="A829">
        <v>827</v>
      </c>
      <c r="B829" t="s">
        <v>150</v>
      </c>
      <c r="C829" t="s">
        <v>49</v>
      </c>
      <c r="D829" s="1">
        <v>23287</v>
      </c>
      <c r="E829" s="1">
        <v>45308</v>
      </c>
      <c r="F829" s="1">
        <v>45309</v>
      </c>
      <c r="G829" t="s">
        <v>100</v>
      </c>
      <c r="H829" t="s">
        <v>19</v>
      </c>
      <c r="I829" t="s">
        <v>41</v>
      </c>
      <c r="J829">
        <v>1053</v>
      </c>
      <c r="K829" t="s">
        <v>22</v>
      </c>
      <c r="L829" t="s">
        <v>34</v>
      </c>
      <c r="M829" t="s">
        <v>24</v>
      </c>
      <c r="N829">
        <v>11</v>
      </c>
      <c r="O829" t="s">
        <v>25</v>
      </c>
    </row>
    <row r="830" spans="1:15" x14ac:dyDescent="0.2">
      <c r="A830">
        <v>828</v>
      </c>
      <c r="B830" t="s">
        <v>45</v>
      </c>
      <c r="C830" t="s">
        <v>49</v>
      </c>
      <c r="D830" s="1">
        <v>33965</v>
      </c>
      <c r="E830" s="1">
        <v>45360</v>
      </c>
      <c r="F830" s="1">
        <v>45374</v>
      </c>
      <c r="G830" t="s">
        <v>50</v>
      </c>
      <c r="H830" t="s">
        <v>75</v>
      </c>
      <c r="I830" t="s">
        <v>76</v>
      </c>
      <c r="J830" t="s">
        <v>1222</v>
      </c>
      <c r="K830" t="s">
        <v>43</v>
      </c>
      <c r="M830" t="s">
        <v>24</v>
      </c>
      <c r="N830">
        <v>8</v>
      </c>
      <c r="O830" t="s">
        <v>25</v>
      </c>
    </row>
    <row r="831" spans="1:15" x14ac:dyDescent="0.2">
      <c r="A831" t="s">
        <v>1223</v>
      </c>
      <c r="B831" t="s">
        <v>80</v>
      </c>
      <c r="C831" t="s">
        <v>92</v>
      </c>
      <c r="D831" s="1">
        <v>30192</v>
      </c>
      <c r="E831" s="1">
        <v>45445</v>
      </c>
      <c r="F831" s="1">
        <v>45453</v>
      </c>
      <c r="G831" t="s">
        <v>83</v>
      </c>
      <c r="H831" t="s">
        <v>75</v>
      </c>
      <c r="I831" t="s">
        <v>31</v>
      </c>
      <c r="J831" t="s">
        <v>1224</v>
      </c>
      <c r="K831" t="s">
        <v>33</v>
      </c>
      <c r="M831" t="s">
        <v>78</v>
      </c>
      <c r="O831" t="s">
        <v>36</v>
      </c>
    </row>
    <row r="832" spans="1:15" x14ac:dyDescent="0.2">
      <c r="A832">
        <v>830</v>
      </c>
      <c r="B832" t="s">
        <v>114</v>
      </c>
      <c r="C832" t="s">
        <v>92</v>
      </c>
      <c r="D832" s="1">
        <v>27846</v>
      </c>
      <c r="E832" s="1">
        <v>45464</v>
      </c>
      <c r="F832" s="1">
        <v>45471</v>
      </c>
      <c r="G832" t="s">
        <v>29</v>
      </c>
      <c r="H832" t="s">
        <v>66</v>
      </c>
      <c r="I832" t="s">
        <v>57</v>
      </c>
      <c r="J832" t="s">
        <v>1225</v>
      </c>
      <c r="K832" t="s">
        <v>33</v>
      </c>
      <c r="M832" t="s">
        <v>24</v>
      </c>
      <c r="N832">
        <v>13</v>
      </c>
    </row>
    <row r="833" spans="1:15" x14ac:dyDescent="0.2">
      <c r="A833" t="s">
        <v>1226</v>
      </c>
      <c r="B833" t="s">
        <v>140</v>
      </c>
      <c r="C833" t="s">
        <v>17</v>
      </c>
      <c r="D833" s="1">
        <v>29518</v>
      </c>
      <c r="E833" s="1">
        <v>45445</v>
      </c>
      <c r="F833" s="1">
        <v>45459</v>
      </c>
      <c r="G833" t="s">
        <v>18</v>
      </c>
      <c r="H833" t="s">
        <v>52</v>
      </c>
      <c r="I833" t="s">
        <v>41</v>
      </c>
      <c r="J833">
        <v>521</v>
      </c>
      <c r="K833" t="s">
        <v>48</v>
      </c>
      <c r="M833" t="s">
        <v>35</v>
      </c>
      <c r="N833">
        <v>9</v>
      </c>
      <c r="O833" t="s">
        <v>25</v>
      </c>
    </row>
    <row r="834" spans="1:15" x14ac:dyDescent="0.2">
      <c r="A834" t="s">
        <v>1227</v>
      </c>
      <c r="B834" t="s">
        <v>16</v>
      </c>
      <c r="C834" t="s">
        <v>65</v>
      </c>
      <c r="D834" s="1">
        <v>18396</v>
      </c>
      <c r="E834" s="1">
        <v>45432</v>
      </c>
      <c r="F834" s="1">
        <v>45443</v>
      </c>
      <c r="G834" t="s">
        <v>100</v>
      </c>
      <c r="H834" t="s">
        <v>66</v>
      </c>
      <c r="I834" t="s">
        <v>31</v>
      </c>
      <c r="J834">
        <v>864</v>
      </c>
      <c r="K834" t="s">
        <v>43</v>
      </c>
      <c r="M834" t="s">
        <v>35</v>
      </c>
      <c r="N834">
        <v>12</v>
      </c>
      <c r="O834" t="s">
        <v>36</v>
      </c>
    </row>
    <row r="835" spans="1:15" x14ac:dyDescent="0.2">
      <c r="A835" t="s">
        <v>1228</v>
      </c>
      <c r="B835" t="s">
        <v>16</v>
      </c>
      <c r="C835" t="s">
        <v>97</v>
      </c>
      <c r="D835" s="1">
        <v>39250</v>
      </c>
      <c r="E835" s="1">
        <v>45331</v>
      </c>
      <c r="F835" s="1">
        <v>45346</v>
      </c>
      <c r="G835" t="s">
        <v>100</v>
      </c>
      <c r="H835" t="s">
        <v>52</v>
      </c>
      <c r="I835" t="s">
        <v>20</v>
      </c>
      <c r="J835" t="s">
        <v>1229</v>
      </c>
      <c r="K835" t="s">
        <v>71</v>
      </c>
      <c r="M835" t="s">
        <v>35</v>
      </c>
      <c r="N835">
        <v>2</v>
      </c>
      <c r="O835" t="s">
        <v>25</v>
      </c>
    </row>
    <row r="836" spans="1:15" x14ac:dyDescent="0.2">
      <c r="A836" t="s">
        <v>1230</v>
      </c>
      <c r="B836" t="s">
        <v>64</v>
      </c>
      <c r="C836" t="s">
        <v>17</v>
      </c>
      <c r="D836" s="1">
        <v>27956</v>
      </c>
      <c r="E836" s="1">
        <v>45345</v>
      </c>
      <c r="F836" s="1">
        <v>45356</v>
      </c>
      <c r="G836" t="s">
        <v>74</v>
      </c>
      <c r="H836" t="s">
        <v>30</v>
      </c>
      <c r="I836" t="s">
        <v>76</v>
      </c>
      <c r="J836">
        <v>343</v>
      </c>
      <c r="K836" t="s">
        <v>33</v>
      </c>
      <c r="M836" t="s">
        <v>35</v>
      </c>
      <c r="N836">
        <v>5</v>
      </c>
      <c r="O836" t="s">
        <v>36</v>
      </c>
    </row>
    <row r="837" spans="1:15" x14ac:dyDescent="0.2">
      <c r="A837">
        <v>835</v>
      </c>
      <c r="B837" t="s">
        <v>102</v>
      </c>
      <c r="C837" t="s">
        <v>97</v>
      </c>
      <c r="D837" s="1">
        <v>28218</v>
      </c>
      <c r="E837" s="1">
        <v>45450</v>
      </c>
      <c r="F837" s="1">
        <v>45460</v>
      </c>
      <c r="G837" t="s">
        <v>72</v>
      </c>
      <c r="H837" t="s">
        <v>19</v>
      </c>
      <c r="I837" t="s">
        <v>20</v>
      </c>
      <c r="J837" t="s">
        <v>757</v>
      </c>
      <c r="K837" t="s">
        <v>33</v>
      </c>
      <c r="L837" t="s">
        <v>34</v>
      </c>
      <c r="M837" t="s">
        <v>78</v>
      </c>
      <c r="N837">
        <v>14</v>
      </c>
      <c r="O837" t="s">
        <v>36</v>
      </c>
    </row>
    <row r="838" spans="1:15" x14ac:dyDescent="0.2">
      <c r="A838" t="s">
        <v>1231</v>
      </c>
      <c r="B838" t="s">
        <v>16</v>
      </c>
      <c r="C838" t="s">
        <v>28</v>
      </c>
      <c r="D838" s="1">
        <v>37502</v>
      </c>
      <c r="E838" s="1">
        <v>45467</v>
      </c>
      <c r="F838" s="1">
        <v>45474</v>
      </c>
      <c r="G838" t="s">
        <v>100</v>
      </c>
      <c r="I838" t="s">
        <v>20</v>
      </c>
      <c r="J838" t="s">
        <v>1185</v>
      </c>
      <c r="K838" t="s">
        <v>43</v>
      </c>
      <c r="L838" t="s">
        <v>34</v>
      </c>
      <c r="M838" t="s">
        <v>35</v>
      </c>
    </row>
    <row r="839" spans="1:15" x14ac:dyDescent="0.2">
      <c r="A839" t="s">
        <v>1232</v>
      </c>
      <c r="B839" t="s">
        <v>16</v>
      </c>
      <c r="C839" t="s">
        <v>28</v>
      </c>
      <c r="D839" s="1">
        <v>30710</v>
      </c>
      <c r="E839" s="1">
        <v>45353</v>
      </c>
      <c r="G839" t="s">
        <v>60</v>
      </c>
      <c r="H839" t="s">
        <v>61</v>
      </c>
      <c r="I839" t="s">
        <v>41</v>
      </c>
      <c r="J839" t="s">
        <v>1233</v>
      </c>
      <c r="K839" t="s">
        <v>43</v>
      </c>
      <c r="M839" t="s">
        <v>35</v>
      </c>
      <c r="O839" t="s">
        <v>25</v>
      </c>
    </row>
    <row r="840" spans="1:15" x14ac:dyDescent="0.2">
      <c r="A840" t="s">
        <v>1234</v>
      </c>
      <c r="B840" t="s">
        <v>64</v>
      </c>
      <c r="C840" t="s">
        <v>65</v>
      </c>
      <c r="D840" s="1">
        <v>32827</v>
      </c>
      <c r="E840" s="1">
        <v>45420</v>
      </c>
      <c r="F840" s="1">
        <v>45432</v>
      </c>
      <c r="G840" t="s">
        <v>40</v>
      </c>
      <c r="H840" t="s">
        <v>75</v>
      </c>
      <c r="I840" t="s">
        <v>53</v>
      </c>
      <c r="J840" t="s">
        <v>1235</v>
      </c>
      <c r="K840" t="s">
        <v>43</v>
      </c>
      <c r="L840" t="s">
        <v>34</v>
      </c>
      <c r="M840" t="s">
        <v>24</v>
      </c>
      <c r="N840">
        <v>3</v>
      </c>
      <c r="O840" t="s">
        <v>36</v>
      </c>
    </row>
    <row r="841" spans="1:15" x14ac:dyDescent="0.2">
      <c r="A841">
        <v>839</v>
      </c>
      <c r="B841" t="s">
        <v>140</v>
      </c>
      <c r="C841" t="s">
        <v>17</v>
      </c>
      <c r="D841" s="1">
        <v>27776</v>
      </c>
      <c r="E841" s="1">
        <v>45401</v>
      </c>
      <c r="F841" s="1">
        <v>45415</v>
      </c>
      <c r="G841" t="s">
        <v>50</v>
      </c>
      <c r="H841" t="s">
        <v>19</v>
      </c>
      <c r="I841" t="s">
        <v>76</v>
      </c>
      <c r="J841" t="s">
        <v>1187</v>
      </c>
      <c r="K841" t="s">
        <v>71</v>
      </c>
      <c r="L841" t="s">
        <v>23</v>
      </c>
      <c r="M841" t="s">
        <v>78</v>
      </c>
      <c r="O841" t="s">
        <v>25</v>
      </c>
    </row>
    <row r="842" spans="1:15" x14ac:dyDescent="0.2">
      <c r="A842" t="s">
        <v>1236</v>
      </c>
      <c r="B842" t="s">
        <v>59</v>
      </c>
      <c r="C842" t="s">
        <v>39</v>
      </c>
      <c r="D842" s="1">
        <v>37386</v>
      </c>
      <c r="E842" s="1">
        <v>45350</v>
      </c>
      <c r="F842" s="1">
        <v>45365</v>
      </c>
      <c r="G842" t="s">
        <v>74</v>
      </c>
      <c r="H842" t="s">
        <v>52</v>
      </c>
      <c r="I842" t="s">
        <v>67</v>
      </c>
      <c r="J842" t="s">
        <v>437</v>
      </c>
      <c r="K842" t="s">
        <v>71</v>
      </c>
      <c r="M842" t="s">
        <v>78</v>
      </c>
      <c r="N842">
        <v>7</v>
      </c>
      <c r="O842" t="s">
        <v>25</v>
      </c>
    </row>
    <row r="843" spans="1:15" x14ac:dyDescent="0.2">
      <c r="A843" t="s">
        <v>1237</v>
      </c>
      <c r="B843" t="s">
        <v>105</v>
      </c>
      <c r="C843" t="s">
        <v>49</v>
      </c>
      <c r="D843" s="1">
        <v>30332</v>
      </c>
      <c r="E843" s="1">
        <v>45399</v>
      </c>
      <c r="G843" t="s">
        <v>29</v>
      </c>
      <c r="H843" t="s">
        <v>61</v>
      </c>
      <c r="I843" t="s">
        <v>53</v>
      </c>
      <c r="J843" t="s">
        <v>1238</v>
      </c>
      <c r="K843" t="s">
        <v>48</v>
      </c>
      <c r="L843" t="s">
        <v>34</v>
      </c>
      <c r="M843" t="s">
        <v>78</v>
      </c>
      <c r="N843">
        <v>11</v>
      </c>
      <c r="O843" t="s">
        <v>36</v>
      </c>
    </row>
    <row r="844" spans="1:15" x14ac:dyDescent="0.2">
      <c r="A844">
        <v>842</v>
      </c>
      <c r="B844" t="s">
        <v>118</v>
      </c>
      <c r="C844" t="s">
        <v>65</v>
      </c>
      <c r="D844" s="1">
        <v>26234</v>
      </c>
      <c r="E844" s="1">
        <v>45322</v>
      </c>
      <c r="F844" s="1">
        <v>45332</v>
      </c>
      <c r="G844" t="s">
        <v>72</v>
      </c>
      <c r="H844" t="s">
        <v>52</v>
      </c>
      <c r="I844" t="s">
        <v>76</v>
      </c>
      <c r="J844" t="s">
        <v>1239</v>
      </c>
      <c r="K844" t="s">
        <v>43</v>
      </c>
      <c r="M844" t="s">
        <v>78</v>
      </c>
    </row>
    <row r="845" spans="1:15" x14ac:dyDescent="0.2">
      <c r="A845" t="s">
        <v>1240</v>
      </c>
      <c r="B845" t="s">
        <v>119</v>
      </c>
      <c r="C845" t="s">
        <v>28</v>
      </c>
      <c r="D845" s="1">
        <v>22060</v>
      </c>
      <c r="E845" s="1">
        <v>45351</v>
      </c>
      <c r="G845" t="s">
        <v>46</v>
      </c>
      <c r="H845" t="s">
        <v>75</v>
      </c>
      <c r="I845" t="s">
        <v>53</v>
      </c>
      <c r="J845" t="s">
        <v>1241</v>
      </c>
      <c r="K845" t="s">
        <v>33</v>
      </c>
      <c r="L845" t="s">
        <v>34</v>
      </c>
      <c r="M845" t="s">
        <v>24</v>
      </c>
      <c r="N845">
        <v>2</v>
      </c>
    </row>
    <row r="846" spans="1:15" x14ac:dyDescent="0.2">
      <c r="A846" t="s">
        <v>1242</v>
      </c>
      <c r="B846" t="s">
        <v>38</v>
      </c>
      <c r="C846" t="s">
        <v>65</v>
      </c>
      <c r="D846" s="1">
        <v>35648</v>
      </c>
      <c r="E846" s="1">
        <v>45369</v>
      </c>
      <c r="F846" s="1">
        <v>45373</v>
      </c>
      <c r="G846" t="s">
        <v>50</v>
      </c>
      <c r="H846" t="s">
        <v>52</v>
      </c>
      <c r="I846" t="s">
        <v>53</v>
      </c>
      <c r="J846">
        <v>1072</v>
      </c>
      <c r="K846" t="s">
        <v>71</v>
      </c>
      <c r="L846" t="s">
        <v>23</v>
      </c>
      <c r="M846" t="s">
        <v>35</v>
      </c>
    </row>
    <row r="847" spans="1:15" x14ac:dyDescent="0.2">
      <c r="A847" t="s">
        <v>1243</v>
      </c>
      <c r="B847" t="s">
        <v>27</v>
      </c>
      <c r="C847" t="s">
        <v>39</v>
      </c>
      <c r="D847" s="1">
        <v>20587</v>
      </c>
      <c r="E847" s="1">
        <v>45462</v>
      </c>
      <c r="F847" s="1">
        <v>45465</v>
      </c>
      <c r="G847" t="s">
        <v>100</v>
      </c>
      <c r="H847" t="s">
        <v>61</v>
      </c>
      <c r="I847" t="s">
        <v>20</v>
      </c>
      <c r="J847" t="s">
        <v>1244</v>
      </c>
      <c r="K847" t="s">
        <v>22</v>
      </c>
      <c r="M847" t="s">
        <v>24</v>
      </c>
      <c r="N847">
        <v>4</v>
      </c>
      <c r="O847" t="s">
        <v>36</v>
      </c>
    </row>
    <row r="848" spans="1:15" x14ac:dyDescent="0.2">
      <c r="A848">
        <v>846</v>
      </c>
      <c r="B848" t="s">
        <v>80</v>
      </c>
      <c r="C848" t="s">
        <v>39</v>
      </c>
      <c r="D848" s="1">
        <v>32415</v>
      </c>
      <c r="E848" s="1">
        <v>45374</v>
      </c>
      <c r="G848" t="s">
        <v>72</v>
      </c>
      <c r="H848" t="s">
        <v>75</v>
      </c>
      <c r="I848" t="s">
        <v>31</v>
      </c>
      <c r="J848">
        <v>900</v>
      </c>
      <c r="K848" t="s">
        <v>43</v>
      </c>
      <c r="L848" t="s">
        <v>23</v>
      </c>
      <c r="M848" t="s">
        <v>24</v>
      </c>
      <c r="N848">
        <v>8</v>
      </c>
    </row>
    <row r="849" spans="1:15" x14ac:dyDescent="0.2">
      <c r="A849" t="s">
        <v>1245</v>
      </c>
      <c r="B849" t="s">
        <v>82</v>
      </c>
      <c r="C849" t="s">
        <v>49</v>
      </c>
      <c r="D849" s="1">
        <v>39082</v>
      </c>
      <c r="E849" s="1">
        <v>45353</v>
      </c>
      <c r="F849" s="1">
        <v>45355</v>
      </c>
      <c r="G849" t="s">
        <v>18</v>
      </c>
      <c r="H849" t="s">
        <v>66</v>
      </c>
      <c r="I849" t="s">
        <v>76</v>
      </c>
      <c r="J849" t="s">
        <v>1246</v>
      </c>
      <c r="K849" t="s">
        <v>22</v>
      </c>
      <c r="L849" t="s">
        <v>34</v>
      </c>
      <c r="M849" t="s">
        <v>78</v>
      </c>
      <c r="O849" t="s">
        <v>36</v>
      </c>
    </row>
    <row r="850" spans="1:15" x14ac:dyDescent="0.2">
      <c r="A850">
        <v>848</v>
      </c>
      <c r="B850" t="s">
        <v>59</v>
      </c>
      <c r="C850" t="s">
        <v>92</v>
      </c>
      <c r="D850" s="1">
        <v>35804</v>
      </c>
      <c r="E850" s="1">
        <v>45370</v>
      </c>
      <c r="F850" s="1">
        <v>45377</v>
      </c>
      <c r="G850" t="s">
        <v>100</v>
      </c>
      <c r="H850" t="s">
        <v>30</v>
      </c>
      <c r="I850" t="s">
        <v>20</v>
      </c>
      <c r="J850" t="s">
        <v>286</v>
      </c>
      <c r="K850" t="s">
        <v>43</v>
      </c>
      <c r="L850" t="s">
        <v>34</v>
      </c>
      <c r="M850" t="s">
        <v>78</v>
      </c>
      <c r="N850">
        <v>15</v>
      </c>
      <c r="O850" t="s">
        <v>36</v>
      </c>
    </row>
    <row r="851" spans="1:15" x14ac:dyDescent="0.2">
      <c r="A851">
        <v>849</v>
      </c>
      <c r="B851" t="s">
        <v>85</v>
      </c>
      <c r="C851" t="s">
        <v>65</v>
      </c>
      <c r="D851" s="1">
        <v>25729</v>
      </c>
      <c r="E851" s="1">
        <v>45374</v>
      </c>
      <c r="F851" s="1">
        <v>45380</v>
      </c>
      <c r="G851" t="s">
        <v>50</v>
      </c>
      <c r="I851" t="s">
        <v>31</v>
      </c>
      <c r="J851">
        <v>1160</v>
      </c>
      <c r="K851" t="s">
        <v>33</v>
      </c>
      <c r="M851" t="s">
        <v>24</v>
      </c>
      <c r="N851">
        <v>11</v>
      </c>
      <c r="O851" t="s">
        <v>25</v>
      </c>
    </row>
    <row r="852" spans="1:15" x14ac:dyDescent="0.2">
      <c r="A852" t="s">
        <v>1247</v>
      </c>
      <c r="B852" t="s">
        <v>87</v>
      </c>
      <c r="C852" t="s">
        <v>39</v>
      </c>
      <c r="D852" s="1">
        <v>27931</v>
      </c>
      <c r="E852" s="1">
        <v>45467</v>
      </c>
      <c r="F852" s="1">
        <v>45476</v>
      </c>
      <c r="G852" t="s">
        <v>50</v>
      </c>
      <c r="I852" t="s">
        <v>76</v>
      </c>
      <c r="J852" t="s">
        <v>1248</v>
      </c>
      <c r="K852" t="s">
        <v>48</v>
      </c>
      <c r="M852" t="s">
        <v>24</v>
      </c>
    </row>
    <row r="853" spans="1:15" x14ac:dyDescent="0.2">
      <c r="A853" t="s">
        <v>1249</v>
      </c>
      <c r="B853" t="s">
        <v>59</v>
      </c>
      <c r="C853" t="s">
        <v>97</v>
      </c>
      <c r="D853" s="1">
        <v>39480</v>
      </c>
      <c r="E853" s="1">
        <v>45387</v>
      </c>
      <c r="F853" s="1">
        <v>45399</v>
      </c>
      <c r="G853" t="s">
        <v>18</v>
      </c>
      <c r="H853" t="s">
        <v>19</v>
      </c>
      <c r="I853" t="s">
        <v>57</v>
      </c>
      <c r="J853" t="s">
        <v>1250</v>
      </c>
      <c r="K853" t="s">
        <v>33</v>
      </c>
      <c r="L853" t="s">
        <v>34</v>
      </c>
      <c r="M853" t="s">
        <v>78</v>
      </c>
      <c r="O853" t="s">
        <v>36</v>
      </c>
    </row>
    <row r="854" spans="1:15" x14ac:dyDescent="0.2">
      <c r="A854" t="s">
        <v>1251</v>
      </c>
      <c r="B854" t="s">
        <v>118</v>
      </c>
      <c r="C854" t="s">
        <v>17</v>
      </c>
      <c r="D854" s="1">
        <v>20444</v>
      </c>
      <c r="E854" s="1">
        <v>45357</v>
      </c>
      <c r="F854" s="1">
        <v>45366</v>
      </c>
      <c r="G854" t="s">
        <v>40</v>
      </c>
      <c r="H854" t="s">
        <v>61</v>
      </c>
      <c r="I854" t="s">
        <v>76</v>
      </c>
      <c r="J854" t="s">
        <v>1252</v>
      </c>
      <c r="K854" t="s">
        <v>48</v>
      </c>
      <c r="M854" t="s">
        <v>24</v>
      </c>
      <c r="N854">
        <v>10</v>
      </c>
      <c r="O854" t="s">
        <v>25</v>
      </c>
    </row>
    <row r="855" spans="1:15" x14ac:dyDescent="0.2">
      <c r="A855">
        <v>853</v>
      </c>
      <c r="B855" t="s">
        <v>82</v>
      </c>
      <c r="C855" t="s">
        <v>28</v>
      </c>
      <c r="D855" s="1">
        <v>28525</v>
      </c>
      <c r="E855" s="1">
        <v>45327</v>
      </c>
      <c r="G855" t="s">
        <v>88</v>
      </c>
      <c r="H855" t="s">
        <v>66</v>
      </c>
      <c r="I855" t="s">
        <v>41</v>
      </c>
      <c r="J855" t="s">
        <v>1253</v>
      </c>
      <c r="K855" t="s">
        <v>48</v>
      </c>
      <c r="M855" t="s">
        <v>35</v>
      </c>
      <c r="N855">
        <v>15</v>
      </c>
    </row>
    <row r="856" spans="1:15" x14ac:dyDescent="0.2">
      <c r="A856" t="s">
        <v>1254</v>
      </c>
      <c r="B856" t="s">
        <v>82</v>
      </c>
      <c r="C856" t="s">
        <v>97</v>
      </c>
      <c r="D856" s="1">
        <v>19572</v>
      </c>
      <c r="E856" s="1">
        <v>45294</v>
      </c>
      <c r="F856" s="1">
        <v>45304</v>
      </c>
      <c r="G856" t="s">
        <v>60</v>
      </c>
      <c r="H856" t="s">
        <v>19</v>
      </c>
      <c r="I856" t="s">
        <v>67</v>
      </c>
      <c r="J856" t="s">
        <v>1255</v>
      </c>
      <c r="K856" t="s">
        <v>43</v>
      </c>
      <c r="M856" t="s">
        <v>24</v>
      </c>
      <c r="N856">
        <v>4</v>
      </c>
      <c r="O856" t="s">
        <v>25</v>
      </c>
    </row>
    <row r="857" spans="1:15" x14ac:dyDescent="0.2">
      <c r="A857" t="s">
        <v>1256</v>
      </c>
      <c r="B857" t="s">
        <v>27</v>
      </c>
      <c r="C857" t="s">
        <v>65</v>
      </c>
      <c r="D857" s="1">
        <v>28642</v>
      </c>
      <c r="E857" s="1">
        <v>45335</v>
      </c>
      <c r="F857" s="1">
        <v>45345</v>
      </c>
      <c r="G857" t="s">
        <v>46</v>
      </c>
      <c r="H857" t="s">
        <v>66</v>
      </c>
      <c r="I857" t="s">
        <v>57</v>
      </c>
      <c r="J857" t="s">
        <v>1257</v>
      </c>
      <c r="K857" t="s">
        <v>71</v>
      </c>
      <c r="L857" t="s">
        <v>34</v>
      </c>
      <c r="M857" t="s">
        <v>35</v>
      </c>
      <c r="O857" t="s">
        <v>36</v>
      </c>
    </row>
    <row r="858" spans="1:15" x14ac:dyDescent="0.2">
      <c r="A858" t="s">
        <v>1258</v>
      </c>
      <c r="B858" t="s">
        <v>91</v>
      </c>
      <c r="C858" t="s">
        <v>28</v>
      </c>
      <c r="D858" s="1">
        <v>38239</v>
      </c>
      <c r="E858" s="1">
        <v>45336</v>
      </c>
      <c r="F858" s="1">
        <v>45337</v>
      </c>
      <c r="G858" t="s">
        <v>72</v>
      </c>
      <c r="H858" t="s">
        <v>30</v>
      </c>
      <c r="I858" t="s">
        <v>76</v>
      </c>
      <c r="J858">
        <v>1287</v>
      </c>
      <c r="K858" t="s">
        <v>71</v>
      </c>
      <c r="L858" t="s">
        <v>23</v>
      </c>
      <c r="M858" t="s">
        <v>35</v>
      </c>
      <c r="O858" t="s">
        <v>25</v>
      </c>
    </row>
    <row r="859" spans="1:15" x14ac:dyDescent="0.2">
      <c r="A859">
        <v>857</v>
      </c>
      <c r="B859" t="s">
        <v>114</v>
      </c>
      <c r="C859" t="s">
        <v>28</v>
      </c>
      <c r="D859" s="1">
        <v>23191</v>
      </c>
      <c r="E859" s="1">
        <v>45449</v>
      </c>
      <c r="G859" t="s">
        <v>60</v>
      </c>
      <c r="H859" t="s">
        <v>52</v>
      </c>
      <c r="I859" t="s">
        <v>53</v>
      </c>
      <c r="J859">
        <v>1106</v>
      </c>
      <c r="K859" t="s">
        <v>43</v>
      </c>
      <c r="M859" t="s">
        <v>78</v>
      </c>
    </row>
    <row r="860" spans="1:15" x14ac:dyDescent="0.2">
      <c r="A860" t="s">
        <v>1259</v>
      </c>
      <c r="B860" t="s">
        <v>118</v>
      </c>
      <c r="C860" t="s">
        <v>39</v>
      </c>
      <c r="D860" s="1">
        <v>32753</v>
      </c>
      <c r="E860" s="1">
        <v>45387</v>
      </c>
      <c r="F860" s="1">
        <v>45397</v>
      </c>
      <c r="G860" t="s">
        <v>46</v>
      </c>
      <c r="I860" t="s">
        <v>76</v>
      </c>
      <c r="J860" t="s">
        <v>1260</v>
      </c>
      <c r="K860" t="s">
        <v>33</v>
      </c>
      <c r="M860" t="s">
        <v>78</v>
      </c>
    </row>
    <row r="861" spans="1:15" x14ac:dyDescent="0.2">
      <c r="A861">
        <v>859</v>
      </c>
      <c r="B861" t="s">
        <v>91</v>
      </c>
      <c r="C861" t="s">
        <v>28</v>
      </c>
      <c r="D861" s="1">
        <v>37939</v>
      </c>
      <c r="E861" s="1">
        <v>45298</v>
      </c>
      <c r="F861" s="1">
        <v>45300</v>
      </c>
      <c r="G861" t="s">
        <v>88</v>
      </c>
      <c r="H861" t="s">
        <v>19</v>
      </c>
      <c r="I861" t="s">
        <v>57</v>
      </c>
      <c r="J861" t="s">
        <v>1261</v>
      </c>
      <c r="K861" t="s">
        <v>71</v>
      </c>
      <c r="L861" t="s">
        <v>34</v>
      </c>
      <c r="M861" t="s">
        <v>78</v>
      </c>
      <c r="N861">
        <v>8</v>
      </c>
      <c r="O861" t="s">
        <v>36</v>
      </c>
    </row>
    <row r="862" spans="1:15" x14ac:dyDescent="0.2">
      <c r="A862" t="s">
        <v>1262</v>
      </c>
      <c r="B862" t="s">
        <v>82</v>
      </c>
      <c r="C862" t="s">
        <v>92</v>
      </c>
      <c r="D862" s="1">
        <v>29674</v>
      </c>
      <c r="E862" s="1">
        <v>45360</v>
      </c>
      <c r="F862" s="1">
        <v>45365</v>
      </c>
      <c r="G862" t="s">
        <v>46</v>
      </c>
      <c r="H862" t="s">
        <v>52</v>
      </c>
      <c r="I862" t="s">
        <v>67</v>
      </c>
      <c r="J862" t="s">
        <v>1263</v>
      </c>
      <c r="K862" t="s">
        <v>48</v>
      </c>
      <c r="M862" t="s">
        <v>78</v>
      </c>
      <c r="O862" t="s">
        <v>25</v>
      </c>
    </row>
    <row r="863" spans="1:15" x14ac:dyDescent="0.2">
      <c r="A863" t="s">
        <v>1264</v>
      </c>
      <c r="B863" t="s">
        <v>140</v>
      </c>
      <c r="C863" t="s">
        <v>17</v>
      </c>
      <c r="D863" s="1">
        <v>38431</v>
      </c>
      <c r="E863" s="1">
        <v>45356</v>
      </c>
      <c r="F863" s="1">
        <v>45361</v>
      </c>
      <c r="G863" t="s">
        <v>46</v>
      </c>
      <c r="H863" t="s">
        <v>30</v>
      </c>
      <c r="I863" t="s">
        <v>67</v>
      </c>
      <c r="J863" t="s">
        <v>996</v>
      </c>
      <c r="K863" t="s">
        <v>22</v>
      </c>
      <c r="L863" t="s">
        <v>23</v>
      </c>
      <c r="M863" t="s">
        <v>78</v>
      </c>
      <c r="N863">
        <v>9</v>
      </c>
      <c r="O863" t="s">
        <v>25</v>
      </c>
    </row>
    <row r="864" spans="1:15" x14ac:dyDescent="0.2">
      <c r="A864" t="s">
        <v>1265</v>
      </c>
      <c r="B864" t="s">
        <v>150</v>
      </c>
      <c r="C864" t="s">
        <v>65</v>
      </c>
      <c r="D864" s="1">
        <v>19972</v>
      </c>
      <c r="E864" s="1">
        <v>45365</v>
      </c>
      <c r="F864" s="1">
        <v>45380</v>
      </c>
      <c r="G864" t="s">
        <v>50</v>
      </c>
      <c r="H864" t="s">
        <v>66</v>
      </c>
      <c r="I864" t="s">
        <v>41</v>
      </c>
      <c r="J864" t="s">
        <v>815</v>
      </c>
      <c r="K864" t="s">
        <v>48</v>
      </c>
      <c r="L864" t="s">
        <v>34</v>
      </c>
      <c r="M864" t="s">
        <v>78</v>
      </c>
      <c r="N864">
        <v>3</v>
      </c>
    </row>
    <row r="865" spans="1:15" x14ac:dyDescent="0.2">
      <c r="A865" t="s">
        <v>1266</v>
      </c>
      <c r="B865" t="s">
        <v>114</v>
      </c>
      <c r="C865" t="s">
        <v>65</v>
      </c>
      <c r="D865" s="1">
        <v>30353</v>
      </c>
      <c r="E865" s="1">
        <v>45331</v>
      </c>
      <c r="F865" s="1">
        <v>45332</v>
      </c>
      <c r="G865" t="s">
        <v>46</v>
      </c>
      <c r="I865" t="s">
        <v>31</v>
      </c>
      <c r="J865" t="s">
        <v>328</v>
      </c>
      <c r="K865" t="s">
        <v>43</v>
      </c>
      <c r="L865" t="s">
        <v>34</v>
      </c>
      <c r="M865" t="s">
        <v>78</v>
      </c>
      <c r="O865" t="s">
        <v>25</v>
      </c>
    </row>
    <row r="866" spans="1:15" x14ac:dyDescent="0.2">
      <c r="A866">
        <v>864</v>
      </c>
      <c r="B866" t="s">
        <v>87</v>
      </c>
      <c r="C866" t="s">
        <v>39</v>
      </c>
      <c r="D866" s="1">
        <v>22598</v>
      </c>
      <c r="E866" s="1">
        <v>45447</v>
      </c>
      <c r="F866" s="1">
        <v>45452</v>
      </c>
      <c r="G866" t="s">
        <v>50</v>
      </c>
      <c r="H866" t="s">
        <v>19</v>
      </c>
      <c r="I866" t="s">
        <v>67</v>
      </c>
      <c r="J866" t="s">
        <v>1267</v>
      </c>
      <c r="K866" t="s">
        <v>22</v>
      </c>
      <c r="L866" t="s">
        <v>34</v>
      </c>
      <c r="M866" t="s">
        <v>35</v>
      </c>
      <c r="N866">
        <v>3</v>
      </c>
      <c r="O866" t="s">
        <v>25</v>
      </c>
    </row>
    <row r="867" spans="1:15" x14ac:dyDescent="0.2">
      <c r="A867">
        <v>865</v>
      </c>
      <c r="B867" t="s">
        <v>114</v>
      </c>
      <c r="C867" t="s">
        <v>65</v>
      </c>
      <c r="D867" s="1">
        <v>34318</v>
      </c>
      <c r="E867" s="1">
        <v>45432</v>
      </c>
      <c r="F867" s="1">
        <v>45440</v>
      </c>
      <c r="G867" t="s">
        <v>18</v>
      </c>
      <c r="H867" t="s">
        <v>61</v>
      </c>
      <c r="I867" t="s">
        <v>53</v>
      </c>
      <c r="J867" t="s">
        <v>1268</v>
      </c>
      <c r="K867" t="s">
        <v>43</v>
      </c>
      <c r="M867" t="s">
        <v>35</v>
      </c>
      <c r="N867">
        <v>8</v>
      </c>
      <c r="O867" t="s">
        <v>25</v>
      </c>
    </row>
    <row r="868" spans="1:15" x14ac:dyDescent="0.2">
      <c r="A868" t="s">
        <v>1269</v>
      </c>
      <c r="B868" t="s">
        <v>51</v>
      </c>
      <c r="C868" t="s">
        <v>17</v>
      </c>
      <c r="D868" s="1">
        <v>37918</v>
      </c>
      <c r="E868" s="1">
        <v>45368</v>
      </c>
      <c r="F868" s="1">
        <v>45375</v>
      </c>
      <c r="G868" t="s">
        <v>29</v>
      </c>
      <c r="H868" t="s">
        <v>30</v>
      </c>
      <c r="I868" t="s">
        <v>31</v>
      </c>
      <c r="J868" t="s">
        <v>1096</v>
      </c>
      <c r="K868" t="s">
        <v>71</v>
      </c>
      <c r="L868" t="s">
        <v>23</v>
      </c>
      <c r="M868" t="s">
        <v>35</v>
      </c>
    </row>
    <row r="869" spans="1:15" x14ac:dyDescent="0.2">
      <c r="A869" t="s">
        <v>1270</v>
      </c>
      <c r="B869" t="s">
        <v>114</v>
      </c>
      <c r="C869" t="s">
        <v>39</v>
      </c>
      <c r="D869" s="1">
        <v>37611</v>
      </c>
      <c r="E869" s="1">
        <v>45458</v>
      </c>
      <c r="F869" s="1">
        <v>45461</v>
      </c>
      <c r="G869" t="s">
        <v>50</v>
      </c>
      <c r="H869" t="s">
        <v>19</v>
      </c>
      <c r="I869" t="s">
        <v>31</v>
      </c>
      <c r="J869">
        <v>1096</v>
      </c>
      <c r="K869" t="s">
        <v>71</v>
      </c>
      <c r="M869" t="s">
        <v>78</v>
      </c>
      <c r="N869">
        <v>8</v>
      </c>
      <c r="O869" t="s">
        <v>25</v>
      </c>
    </row>
    <row r="870" spans="1:15" x14ac:dyDescent="0.2">
      <c r="A870">
        <v>868</v>
      </c>
      <c r="B870" t="s">
        <v>80</v>
      </c>
      <c r="C870" t="s">
        <v>97</v>
      </c>
      <c r="D870" s="1">
        <v>23032</v>
      </c>
      <c r="E870" s="1">
        <v>45367</v>
      </c>
      <c r="G870" t="s">
        <v>100</v>
      </c>
      <c r="H870" t="s">
        <v>19</v>
      </c>
      <c r="I870" t="s">
        <v>53</v>
      </c>
      <c r="J870" t="s">
        <v>1271</v>
      </c>
      <c r="K870" t="s">
        <v>43</v>
      </c>
      <c r="M870" t="s">
        <v>78</v>
      </c>
      <c r="N870">
        <v>9</v>
      </c>
      <c r="O870" t="s">
        <v>36</v>
      </c>
    </row>
    <row r="871" spans="1:15" x14ac:dyDescent="0.2">
      <c r="A871" t="s">
        <v>1272</v>
      </c>
      <c r="B871" t="s">
        <v>56</v>
      </c>
      <c r="C871" t="s">
        <v>17</v>
      </c>
      <c r="D871" s="1">
        <v>29814</v>
      </c>
      <c r="E871" s="1">
        <v>45341</v>
      </c>
      <c r="F871" s="1">
        <v>45344</v>
      </c>
      <c r="G871" t="s">
        <v>74</v>
      </c>
      <c r="H871" t="s">
        <v>52</v>
      </c>
      <c r="I871" t="s">
        <v>53</v>
      </c>
      <c r="J871" t="s">
        <v>1273</v>
      </c>
      <c r="K871" t="s">
        <v>48</v>
      </c>
      <c r="L871" t="s">
        <v>34</v>
      </c>
      <c r="M871" t="s">
        <v>24</v>
      </c>
    </row>
    <row r="872" spans="1:15" x14ac:dyDescent="0.2">
      <c r="A872">
        <v>870</v>
      </c>
      <c r="B872" t="s">
        <v>64</v>
      </c>
      <c r="C872" t="s">
        <v>28</v>
      </c>
      <c r="D872" s="1">
        <v>31483</v>
      </c>
      <c r="E872" s="1">
        <v>45448</v>
      </c>
      <c r="F872" s="1">
        <v>45454</v>
      </c>
      <c r="G872" t="s">
        <v>83</v>
      </c>
      <c r="H872" t="s">
        <v>66</v>
      </c>
      <c r="I872" t="s">
        <v>41</v>
      </c>
      <c r="J872" t="s">
        <v>1274</v>
      </c>
      <c r="K872" t="s">
        <v>71</v>
      </c>
      <c r="M872" t="s">
        <v>78</v>
      </c>
      <c r="N872">
        <v>1</v>
      </c>
    </row>
    <row r="873" spans="1:15" x14ac:dyDescent="0.2">
      <c r="A873" t="s">
        <v>1275</v>
      </c>
      <c r="B873" t="s">
        <v>119</v>
      </c>
      <c r="C873" t="s">
        <v>65</v>
      </c>
      <c r="D873" s="1">
        <v>20468</v>
      </c>
      <c r="E873" s="1">
        <v>45388</v>
      </c>
      <c r="F873" s="1">
        <v>45396</v>
      </c>
      <c r="G873" t="s">
        <v>46</v>
      </c>
      <c r="H873" t="s">
        <v>52</v>
      </c>
      <c r="I873" t="s">
        <v>41</v>
      </c>
      <c r="J873" t="s">
        <v>1276</v>
      </c>
      <c r="K873" t="s">
        <v>43</v>
      </c>
      <c r="M873" t="s">
        <v>78</v>
      </c>
      <c r="N873">
        <v>1</v>
      </c>
      <c r="O873" t="s">
        <v>25</v>
      </c>
    </row>
    <row r="874" spans="1:15" x14ac:dyDescent="0.2">
      <c r="A874">
        <v>872</v>
      </c>
      <c r="B874" t="s">
        <v>64</v>
      </c>
      <c r="C874" t="s">
        <v>97</v>
      </c>
      <c r="D874" s="1">
        <v>24637</v>
      </c>
      <c r="E874" s="1">
        <v>45437</v>
      </c>
      <c r="F874" s="1">
        <v>45451</v>
      </c>
      <c r="G874" t="s">
        <v>29</v>
      </c>
      <c r="H874" t="s">
        <v>61</v>
      </c>
      <c r="I874" t="s">
        <v>57</v>
      </c>
      <c r="J874" t="s">
        <v>1277</v>
      </c>
      <c r="K874" t="s">
        <v>48</v>
      </c>
      <c r="L874" t="s">
        <v>34</v>
      </c>
      <c r="M874" t="s">
        <v>35</v>
      </c>
      <c r="N874">
        <v>5</v>
      </c>
    </row>
    <row r="875" spans="1:15" x14ac:dyDescent="0.2">
      <c r="A875">
        <v>873</v>
      </c>
      <c r="B875" t="s">
        <v>150</v>
      </c>
      <c r="C875" t="s">
        <v>97</v>
      </c>
      <c r="D875" s="1">
        <v>33609</v>
      </c>
      <c r="E875" s="1">
        <v>45464</v>
      </c>
      <c r="G875" t="s">
        <v>72</v>
      </c>
      <c r="H875" t="s">
        <v>19</v>
      </c>
      <c r="I875" t="s">
        <v>41</v>
      </c>
      <c r="J875" t="s">
        <v>1079</v>
      </c>
      <c r="K875" t="s">
        <v>71</v>
      </c>
      <c r="M875" t="s">
        <v>24</v>
      </c>
      <c r="N875">
        <v>15</v>
      </c>
    </row>
    <row r="876" spans="1:15" x14ac:dyDescent="0.2">
      <c r="A876">
        <v>874</v>
      </c>
      <c r="B876" t="s">
        <v>59</v>
      </c>
      <c r="C876" t="s">
        <v>65</v>
      </c>
      <c r="D876" s="1">
        <v>23362</v>
      </c>
      <c r="E876" s="1">
        <v>45444</v>
      </c>
      <c r="F876" s="1">
        <v>45445</v>
      </c>
      <c r="G876" t="s">
        <v>100</v>
      </c>
      <c r="H876" t="s">
        <v>30</v>
      </c>
      <c r="I876" t="s">
        <v>31</v>
      </c>
      <c r="J876" t="s">
        <v>1278</v>
      </c>
      <c r="K876" t="s">
        <v>71</v>
      </c>
      <c r="M876" t="s">
        <v>35</v>
      </c>
      <c r="N876">
        <v>5</v>
      </c>
      <c r="O876" t="s">
        <v>36</v>
      </c>
    </row>
    <row r="877" spans="1:15" x14ac:dyDescent="0.2">
      <c r="A877" t="s">
        <v>1279</v>
      </c>
      <c r="B877" t="s">
        <v>87</v>
      </c>
      <c r="C877" t="s">
        <v>65</v>
      </c>
      <c r="D877" s="1">
        <v>25591</v>
      </c>
      <c r="E877" s="1">
        <v>45355</v>
      </c>
      <c r="F877" s="1">
        <v>45370</v>
      </c>
      <c r="G877" t="s">
        <v>40</v>
      </c>
      <c r="H877" t="s">
        <v>61</v>
      </c>
      <c r="I877" t="s">
        <v>31</v>
      </c>
      <c r="J877">
        <v>945</v>
      </c>
      <c r="K877" t="s">
        <v>71</v>
      </c>
      <c r="M877" t="s">
        <v>78</v>
      </c>
      <c r="O877" t="s">
        <v>25</v>
      </c>
    </row>
    <row r="878" spans="1:15" x14ac:dyDescent="0.2">
      <c r="A878" t="s">
        <v>1280</v>
      </c>
      <c r="B878" t="s">
        <v>56</v>
      </c>
      <c r="C878" t="s">
        <v>49</v>
      </c>
      <c r="D878" s="1">
        <v>20437</v>
      </c>
      <c r="E878" s="1">
        <v>45306</v>
      </c>
      <c r="F878" s="1">
        <v>45313</v>
      </c>
      <c r="G878" t="s">
        <v>29</v>
      </c>
      <c r="H878" t="s">
        <v>19</v>
      </c>
      <c r="I878" t="s">
        <v>20</v>
      </c>
      <c r="J878" t="s">
        <v>1281</v>
      </c>
      <c r="K878" t="s">
        <v>48</v>
      </c>
      <c r="M878" t="s">
        <v>35</v>
      </c>
      <c r="N878">
        <v>8</v>
      </c>
      <c r="O878" t="s">
        <v>36</v>
      </c>
    </row>
    <row r="879" spans="1:15" x14ac:dyDescent="0.2">
      <c r="A879" t="s">
        <v>1282</v>
      </c>
      <c r="B879" t="s">
        <v>51</v>
      </c>
      <c r="C879" t="s">
        <v>28</v>
      </c>
      <c r="D879" s="1">
        <v>32357</v>
      </c>
      <c r="E879" s="1">
        <v>45365</v>
      </c>
      <c r="F879" s="1">
        <v>45368</v>
      </c>
      <c r="G879" t="s">
        <v>46</v>
      </c>
      <c r="H879" t="s">
        <v>61</v>
      </c>
      <c r="I879" t="s">
        <v>31</v>
      </c>
      <c r="J879">
        <v>1315</v>
      </c>
      <c r="K879" t="s">
        <v>48</v>
      </c>
      <c r="L879" t="s">
        <v>34</v>
      </c>
      <c r="M879" t="s">
        <v>35</v>
      </c>
    </row>
    <row r="880" spans="1:15" x14ac:dyDescent="0.2">
      <c r="A880" t="s">
        <v>1283</v>
      </c>
      <c r="B880" t="s">
        <v>87</v>
      </c>
      <c r="C880" t="s">
        <v>65</v>
      </c>
      <c r="D880" s="1">
        <v>32306</v>
      </c>
      <c r="E880" s="1">
        <v>45315</v>
      </c>
      <c r="F880" s="1">
        <v>45316</v>
      </c>
      <c r="G880" t="s">
        <v>46</v>
      </c>
      <c r="H880" t="s">
        <v>66</v>
      </c>
      <c r="I880" t="s">
        <v>67</v>
      </c>
      <c r="J880" t="s">
        <v>740</v>
      </c>
      <c r="K880" t="s">
        <v>33</v>
      </c>
      <c r="L880" t="s">
        <v>34</v>
      </c>
      <c r="M880" t="s">
        <v>35</v>
      </c>
      <c r="O880" t="s">
        <v>36</v>
      </c>
    </row>
    <row r="881" spans="1:15" x14ac:dyDescent="0.2">
      <c r="A881">
        <v>879</v>
      </c>
      <c r="B881" t="s">
        <v>16</v>
      </c>
      <c r="C881" t="s">
        <v>17</v>
      </c>
      <c r="D881" s="1">
        <v>37363</v>
      </c>
      <c r="E881" s="1">
        <v>45302</v>
      </c>
      <c r="F881" s="1">
        <v>45306</v>
      </c>
      <c r="G881" t="s">
        <v>29</v>
      </c>
      <c r="I881" t="s">
        <v>76</v>
      </c>
      <c r="J881" t="s">
        <v>1284</v>
      </c>
      <c r="K881" t="s">
        <v>43</v>
      </c>
      <c r="M881" t="s">
        <v>24</v>
      </c>
      <c r="N881">
        <v>2</v>
      </c>
    </row>
    <row r="882" spans="1:15" x14ac:dyDescent="0.2">
      <c r="A882">
        <v>880</v>
      </c>
      <c r="B882" t="s">
        <v>87</v>
      </c>
      <c r="C882" t="s">
        <v>17</v>
      </c>
      <c r="D882" s="1">
        <v>33413</v>
      </c>
      <c r="E882" s="1">
        <v>45332</v>
      </c>
      <c r="F882" s="1">
        <v>45336</v>
      </c>
      <c r="G882" t="s">
        <v>88</v>
      </c>
      <c r="H882" t="s">
        <v>19</v>
      </c>
      <c r="I882" t="s">
        <v>41</v>
      </c>
      <c r="J882" t="s">
        <v>1285</v>
      </c>
      <c r="K882" t="s">
        <v>71</v>
      </c>
      <c r="M882" t="s">
        <v>78</v>
      </c>
      <c r="N882">
        <v>5</v>
      </c>
      <c r="O882" t="s">
        <v>36</v>
      </c>
    </row>
    <row r="883" spans="1:15" x14ac:dyDescent="0.2">
      <c r="A883" t="s">
        <v>1286</v>
      </c>
      <c r="B883" t="s">
        <v>118</v>
      </c>
      <c r="C883" t="s">
        <v>28</v>
      </c>
      <c r="D883" s="1">
        <v>25968</v>
      </c>
      <c r="E883" s="1">
        <v>45462</v>
      </c>
      <c r="F883" s="1">
        <v>45470</v>
      </c>
      <c r="G883" t="s">
        <v>46</v>
      </c>
      <c r="H883" t="s">
        <v>66</v>
      </c>
      <c r="I883" t="s">
        <v>20</v>
      </c>
      <c r="J883" t="s">
        <v>1287</v>
      </c>
      <c r="K883" t="s">
        <v>22</v>
      </c>
      <c r="L883" t="s">
        <v>34</v>
      </c>
      <c r="M883" t="s">
        <v>78</v>
      </c>
    </row>
    <row r="884" spans="1:15" x14ac:dyDescent="0.2">
      <c r="A884" t="s">
        <v>1288</v>
      </c>
      <c r="B884" t="s">
        <v>45</v>
      </c>
      <c r="C884" t="s">
        <v>39</v>
      </c>
      <c r="D884" s="1">
        <v>29166</v>
      </c>
      <c r="E884" s="1">
        <v>45440</v>
      </c>
      <c r="F884" s="1">
        <v>45447</v>
      </c>
      <c r="G884" t="s">
        <v>74</v>
      </c>
      <c r="H884" t="s">
        <v>75</v>
      </c>
      <c r="I884" t="s">
        <v>53</v>
      </c>
      <c r="J884" t="s">
        <v>1188</v>
      </c>
      <c r="K884" t="s">
        <v>22</v>
      </c>
      <c r="M884" t="s">
        <v>24</v>
      </c>
      <c r="O884" t="s">
        <v>25</v>
      </c>
    </row>
    <row r="885" spans="1:15" x14ac:dyDescent="0.2">
      <c r="A885">
        <v>883</v>
      </c>
      <c r="B885" t="s">
        <v>51</v>
      </c>
      <c r="C885" t="s">
        <v>92</v>
      </c>
      <c r="D885" s="1">
        <v>20428</v>
      </c>
      <c r="E885" s="1">
        <v>45300</v>
      </c>
      <c r="F885" s="1">
        <v>45314</v>
      </c>
      <c r="G885" t="s">
        <v>100</v>
      </c>
      <c r="H885" t="s">
        <v>75</v>
      </c>
      <c r="I885" t="s">
        <v>76</v>
      </c>
      <c r="J885">
        <v>762</v>
      </c>
      <c r="K885" t="s">
        <v>22</v>
      </c>
      <c r="M885" t="s">
        <v>24</v>
      </c>
      <c r="N885">
        <v>7</v>
      </c>
    </row>
    <row r="886" spans="1:15" x14ac:dyDescent="0.2">
      <c r="A886">
        <v>884</v>
      </c>
      <c r="B886" t="s">
        <v>119</v>
      </c>
      <c r="C886" t="s">
        <v>39</v>
      </c>
      <c r="D886" s="1">
        <v>24292</v>
      </c>
      <c r="E886" s="1">
        <v>45334</v>
      </c>
      <c r="F886" s="1">
        <v>45342</v>
      </c>
      <c r="G886" t="s">
        <v>46</v>
      </c>
      <c r="H886" t="s">
        <v>66</v>
      </c>
      <c r="I886" t="s">
        <v>67</v>
      </c>
      <c r="J886">
        <v>591</v>
      </c>
      <c r="K886" t="s">
        <v>33</v>
      </c>
      <c r="L886" t="s">
        <v>23</v>
      </c>
      <c r="M886" t="s">
        <v>24</v>
      </c>
      <c r="O886" t="s">
        <v>25</v>
      </c>
    </row>
    <row r="887" spans="1:15" x14ac:dyDescent="0.2">
      <c r="A887" t="s">
        <v>1289</v>
      </c>
      <c r="B887" t="s">
        <v>102</v>
      </c>
      <c r="C887" t="s">
        <v>49</v>
      </c>
      <c r="D887" s="1">
        <v>29502</v>
      </c>
      <c r="E887" s="1">
        <v>45378</v>
      </c>
      <c r="G887" t="s">
        <v>40</v>
      </c>
      <c r="H887" t="s">
        <v>52</v>
      </c>
      <c r="I887" t="s">
        <v>67</v>
      </c>
      <c r="J887" t="s">
        <v>1290</v>
      </c>
      <c r="K887" t="s">
        <v>43</v>
      </c>
      <c r="M887" t="s">
        <v>24</v>
      </c>
      <c r="N887">
        <v>9</v>
      </c>
    </row>
    <row r="888" spans="1:15" x14ac:dyDescent="0.2">
      <c r="A888" t="s">
        <v>1291</v>
      </c>
      <c r="B888" t="s">
        <v>85</v>
      </c>
      <c r="C888" t="s">
        <v>97</v>
      </c>
      <c r="D888" s="1">
        <v>32516</v>
      </c>
      <c r="E888" s="1">
        <v>45408</v>
      </c>
      <c r="F888" s="1">
        <v>45421</v>
      </c>
      <c r="G888" t="s">
        <v>88</v>
      </c>
      <c r="H888" t="s">
        <v>30</v>
      </c>
      <c r="I888" t="s">
        <v>31</v>
      </c>
      <c r="J888">
        <v>136</v>
      </c>
      <c r="K888" t="s">
        <v>43</v>
      </c>
      <c r="L888" t="s">
        <v>34</v>
      </c>
      <c r="M888" t="s">
        <v>78</v>
      </c>
      <c r="N888">
        <v>7</v>
      </c>
      <c r="O888" t="s">
        <v>36</v>
      </c>
    </row>
    <row r="889" spans="1:15" x14ac:dyDescent="0.2">
      <c r="A889" t="s">
        <v>1292</v>
      </c>
      <c r="B889" t="s">
        <v>119</v>
      </c>
      <c r="C889" t="s">
        <v>97</v>
      </c>
      <c r="D889" s="1">
        <v>28591</v>
      </c>
      <c r="E889" s="1">
        <v>45407</v>
      </c>
      <c r="F889" s="1">
        <v>45418</v>
      </c>
      <c r="G889" t="s">
        <v>50</v>
      </c>
      <c r="H889" t="s">
        <v>75</v>
      </c>
      <c r="I889" t="s">
        <v>57</v>
      </c>
      <c r="J889">
        <v>620</v>
      </c>
      <c r="K889" t="s">
        <v>33</v>
      </c>
      <c r="L889" t="s">
        <v>34</v>
      </c>
      <c r="M889" t="s">
        <v>24</v>
      </c>
      <c r="O889" t="s">
        <v>25</v>
      </c>
    </row>
    <row r="890" spans="1:15" x14ac:dyDescent="0.2">
      <c r="A890">
        <v>888</v>
      </c>
      <c r="B890" t="s">
        <v>91</v>
      </c>
      <c r="C890" t="s">
        <v>28</v>
      </c>
      <c r="D890" s="1">
        <v>18337</v>
      </c>
      <c r="E890" s="1">
        <v>45304</v>
      </c>
      <c r="F890" s="1">
        <v>45309</v>
      </c>
      <c r="G890" t="s">
        <v>88</v>
      </c>
      <c r="H890" t="s">
        <v>61</v>
      </c>
      <c r="I890" t="s">
        <v>41</v>
      </c>
      <c r="J890" t="s">
        <v>1293</v>
      </c>
      <c r="K890" t="s">
        <v>43</v>
      </c>
      <c r="L890" t="s">
        <v>34</v>
      </c>
      <c r="M890" t="s">
        <v>78</v>
      </c>
      <c r="N890">
        <v>4</v>
      </c>
    </row>
    <row r="891" spans="1:15" x14ac:dyDescent="0.2">
      <c r="A891" t="s">
        <v>1294</v>
      </c>
      <c r="B891" t="s">
        <v>27</v>
      </c>
      <c r="C891" t="s">
        <v>92</v>
      </c>
      <c r="D891" s="1">
        <v>22060</v>
      </c>
      <c r="E891" s="1">
        <v>45391</v>
      </c>
      <c r="F891" s="1">
        <v>45402</v>
      </c>
      <c r="G891" t="s">
        <v>88</v>
      </c>
      <c r="H891" t="s">
        <v>75</v>
      </c>
      <c r="I891" t="s">
        <v>76</v>
      </c>
      <c r="J891" t="s">
        <v>1295</v>
      </c>
      <c r="K891" t="s">
        <v>22</v>
      </c>
      <c r="M891" t="s">
        <v>35</v>
      </c>
    </row>
    <row r="892" spans="1:15" x14ac:dyDescent="0.2">
      <c r="A892" t="s">
        <v>1296</v>
      </c>
      <c r="B892" t="s">
        <v>38</v>
      </c>
      <c r="C892" t="s">
        <v>97</v>
      </c>
      <c r="D892" s="1">
        <v>39807</v>
      </c>
      <c r="E892" s="1">
        <v>45463</v>
      </c>
      <c r="F892" s="1">
        <v>45478</v>
      </c>
      <c r="G892" t="s">
        <v>50</v>
      </c>
      <c r="H892" t="s">
        <v>75</v>
      </c>
      <c r="I892" t="s">
        <v>67</v>
      </c>
      <c r="J892" t="s">
        <v>1297</v>
      </c>
      <c r="K892" t="s">
        <v>33</v>
      </c>
      <c r="M892" t="s">
        <v>24</v>
      </c>
      <c r="N892">
        <v>11</v>
      </c>
      <c r="O892" t="s">
        <v>25</v>
      </c>
    </row>
    <row r="893" spans="1:15" x14ac:dyDescent="0.2">
      <c r="A893" t="s">
        <v>1298</v>
      </c>
      <c r="B893" t="s">
        <v>87</v>
      </c>
      <c r="C893" t="s">
        <v>39</v>
      </c>
      <c r="D893" s="1">
        <v>22243</v>
      </c>
      <c r="E893" s="1">
        <v>45353</v>
      </c>
      <c r="F893" s="1">
        <v>45366</v>
      </c>
      <c r="G893" t="s">
        <v>46</v>
      </c>
      <c r="H893" t="s">
        <v>66</v>
      </c>
      <c r="I893" t="s">
        <v>41</v>
      </c>
      <c r="J893" t="s">
        <v>1299</v>
      </c>
      <c r="K893" t="s">
        <v>48</v>
      </c>
      <c r="M893" t="s">
        <v>24</v>
      </c>
    </row>
    <row r="894" spans="1:15" x14ac:dyDescent="0.2">
      <c r="A894" t="s">
        <v>1300</v>
      </c>
      <c r="B894" t="s">
        <v>38</v>
      </c>
      <c r="C894" t="s">
        <v>39</v>
      </c>
      <c r="D894" s="1">
        <v>20992</v>
      </c>
      <c r="E894" s="1">
        <v>45315</v>
      </c>
      <c r="F894" s="1">
        <v>45328</v>
      </c>
      <c r="G894" t="s">
        <v>40</v>
      </c>
      <c r="H894" t="s">
        <v>30</v>
      </c>
      <c r="I894" t="s">
        <v>53</v>
      </c>
      <c r="J894" t="s">
        <v>1301</v>
      </c>
      <c r="K894" t="s">
        <v>48</v>
      </c>
      <c r="L894" t="s">
        <v>23</v>
      </c>
      <c r="M894" t="s">
        <v>35</v>
      </c>
      <c r="N894">
        <v>9</v>
      </c>
    </row>
    <row r="895" spans="1:15" x14ac:dyDescent="0.2">
      <c r="A895" t="s">
        <v>1302</v>
      </c>
      <c r="B895" t="s">
        <v>51</v>
      </c>
      <c r="C895" t="s">
        <v>28</v>
      </c>
      <c r="D895" s="1">
        <v>38959</v>
      </c>
      <c r="E895" s="1">
        <v>45299</v>
      </c>
      <c r="F895" s="1">
        <v>45312</v>
      </c>
      <c r="G895" t="s">
        <v>74</v>
      </c>
      <c r="I895" t="s">
        <v>57</v>
      </c>
      <c r="J895" t="s">
        <v>1303</v>
      </c>
      <c r="K895" t="s">
        <v>22</v>
      </c>
      <c r="L895" t="s">
        <v>23</v>
      </c>
      <c r="M895" t="s">
        <v>24</v>
      </c>
      <c r="N895">
        <v>13</v>
      </c>
    </row>
    <row r="896" spans="1:15" x14ac:dyDescent="0.2">
      <c r="A896" t="s">
        <v>1304</v>
      </c>
      <c r="B896" t="s">
        <v>150</v>
      </c>
      <c r="C896" t="s">
        <v>49</v>
      </c>
      <c r="D896" s="1">
        <v>25694</v>
      </c>
      <c r="E896" s="1">
        <v>45434</v>
      </c>
      <c r="F896" s="1">
        <v>45445</v>
      </c>
      <c r="G896" t="s">
        <v>50</v>
      </c>
      <c r="H896" t="s">
        <v>66</v>
      </c>
      <c r="I896" t="s">
        <v>20</v>
      </c>
      <c r="J896" t="s">
        <v>1305</v>
      </c>
      <c r="K896" t="s">
        <v>48</v>
      </c>
      <c r="M896" t="s">
        <v>35</v>
      </c>
      <c r="N896">
        <v>15</v>
      </c>
      <c r="O896" t="s">
        <v>36</v>
      </c>
    </row>
    <row r="897" spans="1:15" x14ac:dyDescent="0.2">
      <c r="A897" t="s">
        <v>1306</v>
      </c>
      <c r="B897" t="s">
        <v>59</v>
      </c>
      <c r="C897" t="s">
        <v>28</v>
      </c>
      <c r="D897" s="1">
        <v>18507</v>
      </c>
      <c r="E897" s="1">
        <v>45410</v>
      </c>
      <c r="G897" t="s">
        <v>74</v>
      </c>
      <c r="H897" t="s">
        <v>61</v>
      </c>
      <c r="I897" t="s">
        <v>57</v>
      </c>
      <c r="J897" t="s">
        <v>1307</v>
      </c>
      <c r="K897" t="s">
        <v>43</v>
      </c>
      <c r="L897" t="s">
        <v>23</v>
      </c>
      <c r="M897" t="s">
        <v>78</v>
      </c>
      <c r="N897">
        <v>9</v>
      </c>
    </row>
    <row r="898" spans="1:15" x14ac:dyDescent="0.2">
      <c r="A898">
        <v>896</v>
      </c>
      <c r="B898" t="s">
        <v>16</v>
      </c>
      <c r="C898" t="s">
        <v>65</v>
      </c>
      <c r="D898" s="1">
        <v>19328</v>
      </c>
      <c r="E898" s="1">
        <v>45354</v>
      </c>
      <c r="F898" s="1">
        <v>45361</v>
      </c>
      <c r="G898" t="s">
        <v>88</v>
      </c>
      <c r="I898" t="s">
        <v>20</v>
      </c>
      <c r="J898" t="s">
        <v>1308</v>
      </c>
      <c r="K898" t="s">
        <v>22</v>
      </c>
      <c r="M898" t="s">
        <v>78</v>
      </c>
      <c r="N898">
        <v>5</v>
      </c>
      <c r="O898" t="s">
        <v>36</v>
      </c>
    </row>
    <row r="899" spans="1:15" x14ac:dyDescent="0.2">
      <c r="A899">
        <v>897</v>
      </c>
      <c r="B899" t="s">
        <v>150</v>
      </c>
      <c r="C899" t="s">
        <v>65</v>
      </c>
      <c r="D899" s="1">
        <v>30184</v>
      </c>
      <c r="E899" s="1">
        <v>45419</v>
      </c>
      <c r="F899" s="1">
        <v>45426</v>
      </c>
      <c r="G899" t="s">
        <v>88</v>
      </c>
      <c r="H899" t="s">
        <v>30</v>
      </c>
      <c r="I899" t="s">
        <v>31</v>
      </c>
      <c r="J899" t="s">
        <v>1309</v>
      </c>
      <c r="K899" t="s">
        <v>22</v>
      </c>
      <c r="L899" t="s">
        <v>34</v>
      </c>
      <c r="M899" t="s">
        <v>78</v>
      </c>
      <c r="O899" t="s">
        <v>36</v>
      </c>
    </row>
    <row r="900" spans="1:15" x14ac:dyDescent="0.2">
      <c r="A900">
        <v>898</v>
      </c>
      <c r="B900" t="s">
        <v>59</v>
      </c>
      <c r="C900" t="s">
        <v>17</v>
      </c>
      <c r="D900" s="1">
        <v>24248</v>
      </c>
      <c r="E900" s="1">
        <v>45441</v>
      </c>
      <c r="F900" s="1">
        <v>45446</v>
      </c>
      <c r="G900" t="s">
        <v>40</v>
      </c>
      <c r="I900" t="s">
        <v>57</v>
      </c>
      <c r="J900" t="s">
        <v>1295</v>
      </c>
      <c r="K900" t="s">
        <v>43</v>
      </c>
      <c r="M900" t="s">
        <v>35</v>
      </c>
      <c r="N900">
        <v>13</v>
      </c>
      <c r="O900" t="s">
        <v>25</v>
      </c>
    </row>
    <row r="901" spans="1:15" x14ac:dyDescent="0.2">
      <c r="A901">
        <v>899</v>
      </c>
      <c r="B901" t="s">
        <v>82</v>
      </c>
      <c r="C901" t="s">
        <v>17</v>
      </c>
      <c r="D901" s="1">
        <v>39821</v>
      </c>
      <c r="E901" s="1">
        <v>45360</v>
      </c>
      <c r="G901" t="s">
        <v>74</v>
      </c>
      <c r="H901" t="s">
        <v>61</v>
      </c>
      <c r="I901" t="s">
        <v>20</v>
      </c>
      <c r="J901">
        <v>318</v>
      </c>
      <c r="K901" t="s">
        <v>48</v>
      </c>
      <c r="M901" t="s">
        <v>78</v>
      </c>
      <c r="N901">
        <v>2</v>
      </c>
      <c r="O901" t="s">
        <v>36</v>
      </c>
    </row>
    <row r="902" spans="1:15" x14ac:dyDescent="0.2">
      <c r="A902" t="s">
        <v>1310</v>
      </c>
      <c r="B902" t="s">
        <v>119</v>
      </c>
      <c r="C902" t="s">
        <v>65</v>
      </c>
      <c r="D902" s="1">
        <v>26376</v>
      </c>
      <c r="E902" s="1">
        <v>45377</v>
      </c>
      <c r="F902" s="1">
        <v>45392</v>
      </c>
      <c r="G902" t="s">
        <v>72</v>
      </c>
      <c r="I902" t="s">
        <v>20</v>
      </c>
      <c r="J902" t="s">
        <v>1311</v>
      </c>
      <c r="K902" t="s">
        <v>22</v>
      </c>
      <c r="L902" t="s">
        <v>23</v>
      </c>
      <c r="M902" t="s">
        <v>24</v>
      </c>
      <c r="N902">
        <v>14</v>
      </c>
    </row>
    <row r="903" spans="1:15" x14ac:dyDescent="0.2">
      <c r="A903" t="s">
        <v>1312</v>
      </c>
      <c r="B903" t="s">
        <v>91</v>
      </c>
      <c r="C903" t="s">
        <v>28</v>
      </c>
      <c r="D903" s="1">
        <v>18437</v>
      </c>
      <c r="E903" s="1">
        <v>45439</v>
      </c>
      <c r="F903" s="1">
        <v>45443</v>
      </c>
      <c r="G903" t="s">
        <v>29</v>
      </c>
      <c r="H903" t="s">
        <v>52</v>
      </c>
      <c r="I903" t="s">
        <v>57</v>
      </c>
      <c r="J903">
        <v>1465</v>
      </c>
      <c r="K903" t="s">
        <v>22</v>
      </c>
      <c r="M903" t="s">
        <v>78</v>
      </c>
    </row>
    <row r="904" spans="1:15" x14ac:dyDescent="0.2">
      <c r="A904">
        <v>902</v>
      </c>
      <c r="B904" t="s">
        <v>119</v>
      </c>
      <c r="C904" t="s">
        <v>92</v>
      </c>
      <c r="D904" s="1">
        <v>27090</v>
      </c>
      <c r="E904" s="1">
        <v>45449</v>
      </c>
      <c r="F904" s="1">
        <v>45454</v>
      </c>
      <c r="G904" t="s">
        <v>88</v>
      </c>
      <c r="H904" t="s">
        <v>66</v>
      </c>
      <c r="I904" t="s">
        <v>76</v>
      </c>
      <c r="J904" t="s">
        <v>808</v>
      </c>
      <c r="K904" t="s">
        <v>33</v>
      </c>
      <c r="L904" t="s">
        <v>23</v>
      </c>
      <c r="M904" t="s">
        <v>24</v>
      </c>
    </row>
    <row r="905" spans="1:15" x14ac:dyDescent="0.2">
      <c r="A905" t="s">
        <v>1313</v>
      </c>
      <c r="B905" t="s">
        <v>16</v>
      </c>
      <c r="C905" t="s">
        <v>49</v>
      </c>
      <c r="D905" s="1">
        <v>26416</v>
      </c>
      <c r="E905" s="1">
        <v>45302</v>
      </c>
      <c r="F905" s="1">
        <v>45314</v>
      </c>
      <c r="G905" t="s">
        <v>74</v>
      </c>
      <c r="H905" t="s">
        <v>75</v>
      </c>
      <c r="I905" t="s">
        <v>76</v>
      </c>
      <c r="J905" t="s">
        <v>1314</v>
      </c>
      <c r="K905" t="s">
        <v>33</v>
      </c>
      <c r="L905" t="s">
        <v>34</v>
      </c>
      <c r="M905" t="s">
        <v>24</v>
      </c>
      <c r="O905" t="s">
        <v>25</v>
      </c>
    </row>
    <row r="906" spans="1:15" x14ac:dyDescent="0.2">
      <c r="A906" t="s">
        <v>1315</v>
      </c>
      <c r="B906" t="s">
        <v>16</v>
      </c>
      <c r="C906" t="s">
        <v>39</v>
      </c>
      <c r="D906" s="1">
        <v>18714</v>
      </c>
      <c r="E906" s="1">
        <v>45319</v>
      </c>
      <c r="F906" s="1">
        <v>45322</v>
      </c>
      <c r="G906" t="s">
        <v>72</v>
      </c>
      <c r="I906" t="s">
        <v>20</v>
      </c>
      <c r="J906" t="s">
        <v>854</v>
      </c>
      <c r="K906" t="s">
        <v>71</v>
      </c>
      <c r="M906" t="s">
        <v>24</v>
      </c>
      <c r="N906">
        <v>5</v>
      </c>
      <c r="O906" t="s">
        <v>36</v>
      </c>
    </row>
    <row r="907" spans="1:15" x14ac:dyDescent="0.2">
      <c r="A907" t="s">
        <v>1316</v>
      </c>
      <c r="B907" t="s">
        <v>51</v>
      </c>
      <c r="C907" t="s">
        <v>39</v>
      </c>
      <c r="D907" s="1">
        <v>39073</v>
      </c>
      <c r="E907" s="1">
        <v>45344</v>
      </c>
      <c r="F907" s="1">
        <v>45358</v>
      </c>
      <c r="G907" t="s">
        <v>100</v>
      </c>
      <c r="H907" t="s">
        <v>19</v>
      </c>
      <c r="I907" t="s">
        <v>31</v>
      </c>
      <c r="J907" t="s">
        <v>1317</v>
      </c>
      <c r="K907" t="s">
        <v>33</v>
      </c>
      <c r="L907" t="s">
        <v>34</v>
      </c>
      <c r="M907" t="s">
        <v>78</v>
      </c>
      <c r="N907">
        <v>1</v>
      </c>
      <c r="O907" t="s">
        <v>25</v>
      </c>
    </row>
    <row r="908" spans="1:15" x14ac:dyDescent="0.2">
      <c r="A908" t="s">
        <v>1318</v>
      </c>
      <c r="B908" t="s">
        <v>114</v>
      </c>
      <c r="C908" t="s">
        <v>65</v>
      </c>
      <c r="D908" s="1">
        <v>27736</v>
      </c>
      <c r="E908" s="1">
        <v>45397</v>
      </c>
      <c r="F908" s="1">
        <v>45400</v>
      </c>
      <c r="G908" t="s">
        <v>60</v>
      </c>
      <c r="H908" t="s">
        <v>52</v>
      </c>
      <c r="I908" t="s">
        <v>76</v>
      </c>
      <c r="J908">
        <v>128</v>
      </c>
      <c r="K908" t="s">
        <v>43</v>
      </c>
      <c r="L908" t="s">
        <v>34</v>
      </c>
      <c r="M908" t="s">
        <v>24</v>
      </c>
      <c r="N908">
        <v>5</v>
      </c>
    </row>
    <row r="909" spans="1:15" x14ac:dyDescent="0.2">
      <c r="A909" t="s">
        <v>1319</v>
      </c>
      <c r="B909" t="s">
        <v>114</v>
      </c>
      <c r="C909" t="s">
        <v>97</v>
      </c>
      <c r="D909" s="1">
        <v>27295</v>
      </c>
      <c r="E909" s="1">
        <v>45391</v>
      </c>
      <c r="F909" s="1">
        <v>45395</v>
      </c>
      <c r="G909" t="s">
        <v>46</v>
      </c>
      <c r="H909" t="s">
        <v>66</v>
      </c>
      <c r="I909" t="s">
        <v>41</v>
      </c>
      <c r="J909">
        <v>580</v>
      </c>
      <c r="K909" t="s">
        <v>71</v>
      </c>
      <c r="L909" t="s">
        <v>23</v>
      </c>
      <c r="M909" t="s">
        <v>24</v>
      </c>
      <c r="N909">
        <v>15</v>
      </c>
      <c r="O909" t="s">
        <v>25</v>
      </c>
    </row>
    <row r="910" spans="1:15" x14ac:dyDescent="0.2">
      <c r="A910" t="s">
        <v>1320</v>
      </c>
      <c r="B910" t="s">
        <v>38</v>
      </c>
      <c r="C910" t="s">
        <v>49</v>
      </c>
      <c r="D910" s="1">
        <v>30415</v>
      </c>
      <c r="E910" s="1">
        <v>45468</v>
      </c>
      <c r="F910" s="1">
        <v>45479</v>
      </c>
      <c r="G910" t="s">
        <v>29</v>
      </c>
      <c r="H910" t="s">
        <v>66</v>
      </c>
      <c r="I910" t="s">
        <v>20</v>
      </c>
      <c r="J910" t="s">
        <v>68</v>
      </c>
      <c r="K910" t="s">
        <v>22</v>
      </c>
      <c r="M910" t="s">
        <v>78</v>
      </c>
      <c r="N910">
        <v>13</v>
      </c>
    </row>
    <row r="911" spans="1:15" x14ac:dyDescent="0.2">
      <c r="A911" t="s">
        <v>1321</v>
      </c>
      <c r="B911" t="s">
        <v>85</v>
      </c>
      <c r="C911" t="s">
        <v>65</v>
      </c>
      <c r="D911" s="1">
        <v>35628</v>
      </c>
      <c r="E911" s="1">
        <v>45452</v>
      </c>
      <c r="F911" s="1">
        <v>45453</v>
      </c>
      <c r="G911" t="s">
        <v>88</v>
      </c>
      <c r="H911" t="s">
        <v>30</v>
      </c>
      <c r="I911" t="s">
        <v>41</v>
      </c>
      <c r="J911">
        <v>1234</v>
      </c>
      <c r="K911" t="s">
        <v>43</v>
      </c>
      <c r="M911" t="s">
        <v>35</v>
      </c>
      <c r="N911">
        <v>3</v>
      </c>
      <c r="O911" t="s">
        <v>25</v>
      </c>
    </row>
    <row r="912" spans="1:15" x14ac:dyDescent="0.2">
      <c r="A912" t="s">
        <v>1322</v>
      </c>
      <c r="B912" t="s">
        <v>45</v>
      </c>
      <c r="C912" t="s">
        <v>49</v>
      </c>
      <c r="D912" s="1">
        <v>32185</v>
      </c>
      <c r="E912" s="1">
        <v>45470</v>
      </c>
      <c r="F912" s="1">
        <v>45481</v>
      </c>
      <c r="G912" t="s">
        <v>72</v>
      </c>
      <c r="I912" t="s">
        <v>57</v>
      </c>
      <c r="J912" t="s">
        <v>86</v>
      </c>
      <c r="K912" t="s">
        <v>48</v>
      </c>
      <c r="M912" t="s">
        <v>78</v>
      </c>
      <c r="N912">
        <v>15</v>
      </c>
      <c r="O912" t="s">
        <v>25</v>
      </c>
    </row>
    <row r="913" spans="1:15" x14ac:dyDescent="0.2">
      <c r="A913">
        <v>911</v>
      </c>
      <c r="B913" t="s">
        <v>80</v>
      </c>
      <c r="C913" t="s">
        <v>39</v>
      </c>
      <c r="D913" s="1">
        <v>29278</v>
      </c>
      <c r="E913" s="1">
        <v>45412</v>
      </c>
      <c r="F913" s="1">
        <v>45420</v>
      </c>
      <c r="G913" t="s">
        <v>29</v>
      </c>
      <c r="H913" t="s">
        <v>61</v>
      </c>
      <c r="I913" t="s">
        <v>20</v>
      </c>
      <c r="J913" t="s">
        <v>1323</v>
      </c>
      <c r="K913" t="s">
        <v>43</v>
      </c>
      <c r="L913" t="s">
        <v>23</v>
      </c>
      <c r="M913" t="s">
        <v>35</v>
      </c>
      <c r="N913">
        <v>1</v>
      </c>
      <c r="O913" t="s">
        <v>25</v>
      </c>
    </row>
    <row r="914" spans="1:15" x14ac:dyDescent="0.2">
      <c r="A914">
        <v>912</v>
      </c>
      <c r="B914" t="s">
        <v>82</v>
      </c>
      <c r="C914" t="s">
        <v>65</v>
      </c>
      <c r="D914" s="1">
        <v>20643</v>
      </c>
      <c r="E914" s="1">
        <v>45466</v>
      </c>
      <c r="F914" s="1">
        <v>45470</v>
      </c>
      <c r="G914" t="s">
        <v>50</v>
      </c>
      <c r="H914" t="s">
        <v>30</v>
      </c>
      <c r="I914" t="s">
        <v>20</v>
      </c>
      <c r="J914" t="s">
        <v>1324</v>
      </c>
      <c r="K914" t="s">
        <v>48</v>
      </c>
      <c r="M914" t="s">
        <v>35</v>
      </c>
      <c r="N914">
        <v>11</v>
      </c>
    </row>
    <row r="915" spans="1:15" x14ac:dyDescent="0.2">
      <c r="A915">
        <v>913</v>
      </c>
      <c r="B915" t="s">
        <v>51</v>
      </c>
      <c r="C915" t="s">
        <v>17</v>
      </c>
      <c r="D915" s="1">
        <v>29431</v>
      </c>
      <c r="E915" s="1">
        <v>45448</v>
      </c>
      <c r="G915" t="s">
        <v>60</v>
      </c>
      <c r="I915" t="s">
        <v>57</v>
      </c>
      <c r="J915" t="s">
        <v>1325</v>
      </c>
      <c r="K915" t="s">
        <v>48</v>
      </c>
      <c r="M915" t="s">
        <v>24</v>
      </c>
      <c r="O915" t="s">
        <v>25</v>
      </c>
    </row>
    <row r="916" spans="1:15" x14ac:dyDescent="0.2">
      <c r="A916" t="s">
        <v>1326</v>
      </c>
      <c r="B916" t="s">
        <v>64</v>
      </c>
      <c r="C916" t="s">
        <v>39</v>
      </c>
      <c r="D916" s="1">
        <v>34305</v>
      </c>
      <c r="E916" s="1">
        <v>45397</v>
      </c>
      <c r="G916" t="s">
        <v>40</v>
      </c>
      <c r="H916" t="s">
        <v>61</v>
      </c>
      <c r="I916" t="s">
        <v>67</v>
      </c>
      <c r="J916" t="s">
        <v>1327</v>
      </c>
      <c r="K916" t="s">
        <v>48</v>
      </c>
      <c r="M916" t="s">
        <v>24</v>
      </c>
      <c r="N916">
        <v>6</v>
      </c>
      <c r="O916" t="s">
        <v>36</v>
      </c>
    </row>
    <row r="917" spans="1:15" x14ac:dyDescent="0.2">
      <c r="A917" t="s">
        <v>1328</v>
      </c>
      <c r="B917" t="s">
        <v>140</v>
      </c>
      <c r="C917" t="s">
        <v>17</v>
      </c>
      <c r="D917" s="1">
        <v>21459</v>
      </c>
      <c r="E917" s="1">
        <v>45462</v>
      </c>
      <c r="F917" s="1">
        <v>45476</v>
      </c>
      <c r="G917" t="s">
        <v>50</v>
      </c>
      <c r="H917" t="s">
        <v>75</v>
      </c>
      <c r="I917" t="s">
        <v>20</v>
      </c>
      <c r="J917" t="s">
        <v>1329</v>
      </c>
      <c r="K917" t="s">
        <v>22</v>
      </c>
      <c r="L917" t="s">
        <v>23</v>
      </c>
      <c r="M917" t="s">
        <v>35</v>
      </c>
      <c r="O917" t="s">
        <v>25</v>
      </c>
    </row>
    <row r="918" spans="1:15" x14ac:dyDescent="0.2">
      <c r="A918" t="s">
        <v>1330</v>
      </c>
      <c r="B918" t="s">
        <v>114</v>
      </c>
      <c r="C918" t="s">
        <v>97</v>
      </c>
      <c r="D918" s="1">
        <v>38535</v>
      </c>
      <c r="E918" s="1">
        <v>45300</v>
      </c>
      <c r="F918" s="1">
        <v>45312</v>
      </c>
      <c r="G918" t="s">
        <v>83</v>
      </c>
      <c r="H918" t="s">
        <v>75</v>
      </c>
      <c r="I918" t="s">
        <v>41</v>
      </c>
      <c r="J918">
        <v>713</v>
      </c>
      <c r="K918" t="s">
        <v>22</v>
      </c>
      <c r="L918" t="s">
        <v>34</v>
      </c>
      <c r="M918" t="s">
        <v>35</v>
      </c>
      <c r="N918">
        <v>1</v>
      </c>
      <c r="O918" t="s">
        <v>25</v>
      </c>
    </row>
    <row r="919" spans="1:15" x14ac:dyDescent="0.2">
      <c r="A919">
        <v>917</v>
      </c>
      <c r="B919" t="s">
        <v>80</v>
      </c>
      <c r="C919" t="s">
        <v>65</v>
      </c>
      <c r="D919" s="1">
        <v>24001</v>
      </c>
      <c r="E919" s="1">
        <v>45319</v>
      </c>
      <c r="F919" s="1">
        <v>45323</v>
      </c>
      <c r="G919" t="s">
        <v>46</v>
      </c>
      <c r="H919" t="s">
        <v>19</v>
      </c>
      <c r="I919" t="s">
        <v>20</v>
      </c>
      <c r="J919" t="s">
        <v>1331</v>
      </c>
      <c r="K919" t="s">
        <v>22</v>
      </c>
      <c r="M919" t="s">
        <v>24</v>
      </c>
      <c r="N919">
        <v>9</v>
      </c>
    </row>
    <row r="920" spans="1:15" x14ac:dyDescent="0.2">
      <c r="A920" t="s">
        <v>1332</v>
      </c>
      <c r="B920" t="s">
        <v>119</v>
      </c>
      <c r="C920" t="s">
        <v>65</v>
      </c>
      <c r="D920" s="1">
        <v>29079</v>
      </c>
      <c r="E920" s="1">
        <v>45332</v>
      </c>
      <c r="F920" s="1">
        <v>45339</v>
      </c>
      <c r="G920" t="s">
        <v>18</v>
      </c>
      <c r="I920" t="s">
        <v>41</v>
      </c>
      <c r="J920" t="s">
        <v>1333</v>
      </c>
      <c r="K920" t="s">
        <v>33</v>
      </c>
      <c r="M920" t="s">
        <v>24</v>
      </c>
    </row>
    <row r="921" spans="1:15" x14ac:dyDescent="0.2">
      <c r="A921" t="s">
        <v>1334</v>
      </c>
      <c r="B921" t="s">
        <v>51</v>
      </c>
      <c r="C921" t="s">
        <v>28</v>
      </c>
      <c r="D921" s="1">
        <v>27948</v>
      </c>
      <c r="E921" s="1">
        <v>45429</v>
      </c>
      <c r="F921" s="1">
        <v>45443</v>
      </c>
      <c r="G921" t="s">
        <v>46</v>
      </c>
      <c r="H921" t="s">
        <v>66</v>
      </c>
      <c r="I921" t="s">
        <v>67</v>
      </c>
      <c r="J921" t="s">
        <v>1335</v>
      </c>
      <c r="K921" t="s">
        <v>43</v>
      </c>
      <c r="M921" t="s">
        <v>78</v>
      </c>
      <c r="N921">
        <v>10</v>
      </c>
    </row>
    <row r="922" spans="1:15" x14ac:dyDescent="0.2">
      <c r="A922" t="s">
        <v>1336</v>
      </c>
      <c r="B922" t="s">
        <v>87</v>
      </c>
      <c r="C922" t="s">
        <v>17</v>
      </c>
      <c r="D922" s="1">
        <v>35236</v>
      </c>
      <c r="E922" s="1">
        <v>45429</v>
      </c>
      <c r="F922" s="1">
        <v>45433</v>
      </c>
      <c r="G922" t="s">
        <v>40</v>
      </c>
      <c r="I922" t="s">
        <v>57</v>
      </c>
      <c r="J922" t="s">
        <v>1337</v>
      </c>
      <c r="K922" t="s">
        <v>22</v>
      </c>
      <c r="L922" t="s">
        <v>34</v>
      </c>
      <c r="M922" t="s">
        <v>78</v>
      </c>
      <c r="N922">
        <v>2</v>
      </c>
      <c r="O922" t="s">
        <v>36</v>
      </c>
    </row>
    <row r="923" spans="1:15" x14ac:dyDescent="0.2">
      <c r="A923">
        <v>921</v>
      </c>
      <c r="B923" t="s">
        <v>59</v>
      </c>
      <c r="C923" t="s">
        <v>65</v>
      </c>
      <c r="D923" s="1">
        <v>22726</v>
      </c>
      <c r="E923" s="1">
        <v>45303</v>
      </c>
      <c r="F923" s="1">
        <v>45317</v>
      </c>
      <c r="G923" t="s">
        <v>46</v>
      </c>
      <c r="I923" t="s">
        <v>41</v>
      </c>
      <c r="J923" t="s">
        <v>1338</v>
      </c>
      <c r="K923" t="s">
        <v>43</v>
      </c>
      <c r="L923" t="s">
        <v>23</v>
      </c>
      <c r="M923" t="s">
        <v>24</v>
      </c>
      <c r="N923">
        <v>7</v>
      </c>
    </row>
    <row r="924" spans="1:15" x14ac:dyDescent="0.2">
      <c r="A924" t="s">
        <v>1339</v>
      </c>
      <c r="B924" t="s">
        <v>27</v>
      </c>
      <c r="C924" t="s">
        <v>17</v>
      </c>
      <c r="D924" s="1">
        <v>28810</v>
      </c>
      <c r="E924" s="1">
        <v>45334</v>
      </c>
      <c r="F924" s="1">
        <v>45340</v>
      </c>
      <c r="G924" t="s">
        <v>88</v>
      </c>
      <c r="I924" t="s">
        <v>20</v>
      </c>
      <c r="J924" t="s">
        <v>1340</v>
      </c>
      <c r="K924" t="s">
        <v>48</v>
      </c>
      <c r="L924" t="s">
        <v>34</v>
      </c>
      <c r="M924" t="s">
        <v>78</v>
      </c>
    </row>
    <row r="925" spans="1:15" x14ac:dyDescent="0.2">
      <c r="A925" t="s">
        <v>1341</v>
      </c>
      <c r="B925" t="s">
        <v>119</v>
      </c>
      <c r="C925" t="s">
        <v>17</v>
      </c>
      <c r="D925" s="1">
        <v>20971</v>
      </c>
      <c r="E925" s="1">
        <v>45415</v>
      </c>
      <c r="F925" s="1">
        <v>45430</v>
      </c>
      <c r="G925" t="s">
        <v>88</v>
      </c>
      <c r="I925" t="s">
        <v>53</v>
      </c>
      <c r="J925" t="s">
        <v>1342</v>
      </c>
      <c r="K925" t="s">
        <v>22</v>
      </c>
      <c r="M925" t="s">
        <v>78</v>
      </c>
      <c r="N925">
        <v>2</v>
      </c>
    </row>
    <row r="926" spans="1:15" x14ac:dyDescent="0.2">
      <c r="A926" t="s">
        <v>1343</v>
      </c>
      <c r="B926" t="s">
        <v>45</v>
      </c>
      <c r="C926" t="s">
        <v>39</v>
      </c>
      <c r="D926" s="1">
        <v>27836</v>
      </c>
      <c r="E926" s="1">
        <v>45332</v>
      </c>
      <c r="F926" s="1">
        <v>45335</v>
      </c>
      <c r="G926" t="s">
        <v>60</v>
      </c>
      <c r="H926" t="s">
        <v>19</v>
      </c>
      <c r="I926" t="s">
        <v>57</v>
      </c>
      <c r="J926" t="s">
        <v>1344</v>
      </c>
      <c r="K926" t="s">
        <v>22</v>
      </c>
      <c r="M926" t="s">
        <v>24</v>
      </c>
      <c r="N926">
        <v>1</v>
      </c>
      <c r="O926" t="s">
        <v>36</v>
      </c>
    </row>
    <row r="927" spans="1:15" x14ac:dyDescent="0.2">
      <c r="A927">
        <v>925</v>
      </c>
      <c r="B927" t="s">
        <v>56</v>
      </c>
      <c r="C927" t="s">
        <v>17</v>
      </c>
      <c r="D927" s="1">
        <v>34882</v>
      </c>
      <c r="E927" s="1">
        <v>45411</v>
      </c>
      <c r="G927" t="s">
        <v>88</v>
      </c>
      <c r="H927" t="s">
        <v>66</v>
      </c>
      <c r="I927" t="s">
        <v>53</v>
      </c>
      <c r="J927" t="s">
        <v>1345</v>
      </c>
      <c r="K927" t="s">
        <v>71</v>
      </c>
      <c r="M927" t="s">
        <v>24</v>
      </c>
      <c r="N927">
        <v>6</v>
      </c>
    </row>
    <row r="928" spans="1:15" x14ac:dyDescent="0.2">
      <c r="A928" t="s">
        <v>1346</v>
      </c>
      <c r="B928" t="s">
        <v>38</v>
      </c>
      <c r="C928" t="s">
        <v>65</v>
      </c>
      <c r="D928" s="1">
        <v>23177</v>
      </c>
      <c r="E928" s="1">
        <v>45388</v>
      </c>
      <c r="F928" s="1">
        <v>45391</v>
      </c>
      <c r="G928" t="s">
        <v>40</v>
      </c>
      <c r="H928" t="s">
        <v>52</v>
      </c>
      <c r="I928" t="s">
        <v>31</v>
      </c>
      <c r="J928" t="s">
        <v>1347</v>
      </c>
      <c r="K928" t="s">
        <v>33</v>
      </c>
      <c r="M928" t="s">
        <v>35</v>
      </c>
      <c r="N928">
        <v>7</v>
      </c>
    </row>
    <row r="929" spans="1:15" x14ac:dyDescent="0.2">
      <c r="A929" t="s">
        <v>1348</v>
      </c>
      <c r="B929" t="s">
        <v>27</v>
      </c>
      <c r="C929" t="s">
        <v>49</v>
      </c>
      <c r="D929" s="1">
        <v>19554</v>
      </c>
      <c r="E929" s="1">
        <v>45305</v>
      </c>
      <c r="F929" s="1">
        <v>45312</v>
      </c>
      <c r="G929" t="s">
        <v>18</v>
      </c>
      <c r="H929" t="s">
        <v>30</v>
      </c>
      <c r="I929" t="s">
        <v>41</v>
      </c>
      <c r="J929" t="s">
        <v>1126</v>
      </c>
      <c r="K929" t="s">
        <v>22</v>
      </c>
      <c r="L929" t="s">
        <v>34</v>
      </c>
      <c r="M929" t="s">
        <v>35</v>
      </c>
      <c r="O929" t="s">
        <v>25</v>
      </c>
    </row>
    <row r="930" spans="1:15" x14ac:dyDescent="0.2">
      <c r="A930" t="s">
        <v>1349</v>
      </c>
      <c r="B930" t="s">
        <v>118</v>
      </c>
      <c r="C930" t="s">
        <v>92</v>
      </c>
      <c r="D930" s="1">
        <v>35584</v>
      </c>
      <c r="E930" s="1">
        <v>45434</v>
      </c>
      <c r="F930" s="1">
        <v>45446</v>
      </c>
      <c r="G930" t="s">
        <v>72</v>
      </c>
      <c r="H930" t="s">
        <v>52</v>
      </c>
      <c r="I930" t="s">
        <v>57</v>
      </c>
      <c r="J930">
        <v>1070</v>
      </c>
      <c r="K930" t="s">
        <v>22</v>
      </c>
      <c r="L930" t="s">
        <v>23</v>
      </c>
      <c r="M930" t="s">
        <v>78</v>
      </c>
      <c r="N930">
        <v>4</v>
      </c>
    </row>
    <row r="931" spans="1:15" x14ac:dyDescent="0.2">
      <c r="A931" t="s">
        <v>1350</v>
      </c>
      <c r="B931" t="s">
        <v>150</v>
      </c>
      <c r="C931" t="s">
        <v>28</v>
      </c>
      <c r="D931" s="1">
        <v>27039</v>
      </c>
      <c r="E931" s="1">
        <v>45331</v>
      </c>
      <c r="G931" t="s">
        <v>29</v>
      </c>
      <c r="H931" t="s">
        <v>61</v>
      </c>
      <c r="I931" t="s">
        <v>53</v>
      </c>
      <c r="J931" t="s">
        <v>1351</v>
      </c>
      <c r="K931" t="s">
        <v>43</v>
      </c>
      <c r="M931" t="s">
        <v>78</v>
      </c>
      <c r="O931" t="s">
        <v>25</v>
      </c>
    </row>
    <row r="932" spans="1:15" x14ac:dyDescent="0.2">
      <c r="A932" t="s">
        <v>1352</v>
      </c>
      <c r="B932" t="s">
        <v>82</v>
      </c>
      <c r="C932" t="s">
        <v>39</v>
      </c>
      <c r="D932" s="1">
        <v>22540</v>
      </c>
      <c r="E932" s="1">
        <v>45427</v>
      </c>
      <c r="F932" s="1">
        <v>45432</v>
      </c>
      <c r="G932" t="s">
        <v>74</v>
      </c>
      <c r="H932" t="s">
        <v>19</v>
      </c>
      <c r="I932" t="s">
        <v>41</v>
      </c>
      <c r="J932">
        <v>183</v>
      </c>
      <c r="K932" t="s">
        <v>33</v>
      </c>
      <c r="M932" t="s">
        <v>35</v>
      </c>
      <c r="N932">
        <v>13</v>
      </c>
      <c r="O932" t="s">
        <v>36</v>
      </c>
    </row>
    <row r="933" spans="1:15" x14ac:dyDescent="0.2">
      <c r="A933">
        <v>931</v>
      </c>
      <c r="B933" t="s">
        <v>80</v>
      </c>
      <c r="C933" t="s">
        <v>97</v>
      </c>
      <c r="D933" s="1">
        <v>31478</v>
      </c>
      <c r="E933" s="1">
        <v>45464</v>
      </c>
      <c r="F933" s="1">
        <v>45475</v>
      </c>
      <c r="G933" t="s">
        <v>60</v>
      </c>
      <c r="H933" t="s">
        <v>52</v>
      </c>
      <c r="I933" t="s">
        <v>41</v>
      </c>
      <c r="J933" t="s">
        <v>1353</v>
      </c>
      <c r="K933" t="s">
        <v>71</v>
      </c>
      <c r="M933" t="s">
        <v>78</v>
      </c>
      <c r="N933">
        <v>5</v>
      </c>
      <c r="O933" t="s">
        <v>36</v>
      </c>
    </row>
    <row r="934" spans="1:15" x14ac:dyDescent="0.2">
      <c r="A934" t="s">
        <v>1354</v>
      </c>
      <c r="B934" t="s">
        <v>119</v>
      </c>
      <c r="C934" t="s">
        <v>39</v>
      </c>
      <c r="D934" s="1">
        <v>35642</v>
      </c>
      <c r="E934" s="1">
        <v>45349</v>
      </c>
      <c r="F934" s="1">
        <v>45358</v>
      </c>
      <c r="G934" t="s">
        <v>60</v>
      </c>
      <c r="H934" t="s">
        <v>30</v>
      </c>
      <c r="I934" t="s">
        <v>53</v>
      </c>
      <c r="J934">
        <v>374</v>
      </c>
      <c r="K934" t="s">
        <v>43</v>
      </c>
      <c r="L934" t="s">
        <v>34</v>
      </c>
      <c r="M934" t="s">
        <v>24</v>
      </c>
      <c r="N934">
        <v>1</v>
      </c>
      <c r="O934" t="s">
        <v>36</v>
      </c>
    </row>
    <row r="935" spans="1:15" x14ac:dyDescent="0.2">
      <c r="A935" t="s">
        <v>1355</v>
      </c>
      <c r="B935" t="s">
        <v>80</v>
      </c>
      <c r="C935" t="s">
        <v>39</v>
      </c>
      <c r="D935" s="1">
        <v>27811</v>
      </c>
      <c r="E935" s="1">
        <v>45344</v>
      </c>
      <c r="F935" s="1">
        <v>45357</v>
      </c>
      <c r="G935" t="s">
        <v>50</v>
      </c>
      <c r="I935" t="s">
        <v>57</v>
      </c>
      <c r="J935" t="s">
        <v>1356</v>
      </c>
      <c r="K935" t="s">
        <v>48</v>
      </c>
      <c r="M935" t="s">
        <v>24</v>
      </c>
      <c r="O935" t="s">
        <v>25</v>
      </c>
    </row>
    <row r="936" spans="1:15" x14ac:dyDescent="0.2">
      <c r="A936" t="s">
        <v>1357</v>
      </c>
      <c r="B936" t="s">
        <v>150</v>
      </c>
      <c r="C936" t="s">
        <v>17</v>
      </c>
      <c r="D936" s="1">
        <v>37920</v>
      </c>
      <c r="E936" s="1">
        <v>45426</v>
      </c>
      <c r="F936" s="1">
        <v>45439</v>
      </c>
      <c r="G936" t="s">
        <v>40</v>
      </c>
      <c r="H936" t="s">
        <v>66</v>
      </c>
      <c r="I936" t="s">
        <v>57</v>
      </c>
      <c r="J936" t="s">
        <v>1358</v>
      </c>
      <c r="K936" t="s">
        <v>43</v>
      </c>
      <c r="L936" t="s">
        <v>34</v>
      </c>
      <c r="M936" t="s">
        <v>24</v>
      </c>
      <c r="N936">
        <v>8</v>
      </c>
      <c r="O936" t="s">
        <v>25</v>
      </c>
    </row>
    <row r="937" spans="1:15" x14ac:dyDescent="0.2">
      <c r="A937" t="s">
        <v>1359</v>
      </c>
      <c r="B937" t="s">
        <v>118</v>
      </c>
      <c r="C937" t="s">
        <v>49</v>
      </c>
      <c r="D937" s="1">
        <v>28848</v>
      </c>
      <c r="E937" s="1">
        <v>45302</v>
      </c>
      <c r="F937" s="1">
        <v>45314</v>
      </c>
      <c r="G937" t="s">
        <v>74</v>
      </c>
      <c r="I937" t="s">
        <v>57</v>
      </c>
      <c r="J937">
        <v>1134</v>
      </c>
      <c r="K937" t="s">
        <v>33</v>
      </c>
      <c r="M937" t="s">
        <v>35</v>
      </c>
      <c r="N937">
        <v>9</v>
      </c>
      <c r="O937" t="s">
        <v>36</v>
      </c>
    </row>
    <row r="938" spans="1:15" x14ac:dyDescent="0.2">
      <c r="A938" t="s">
        <v>1360</v>
      </c>
      <c r="B938" t="s">
        <v>105</v>
      </c>
      <c r="C938" t="s">
        <v>17</v>
      </c>
      <c r="D938" s="1">
        <v>18613</v>
      </c>
      <c r="E938" s="1">
        <v>45345</v>
      </c>
      <c r="F938" s="1">
        <v>45346</v>
      </c>
      <c r="G938" t="s">
        <v>83</v>
      </c>
      <c r="I938" t="s">
        <v>76</v>
      </c>
      <c r="J938" t="s">
        <v>1361</v>
      </c>
      <c r="K938" t="s">
        <v>43</v>
      </c>
      <c r="L938" t="s">
        <v>34</v>
      </c>
      <c r="M938" t="s">
        <v>35</v>
      </c>
      <c r="N938">
        <v>6</v>
      </c>
      <c r="O938" t="s">
        <v>36</v>
      </c>
    </row>
    <row r="939" spans="1:15" x14ac:dyDescent="0.2">
      <c r="A939" t="s">
        <v>1362</v>
      </c>
      <c r="B939" t="s">
        <v>56</v>
      </c>
      <c r="C939" t="s">
        <v>92</v>
      </c>
      <c r="D939" s="1">
        <v>27558</v>
      </c>
      <c r="E939" s="1">
        <v>45398</v>
      </c>
      <c r="F939" s="1">
        <v>45409</v>
      </c>
      <c r="G939" t="s">
        <v>29</v>
      </c>
      <c r="H939" t="s">
        <v>30</v>
      </c>
      <c r="I939" t="s">
        <v>57</v>
      </c>
      <c r="J939" t="s">
        <v>1363</v>
      </c>
      <c r="K939" t="s">
        <v>48</v>
      </c>
      <c r="L939" t="s">
        <v>34</v>
      </c>
      <c r="M939" t="s">
        <v>78</v>
      </c>
      <c r="N939">
        <v>13</v>
      </c>
      <c r="O939" t="s">
        <v>25</v>
      </c>
    </row>
    <row r="940" spans="1:15" x14ac:dyDescent="0.2">
      <c r="A940" t="s">
        <v>1364</v>
      </c>
      <c r="B940" t="s">
        <v>119</v>
      </c>
      <c r="C940" t="s">
        <v>92</v>
      </c>
      <c r="D940" s="1">
        <v>21830</v>
      </c>
      <c r="E940" s="1">
        <v>45349</v>
      </c>
      <c r="F940" s="1">
        <v>45357</v>
      </c>
      <c r="G940" t="s">
        <v>88</v>
      </c>
      <c r="H940" t="s">
        <v>61</v>
      </c>
      <c r="I940" t="s">
        <v>67</v>
      </c>
      <c r="J940" t="s">
        <v>1365</v>
      </c>
      <c r="K940" t="s">
        <v>22</v>
      </c>
      <c r="L940" t="s">
        <v>23</v>
      </c>
      <c r="M940" t="s">
        <v>35</v>
      </c>
      <c r="N940">
        <v>9</v>
      </c>
      <c r="O940" t="s">
        <v>25</v>
      </c>
    </row>
    <row r="941" spans="1:15" x14ac:dyDescent="0.2">
      <c r="A941" t="s">
        <v>1366</v>
      </c>
      <c r="B941" t="s">
        <v>91</v>
      </c>
      <c r="C941" t="s">
        <v>28</v>
      </c>
      <c r="D941" s="1">
        <v>27275</v>
      </c>
      <c r="E941" s="1">
        <v>45378</v>
      </c>
      <c r="G941" t="s">
        <v>60</v>
      </c>
      <c r="H941" t="s">
        <v>66</v>
      </c>
      <c r="I941" t="s">
        <v>53</v>
      </c>
      <c r="J941" t="s">
        <v>1367</v>
      </c>
      <c r="K941" t="s">
        <v>43</v>
      </c>
      <c r="M941" t="s">
        <v>24</v>
      </c>
      <c r="O941" t="s">
        <v>36</v>
      </c>
    </row>
    <row r="942" spans="1:15" x14ac:dyDescent="0.2">
      <c r="A942" t="s">
        <v>1368</v>
      </c>
      <c r="B942" t="s">
        <v>64</v>
      </c>
      <c r="C942" t="s">
        <v>39</v>
      </c>
      <c r="D942" s="1">
        <v>29322</v>
      </c>
      <c r="E942" s="1">
        <v>45418</v>
      </c>
      <c r="F942" s="1">
        <v>45431</v>
      </c>
      <c r="G942" t="s">
        <v>40</v>
      </c>
      <c r="H942" t="s">
        <v>75</v>
      </c>
      <c r="I942" t="s">
        <v>20</v>
      </c>
      <c r="J942" t="s">
        <v>1369</v>
      </c>
      <c r="K942" t="s">
        <v>71</v>
      </c>
      <c r="L942" t="s">
        <v>34</v>
      </c>
      <c r="M942" t="s">
        <v>35</v>
      </c>
      <c r="N942">
        <v>14</v>
      </c>
      <c r="O942" t="s">
        <v>25</v>
      </c>
    </row>
    <row r="943" spans="1:15" x14ac:dyDescent="0.2">
      <c r="A943" t="s">
        <v>1370</v>
      </c>
      <c r="B943" t="s">
        <v>51</v>
      </c>
      <c r="C943" t="s">
        <v>92</v>
      </c>
      <c r="D943" s="1">
        <v>31062</v>
      </c>
      <c r="E943" s="1">
        <v>45447</v>
      </c>
      <c r="F943" s="1">
        <v>45460</v>
      </c>
      <c r="G943" t="s">
        <v>29</v>
      </c>
      <c r="H943" t="s">
        <v>52</v>
      </c>
      <c r="I943" t="s">
        <v>53</v>
      </c>
      <c r="J943" t="s">
        <v>1371</v>
      </c>
      <c r="K943" t="s">
        <v>33</v>
      </c>
      <c r="L943" t="s">
        <v>23</v>
      </c>
      <c r="M943" t="s">
        <v>35</v>
      </c>
      <c r="N943">
        <v>13</v>
      </c>
      <c r="O943" t="s">
        <v>25</v>
      </c>
    </row>
    <row r="944" spans="1:15" x14ac:dyDescent="0.2">
      <c r="A944">
        <v>942</v>
      </c>
      <c r="B944" t="s">
        <v>59</v>
      </c>
      <c r="C944" t="s">
        <v>92</v>
      </c>
      <c r="D944" s="1">
        <v>19969</v>
      </c>
      <c r="E944" s="1">
        <v>45422</v>
      </c>
      <c r="F944" s="1">
        <v>45424</v>
      </c>
      <c r="G944" t="s">
        <v>72</v>
      </c>
      <c r="I944" t="s">
        <v>76</v>
      </c>
      <c r="J944" t="s">
        <v>1372</v>
      </c>
      <c r="K944" t="s">
        <v>43</v>
      </c>
      <c r="L944" t="s">
        <v>23</v>
      </c>
      <c r="M944" t="s">
        <v>24</v>
      </c>
      <c r="N944">
        <v>5</v>
      </c>
    </row>
    <row r="945" spans="1:15" x14ac:dyDescent="0.2">
      <c r="A945" t="s">
        <v>1373</v>
      </c>
      <c r="B945" t="s">
        <v>16</v>
      </c>
      <c r="C945" t="s">
        <v>97</v>
      </c>
      <c r="D945" s="1">
        <v>28225</v>
      </c>
      <c r="E945" s="1">
        <v>45427</v>
      </c>
      <c r="F945" s="1">
        <v>45433</v>
      </c>
      <c r="G945" t="s">
        <v>50</v>
      </c>
      <c r="H945" t="s">
        <v>19</v>
      </c>
      <c r="I945" t="s">
        <v>41</v>
      </c>
      <c r="J945" t="s">
        <v>1182</v>
      </c>
      <c r="K945" t="s">
        <v>71</v>
      </c>
      <c r="L945" t="s">
        <v>34</v>
      </c>
      <c r="M945" t="s">
        <v>35</v>
      </c>
      <c r="O945" t="s">
        <v>36</v>
      </c>
    </row>
    <row r="946" spans="1:15" x14ac:dyDescent="0.2">
      <c r="A946" t="s">
        <v>1374</v>
      </c>
      <c r="B946" t="s">
        <v>16</v>
      </c>
      <c r="C946" t="s">
        <v>17</v>
      </c>
      <c r="D946" s="1">
        <v>21621</v>
      </c>
      <c r="E946" s="1">
        <v>45407</v>
      </c>
      <c r="F946" s="1">
        <v>45408</v>
      </c>
      <c r="G946" t="s">
        <v>18</v>
      </c>
      <c r="H946" t="s">
        <v>61</v>
      </c>
      <c r="I946" t="s">
        <v>53</v>
      </c>
      <c r="J946" t="s">
        <v>1375</v>
      </c>
      <c r="K946" t="s">
        <v>33</v>
      </c>
      <c r="L946" t="s">
        <v>23</v>
      </c>
      <c r="M946" t="s">
        <v>35</v>
      </c>
      <c r="N946">
        <v>8</v>
      </c>
      <c r="O946" t="s">
        <v>36</v>
      </c>
    </row>
    <row r="947" spans="1:15" x14ac:dyDescent="0.2">
      <c r="A947" t="s">
        <v>1376</v>
      </c>
      <c r="B947" t="s">
        <v>140</v>
      </c>
      <c r="C947" t="s">
        <v>28</v>
      </c>
      <c r="D947" s="1">
        <v>37854</v>
      </c>
      <c r="E947" s="1">
        <v>45451</v>
      </c>
      <c r="F947" s="1">
        <v>45462</v>
      </c>
      <c r="G947" t="s">
        <v>40</v>
      </c>
      <c r="H947" t="s">
        <v>75</v>
      </c>
      <c r="I947" t="s">
        <v>57</v>
      </c>
      <c r="J947">
        <v>1329</v>
      </c>
      <c r="K947" t="s">
        <v>48</v>
      </c>
      <c r="M947" t="s">
        <v>35</v>
      </c>
      <c r="N947">
        <v>6</v>
      </c>
    </row>
    <row r="948" spans="1:15" x14ac:dyDescent="0.2">
      <c r="A948">
        <v>946</v>
      </c>
      <c r="B948" t="s">
        <v>119</v>
      </c>
      <c r="C948" t="s">
        <v>97</v>
      </c>
      <c r="D948" s="1">
        <v>23078</v>
      </c>
      <c r="E948" s="1">
        <v>45436</v>
      </c>
      <c r="F948" s="1">
        <v>45449</v>
      </c>
      <c r="G948" t="s">
        <v>18</v>
      </c>
      <c r="H948" t="s">
        <v>61</v>
      </c>
      <c r="I948" t="s">
        <v>41</v>
      </c>
      <c r="J948" t="s">
        <v>1377</v>
      </c>
      <c r="K948" t="s">
        <v>22</v>
      </c>
      <c r="L948" t="s">
        <v>34</v>
      </c>
      <c r="M948" t="s">
        <v>35</v>
      </c>
      <c r="N948">
        <v>13</v>
      </c>
      <c r="O948" t="s">
        <v>25</v>
      </c>
    </row>
    <row r="949" spans="1:15" x14ac:dyDescent="0.2">
      <c r="A949">
        <v>947</v>
      </c>
      <c r="B949" t="s">
        <v>87</v>
      </c>
      <c r="C949" t="s">
        <v>39</v>
      </c>
      <c r="D949" s="1">
        <v>32350</v>
      </c>
      <c r="E949" s="1">
        <v>45436</v>
      </c>
      <c r="F949" s="1">
        <v>45448</v>
      </c>
      <c r="G949" t="s">
        <v>40</v>
      </c>
      <c r="H949" t="s">
        <v>19</v>
      </c>
      <c r="I949" t="s">
        <v>67</v>
      </c>
      <c r="J949" t="s">
        <v>1378</v>
      </c>
      <c r="K949" t="s">
        <v>71</v>
      </c>
      <c r="M949" t="s">
        <v>35</v>
      </c>
      <c r="N949">
        <v>3</v>
      </c>
    </row>
    <row r="950" spans="1:15" x14ac:dyDescent="0.2">
      <c r="A950" t="s">
        <v>1379</v>
      </c>
      <c r="B950" t="s">
        <v>45</v>
      </c>
      <c r="C950" t="s">
        <v>65</v>
      </c>
      <c r="D950" s="1">
        <v>25738</v>
      </c>
      <c r="E950" s="1">
        <v>45375</v>
      </c>
      <c r="F950" s="1">
        <v>45390</v>
      </c>
      <c r="G950" t="s">
        <v>72</v>
      </c>
      <c r="H950" t="s">
        <v>61</v>
      </c>
      <c r="I950" t="s">
        <v>41</v>
      </c>
      <c r="J950" t="s">
        <v>868</v>
      </c>
      <c r="K950" t="s">
        <v>48</v>
      </c>
      <c r="M950" t="s">
        <v>78</v>
      </c>
      <c r="N950">
        <v>2</v>
      </c>
      <c r="O950" t="s">
        <v>25</v>
      </c>
    </row>
    <row r="951" spans="1:15" x14ac:dyDescent="0.2">
      <c r="A951" t="s">
        <v>1380</v>
      </c>
      <c r="B951" t="s">
        <v>119</v>
      </c>
      <c r="C951" t="s">
        <v>65</v>
      </c>
      <c r="D951" s="1">
        <v>32490</v>
      </c>
      <c r="E951" s="1">
        <v>45299</v>
      </c>
      <c r="F951" s="1">
        <v>45312</v>
      </c>
      <c r="G951" t="s">
        <v>40</v>
      </c>
      <c r="H951" t="s">
        <v>75</v>
      </c>
      <c r="I951" t="s">
        <v>67</v>
      </c>
      <c r="J951" t="s">
        <v>1381</v>
      </c>
      <c r="K951" t="s">
        <v>48</v>
      </c>
      <c r="M951" t="s">
        <v>24</v>
      </c>
      <c r="N951">
        <v>7</v>
      </c>
    </row>
    <row r="952" spans="1:15" x14ac:dyDescent="0.2">
      <c r="A952" t="s">
        <v>1382</v>
      </c>
      <c r="B952" t="s">
        <v>51</v>
      </c>
      <c r="C952" t="s">
        <v>17</v>
      </c>
      <c r="D952" s="1">
        <v>36672</v>
      </c>
      <c r="E952" s="1">
        <v>45401</v>
      </c>
      <c r="F952" s="1">
        <v>45412</v>
      </c>
      <c r="G952" t="s">
        <v>50</v>
      </c>
      <c r="I952" t="s">
        <v>57</v>
      </c>
      <c r="J952" t="s">
        <v>1383</v>
      </c>
      <c r="K952" t="s">
        <v>48</v>
      </c>
      <c r="M952" t="s">
        <v>35</v>
      </c>
      <c r="N952">
        <v>7</v>
      </c>
    </row>
    <row r="953" spans="1:15" x14ac:dyDescent="0.2">
      <c r="A953" t="s">
        <v>1384</v>
      </c>
      <c r="B953" t="s">
        <v>91</v>
      </c>
      <c r="C953" t="s">
        <v>65</v>
      </c>
      <c r="D953" s="1">
        <v>28446</v>
      </c>
      <c r="E953" s="1">
        <v>45452</v>
      </c>
      <c r="F953" s="1">
        <v>45466</v>
      </c>
      <c r="G953" t="s">
        <v>100</v>
      </c>
      <c r="I953" t="s">
        <v>67</v>
      </c>
      <c r="J953" t="s">
        <v>1385</v>
      </c>
      <c r="K953" t="s">
        <v>43</v>
      </c>
      <c r="M953" t="s">
        <v>24</v>
      </c>
      <c r="N953">
        <v>15</v>
      </c>
      <c r="O953" t="s">
        <v>36</v>
      </c>
    </row>
    <row r="954" spans="1:15" x14ac:dyDescent="0.2">
      <c r="A954" t="s">
        <v>1386</v>
      </c>
      <c r="B954" t="s">
        <v>80</v>
      </c>
      <c r="C954" t="s">
        <v>17</v>
      </c>
      <c r="D954" s="1">
        <v>30951</v>
      </c>
      <c r="E954" s="1">
        <v>45311</v>
      </c>
      <c r="F954" s="1">
        <v>45325</v>
      </c>
      <c r="G954" t="s">
        <v>88</v>
      </c>
      <c r="H954" t="s">
        <v>66</v>
      </c>
      <c r="I954" t="s">
        <v>20</v>
      </c>
      <c r="J954" t="s">
        <v>1387</v>
      </c>
      <c r="K954" t="s">
        <v>43</v>
      </c>
      <c r="M954" t="s">
        <v>35</v>
      </c>
    </row>
    <row r="955" spans="1:15" x14ac:dyDescent="0.2">
      <c r="A955" t="s">
        <v>1388</v>
      </c>
      <c r="B955" t="s">
        <v>59</v>
      </c>
      <c r="C955" t="s">
        <v>17</v>
      </c>
      <c r="D955" s="1">
        <v>33112</v>
      </c>
      <c r="E955" s="1">
        <v>45337</v>
      </c>
      <c r="F955" s="1">
        <v>45345</v>
      </c>
      <c r="G955" t="s">
        <v>72</v>
      </c>
      <c r="H955" t="s">
        <v>52</v>
      </c>
      <c r="I955" t="s">
        <v>20</v>
      </c>
      <c r="J955" t="s">
        <v>1389</v>
      </c>
      <c r="K955" t="s">
        <v>33</v>
      </c>
      <c r="M955" t="s">
        <v>35</v>
      </c>
      <c r="N955">
        <v>8</v>
      </c>
      <c r="O955" t="s">
        <v>36</v>
      </c>
    </row>
    <row r="956" spans="1:15" x14ac:dyDescent="0.2">
      <c r="A956" t="s">
        <v>1390</v>
      </c>
      <c r="B956" t="s">
        <v>45</v>
      </c>
      <c r="C956" t="s">
        <v>28</v>
      </c>
      <c r="D956" s="1">
        <v>23582</v>
      </c>
      <c r="E956" s="1">
        <v>45406</v>
      </c>
      <c r="F956" s="1">
        <v>45419</v>
      </c>
      <c r="G956" t="s">
        <v>72</v>
      </c>
      <c r="H956" t="s">
        <v>52</v>
      </c>
      <c r="I956" t="s">
        <v>57</v>
      </c>
      <c r="J956" t="s">
        <v>1391</v>
      </c>
      <c r="K956" t="s">
        <v>48</v>
      </c>
      <c r="L956" t="s">
        <v>34</v>
      </c>
      <c r="M956" t="s">
        <v>24</v>
      </c>
      <c r="N956">
        <v>12</v>
      </c>
    </row>
    <row r="957" spans="1:15" x14ac:dyDescent="0.2">
      <c r="A957">
        <v>955</v>
      </c>
      <c r="B957" t="s">
        <v>118</v>
      </c>
      <c r="C957" t="s">
        <v>17</v>
      </c>
      <c r="D957" s="1">
        <v>23538</v>
      </c>
      <c r="E957" s="1">
        <v>45359</v>
      </c>
      <c r="F957" s="1">
        <v>45368</v>
      </c>
      <c r="G957" t="s">
        <v>74</v>
      </c>
      <c r="H957" t="s">
        <v>52</v>
      </c>
      <c r="I957" t="s">
        <v>67</v>
      </c>
      <c r="J957">
        <v>515</v>
      </c>
      <c r="K957" t="s">
        <v>22</v>
      </c>
      <c r="L957" t="s">
        <v>34</v>
      </c>
      <c r="M957" t="s">
        <v>35</v>
      </c>
      <c r="N957">
        <v>6</v>
      </c>
      <c r="O957" t="s">
        <v>36</v>
      </c>
    </row>
    <row r="958" spans="1:15" x14ac:dyDescent="0.2">
      <c r="A958" t="s">
        <v>1392</v>
      </c>
      <c r="B958" t="s">
        <v>140</v>
      </c>
      <c r="C958" t="s">
        <v>97</v>
      </c>
      <c r="D958" s="1">
        <v>29560</v>
      </c>
      <c r="E958" s="1">
        <v>45319</v>
      </c>
      <c r="F958" s="1">
        <v>45321</v>
      </c>
      <c r="G958" t="s">
        <v>88</v>
      </c>
      <c r="H958" t="s">
        <v>52</v>
      </c>
      <c r="I958" t="s">
        <v>41</v>
      </c>
      <c r="J958" t="s">
        <v>1393</v>
      </c>
      <c r="K958" t="s">
        <v>48</v>
      </c>
      <c r="L958" t="s">
        <v>23</v>
      </c>
      <c r="M958" t="s">
        <v>35</v>
      </c>
      <c r="N958">
        <v>4</v>
      </c>
      <c r="O958" t="s">
        <v>36</v>
      </c>
    </row>
    <row r="959" spans="1:15" x14ac:dyDescent="0.2">
      <c r="A959" t="s">
        <v>1394</v>
      </c>
      <c r="B959" t="s">
        <v>105</v>
      </c>
      <c r="C959" t="s">
        <v>49</v>
      </c>
      <c r="D959" s="1">
        <v>28676</v>
      </c>
      <c r="E959" s="1">
        <v>45411</v>
      </c>
      <c r="F959" s="1">
        <v>45417</v>
      </c>
      <c r="G959" t="s">
        <v>74</v>
      </c>
      <c r="H959" t="s">
        <v>52</v>
      </c>
      <c r="I959" t="s">
        <v>67</v>
      </c>
      <c r="J959" t="s">
        <v>1395</v>
      </c>
      <c r="K959" t="s">
        <v>43</v>
      </c>
      <c r="M959" t="s">
        <v>78</v>
      </c>
      <c r="O959" t="s">
        <v>25</v>
      </c>
    </row>
    <row r="960" spans="1:15" x14ac:dyDescent="0.2">
      <c r="A960" t="s">
        <v>1396</v>
      </c>
      <c r="B960" t="s">
        <v>140</v>
      </c>
      <c r="C960" t="s">
        <v>39</v>
      </c>
      <c r="D960" s="1">
        <v>37230</v>
      </c>
      <c r="E960" s="1">
        <v>45304</v>
      </c>
      <c r="F960" s="1">
        <v>45309</v>
      </c>
      <c r="G960" t="s">
        <v>74</v>
      </c>
      <c r="H960" t="s">
        <v>19</v>
      </c>
      <c r="I960" t="s">
        <v>31</v>
      </c>
      <c r="J960" t="s">
        <v>197</v>
      </c>
      <c r="K960" t="s">
        <v>22</v>
      </c>
      <c r="M960" t="s">
        <v>35</v>
      </c>
      <c r="N960">
        <v>14</v>
      </c>
      <c r="O960" t="s">
        <v>25</v>
      </c>
    </row>
    <row r="961" spans="1:15" x14ac:dyDescent="0.2">
      <c r="A961">
        <v>959</v>
      </c>
      <c r="B961" t="s">
        <v>56</v>
      </c>
      <c r="C961" t="s">
        <v>65</v>
      </c>
      <c r="D961" s="1">
        <v>21812</v>
      </c>
      <c r="E961" s="1">
        <v>45410</v>
      </c>
      <c r="F961" s="1">
        <v>45413</v>
      </c>
      <c r="G961" t="s">
        <v>74</v>
      </c>
      <c r="H961" t="s">
        <v>66</v>
      </c>
      <c r="I961" t="s">
        <v>41</v>
      </c>
      <c r="J961" t="s">
        <v>1397</v>
      </c>
      <c r="K961" t="s">
        <v>71</v>
      </c>
      <c r="L961" t="s">
        <v>23</v>
      </c>
      <c r="M961" t="s">
        <v>35</v>
      </c>
      <c r="N961">
        <v>5</v>
      </c>
    </row>
    <row r="962" spans="1:15" x14ac:dyDescent="0.2">
      <c r="A962">
        <v>960</v>
      </c>
      <c r="B962" t="s">
        <v>140</v>
      </c>
      <c r="C962" t="s">
        <v>65</v>
      </c>
      <c r="D962" s="1">
        <v>36159</v>
      </c>
      <c r="E962" s="1">
        <v>45417</v>
      </c>
      <c r="F962" s="1">
        <v>45424</v>
      </c>
      <c r="G962" t="s">
        <v>40</v>
      </c>
      <c r="H962" t="s">
        <v>52</v>
      </c>
      <c r="I962" t="s">
        <v>20</v>
      </c>
      <c r="J962" t="s">
        <v>1398</v>
      </c>
      <c r="K962" t="s">
        <v>43</v>
      </c>
      <c r="M962" t="s">
        <v>78</v>
      </c>
      <c r="O962" t="s">
        <v>25</v>
      </c>
    </row>
    <row r="963" spans="1:15" x14ac:dyDescent="0.2">
      <c r="A963" t="s">
        <v>1399</v>
      </c>
      <c r="B963" t="s">
        <v>114</v>
      </c>
      <c r="C963" t="s">
        <v>49</v>
      </c>
      <c r="D963" s="1">
        <v>19014</v>
      </c>
      <c r="E963" s="1">
        <v>45471</v>
      </c>
      <c r="F963" s="1">
        <v>45486</v>
      </c>
      <c r="G963" t="s">
        <v>100</v>
      </c>
      <c r="H963" t="s">
        <v>19</v>
      </c>
      <c r="I963" t="s">
        <v>53</v>
      </c>
      <c r="J963">
        <v>225</v>
      </c>
      <c r="K963" t="s">
        <v>71</v>
      </c>
      <c r="L963" t="s">
        <v>23</v>
      </c>
      <c r="M963" t="s">
        <v>78</v>
      </c>
      <c r="N963">
        <v>13</v>
      </c>
      <c r="O963" t="s">
        <v>25</v>
      </c>
    </row>
    <row r="964" spans="1:15" x14ac:dyDescent="0.2">
      <c r="A964" t="s">
        <v>1400</v>
      </c>
      <c r="B964" t="s">
        <v>102</v>
      </c>
      <c r="C964" t="s">
        <v>39</v>
      </c>
      <c r="D964" s="1">
        <v>18337</v>
      </c>
      <c r="E964" s="1">
        <v>45430</v>
      </c>
      <c r="G964" t="s">
        <v>46</v>
      </c>
      <c r="H964" t="s">
        <v>52</v>
      </c>
      <c r="I964" t="s">
        <v>67</v>
      </c>
      <c r="J964" t="s">
        <v>1401</v>
      </c>
      <c r="K964" t="s">
        <v>33</v>
      </c>
      <c r="L964" t="s">
        <v>23</v>
      </c>
      <c r="M964" t="s">
        <v>35</v>
      </c>
      <c r="N964">
        <v>11</v>
      </c>
    </row>
    <row r="965" spans="1:15" x14ac:dyDescent="0.2">
      <c r="A965">
        <v>963</v>
      </c>
      <c r="B965" t="s">
        <v>64</v>
      </c>
      <c r="C965" t="s">
        <v>39</v>
      </c>
      <c r="D965" s="1">
        <v>29242</v>
      </c>
      <c r="E965" s="1">
        <v>45318</v>
      </c>
      <c r="F965" s="1">
        <v>45321</v>
      </c>
      <c r="G965" t="s">
        <v>40</v>
      </c>
      <c r="H965" t="s">
        <v>75</v>
      </c>
      <c r="I965" t="s">
        <v>41</v>
      </c>
      <c r="J965" t="s">
        <v>1402</v>
      </c>
      <c r="K965" t="s">
        <v>43</v>
      </c>
      <c r="L965" t="s">
        <v>23</v>
      </c>
      <c r="M965" t="s">
        <v>78</v>
      </c>
      <c r="N965">
        <v>8</v>
      </c>
    </row>
    <row r="966" spans="1:15" x14ac:dyDescent="0.2">
      <c r="A966" t="s">
        <v>1403</v>
      </c>
      <c r="B966" t="s">
        <v>27</v>
      </c>
      <c r="C966" t="s">
        <v>65</v>
      </c>
      <c r="D966" s="1">
        <v>35770</v>
      </c>
      <c r="E966" s="1">
        <v>45352</v>
      </c>
      <c r="F966" s="1">
        <v>45361</v>
      </c>
      <c r="G966" t="s">
        <v>40</v>
      </c>
      <c r="I966" t="s">
        <v>20</v>
      </c>
      <c r="J966" t="s">
        <v>1404</v>
      </c>
      <c r="K966" t="s">
        <v>48</v>
      </c>
      <c r="M966" t="s">
        <v>35</v>
      </c>
      <c r="N966">
        <v>12</v>
      </c>
    </row>
    <row r="967" spans="1:15" x14ac:dyDescent="0.2">
      <c r="A967" t="s">
        <v>1405</v>
      </c>
      <c r="B967" t="s">
        <v>27</v>
      </c>
      <c r="C967" t="s">
        <v>28</v>
      </c>
      <c r="D967" s="1">
        <v>37866</v>
      </c>
      <c r="E967" s="1">
        <v>45421</v>
      </c>
      <c r="F967" s="1">
        <v>45426</v>
      </c>
      <c r="G967" t="s">
        <v>18</v>
      </c>
      <c r="H967" t="s">
        <v>61</v>
      </c>
      <c r="I967" t="s">
        <v>57</v>
      </c>
      <c r="J967" t="s">
        <v>1406</v>
      </c>
      <c r="K967" t="s">
        <v>48</v>
      </c>
      <c r="M967" t="s">
        <v>78</v>
      </c>
      <c r="N967">
        <v>9</v>
      </c>
    </row>
    <row r="968" spans="1:15" x14ac:dyDescent="0.2">
      <c r="A968">
        <v>966</v>
      </c>
      <c r="B968" t="s">
        <v>80</v>
      </c>
      <c r="C968" t="s">
        <v>49</v>
      </c>
      <c r="D968" s="1">
        <v>39721</v>
      </c>
      <c r="E968" s="1">
        <v>45315</v>
      </c>
      <c r="F968" s="1">
        <v>45319</v>
      </c>
      <c r="G968" t="s">
        <v>100</v>
      </c>
      <c r="H968" t="s">
        <v>19</v>
      </c>
      <c r="I968" t="s">
        <v>76</v>
      </c>
      <c r="J968" t="s">
        <v>1407</v>
      </c>
      <c r="K968" t="s">
        <v>48</v>
      </c>
      <c r="M968" t="s">
        <v>78</v>
      </c>
      <c r="N968">
        <v>2</v>
      </c>
    </row>
    <row r="969" spans="1:15" x14ac:dyDescent="0.2">
      <c r="A969" t="s">
        <v>1408</v>
      </c>
      <c r="B969" t="s">
        <v>114</v>
      </c>
      <c r="C969" t="s">
        <v>28</v>
      </c>
      <c r="D969" s="1">
        <v>38266</v>
      </c>
      <c r="E969" s="1">
        <v>45390</v>
      </c>
      <c r="F969" s="1">
        <v>45400</v>
      </c>
      <c r="G969" t="s">
        <v>40</v>
      </c>
      <c r="H969" t="s">
        <v>19</v>
      </c>
      <c r="I969" t="s">
        <v>53</v>
      </c>
      <c r="J969" t="s">
        <v>1409</v>
      </c>
      <c r="K969" t="s">
        <v>33</v>
      </c>
      <c r="L969" t="s">
        <v>23</v>
      </c>
      <c r="M969" t="s">
        <v>78</v>
      </c>
      <c r="N969">
        <v>1</v>
      </c>
    </row>
    <row r="970" spans="1:15" x14ac:dyDescent="0.2">
      <c r="A970" t="s">
        <v>1410</v>
      </c>
      <c r="B970" t="s">
        <v>59</v>
      </c>
      <c r="C970" t="s">
        <v>49</v>
      </c>
      <c r="D970" s="1">
        <v>35447</v>
      </c>
      <c r="E970" s="1">
        <v>45394</v>
      </c>
      <c r="F970" s="1">
        <v>45407</v>
      </c>
      <c r="G970" t="s">
        <v>83</v>
      </c>
      <c r="H970" t="s">
        <v>66</v>
      </c>
      <c r="I970" t="s">
        <v>53</v>
      </c>
      <c r="J970" t="s">
        <v>1411</v>
      </c>
      <c r="K970" t="s">
        <v>33</v>
      </c>
      <c r="M970" t="s">
        <v>78</v>
      </c>
      <c r="N970">
        <v>6</v>
      </c>
    </row>
    <row r="971" spans="1:15" x14ac:dyDescent="0.2">
      <c r="A971">
        <v>969</v>
      </c>
      <c r="B971" t="s">
        <v>119</v>
      </c>
      <c r="C971" t="s">
        <v>17</v>
      </c>
      <c r="D971" s="1">
        <v>19267</v>
      </c>
      <c r="E971" s="1">
        <v>45334</v>
      </c>
      <c r="F971" s="1">
        <v>45337</v>
      </c>
      <c r="G971" t="s">
        <v>83</v>
      </c>
      <c r="H971" t="s">
        <v>30</v>
      </c>
      <c r="I971" t="s">
        <v>31</v>
      </c>
      <c r="J971">
        <v>473</v>
      </c>
      <c r="K971" t="s">
        <v>71</v>
      </c>
      <c r="M971" t="s">
        <v>35</v>
      </c>
    </row>
    <row r="972" spans="1:15" x14ac:dyDescent="0.2">
      <c r="A972">
        <v>970</v>
      </c>
      <c r="B972" t="s">
        <v>140</v>
      </c>
      <c r="C972" t="s">
        <v>49</v>
      </c>
      <c r="D972" s="1">
        <v>26345</v>
      </c>
      <c r="E972" s="1">
        <v>45466</v>
      </c>
      <c r="F972" s="1">
        <v>45480</v>
      </c>
      <c r="G972" t="s">
        <v>50</v>
      </c>
      <c r="H972" t="s">
        <v>61</v>
      </c>
      <c r="I972" t="s">
        <v>57</v>
      </c>
      <c r="J972" t="s">
        <v>1412</v>
      </c>
      <c r="K972" t="s">
        <v>71</v>
      </c>
      <c r="L972" t="s">
        <v>23</v>
      </c>
      <c r="M972" t="s">
        <v>78</v>
      </c>
    </row>
    <row r="973" spans="1:15" x14ac:dyDescent="0.2">
      <c r="A973">
        <v>971</v>
      </c>
      <c r="B973" t="s">
        <v>140</v>
      </c>
      <c r="C973" t="s">
        <v>65</v>
      </c>
      <c r="D973" s="1">
        <v>29335</v>
      </c>
      <c r="E973" s="1">
        <v>45337</v>
      </c>
      <c r="F973" s="1">
        <v>45347</v>
      </c>
      <c r="G973" t="s">
        <v>29</v>
      </c>
      <c r="H973" t="s">
        <v>61</v>
      </c>
      <c r="I973" t="s">
        <v>67</v>
      </c>
      <c r="J973" t="s">
        <v>1413</v>
      </c>
      <c r="K973" t="s">
        <v>43</v>
      </c>
      <c r="M973" t="s">
        <v>35</v>
      </c>
    </row>
    <row r="974" spans="1:15" x14ac:dyDescent="0.2">
      <c r="A974" t="s">
        <v>1414</v>
      </c>
      <c r="B974" t="s">
        <v>27</v>
      </c>
      <c r="C974" t="s">
        <v>49</v>
      </c>
      <c r="D974" s="1">
        <v>31083</v>
      </c>
      <c r="E974" s="1">
        <v>45385</v>
      </c>
      <c r="F974" s="1">
        <v>45393</v>
      </c>
      <c r="G974" t="s">
        <v>29</v>
      </c>
      <c r="I974" t="s">
        <v>57</v>
      </c>
      <c r="J974" t="s">
        <v>1415</v>
      </c>
      <c r="K974" t="s">
        <v>43</v>
      </c>
      <c r="M974" t="s">
        <v>78</v>
      </c>
      <c r="N974">
        <v>5</v>
      </c>
      <c r="O974" t="s">
        <v>36</v>
      </c>
    </row>
    <row r="975" spans="1:15" x14ac:dyDescent="0.2">
      <c r="A975" t="s">
        <v>1416</v>
      </c>
      <c r="B975" t="s">
        <v>64</v>
      </c>
      <c r="C975" t="s">
        <v>97</v>
      </c>
      <c r="D975" s="1">
        <v>28311</v>
      </c>
      <c r="E975" s="1">
        <v>45464</v>
      </c>
      <c r="F975" s="1">
        <v>45466</v>
      </c>
      <c r="G975" t="s">
        <v>18</v>
      </c>
      <c r="H975" t="s">
        <v>19</v>
      </c>
      <c r="I975" t="s">
        <v>67</v>
      </c>
      <c r="J975" t="s">
        <v>1417</v>
      </c>
      <c r="K975" t="s">
        <v>43</v>
      </c>
      <c r="M975" t="s">
        <v>24</v>
      </c>
      <c r="O975" t="s">
        <v>25</v>
      </c>
    </row>
    <row r="976" spans="1:15" x14ac:dyDescent="0.2">
      <c r="A976" t="s">
        <v>1418</v>
      </c>
      <c r="B976" t="s">
        <v>102</v>
      </c>
      <c r="C976" t="s">
        <v>97</v>
      </c>
      <c r="D976" s="1">
        <v>31191</v>
      </c>
      <c r="E976" s="1">
        <v>45314</v>
      </c>
      <c r="F976" s="1">
        <v>45316</v>
      </c>
      <c r="G976" t="s">
        <v>83</v>
      </c>
      <c r="H976" t="s">
        <v>52</v>
      </c>
      <c r="I976" t="s">
        <v>20</v>
      </c>
      <c r="J976" t="s">
        <v>1419</v>
      </c>
      <c r="K976" t="s">
        <v>33</v>
      </c>
      <c r="L976" t="s">
        <v>23</v>
      </c>
      <c r="M976" t="s">
        <v>78</v>
      </c>
      <c r="N976">
        <v>14</v>
      </c>
    </row>
    <row r="977" spans="1:15" x14ac:dyDescent="0.2">
      <c r="A977" t="s">
        <v>1420</v>
      </c>
      <c r="B977" t="s">
        <v>91</v>
      </c>
      <c r="C977" t="s">
        <v>39</v>
      </c>
      <c r="D977" s="1">
        <v>32231</v>
      </c>
      <c r="E977" s="1">
        <v>45373</v>
      </c>
      <c r="G977" t="s">
        <v>18</v>
      </c>
      <c r="H977" t="s">
        <v>30</v>
      </c>
      <c r="I977" t="s">
        <v>41</v>
      </c>
      <c r="J977" t="s">
        <v>1421</v>
      </c>
      <c r="K977" t="s">
        <v>33</v>
      </c>
      <c r="L977" t="s">
        <v>34</v>
      </c>
      <c r="M977" t="s">
        <v>35</v>
      </c>
      <c r="N977">
        <v>3</v>
      </c>
      <c r="O977" t="s">
        <v>36</v>
      </c>
    </row>
    <row r="978" spans="1:15" x14ac:dyDescent="0.2">
      <c r="A978">
        <v>976</v>
      </c>
      <c r="B978" t="s">
        <v>85</v>
      </c>
      <c r="C978" t="s">
        <v>65</v>
      </c>
      <c r="D978" s="1">
        <v>22262</v>
      </c>
      <c r="E978" s="1">
        <v>45435</v>
      </c>
      <c r="F978" s="1">
        <v>45449</v>
      </c>
      <c r="G978" t="s">
        <v>100</v>
      </c>
      <c r="H978" t="s">
        <v>66</v>
      </c>
      <c r="I978" t="s">
        <v>31</v>
      </c>
      <c r="J978" t="s">
        <v>1422</v>
      </c>
      <c r="K978" t="s">
        <v>22</v>
      </c>
      <c r="M978" t="s">
        <v>78</v>
      </c>
      <c r="O978" t="s">
        <v>25</v>
      </c>
    </row>
    <row r="979" spans="1:15" x14ac:dyDescent="0.2">
      <c r="A979">
        <v>977</v>
      </c>
      <c r="B979" t="s">
        <v>27</v>
      </c>
      <c r="C979" t="s">
        <v>39</v>
      </c>
      <c r="D979" s="1">
        <v>32293</v>
      </c>
      <c r="E979" s="1">
        <v>45306</v>
      </c>
      <c r="F979" s="1">
        <v>45316</v>
      </c>
      <c r="G979" t="s">
        <v>100</v>
      </c>
      <c r="H979" t="s">
        <v>61</v>
      </c>
      <c r="I979" t="s">
        <v>76</v>
      </c>
      <c r="J979" t="s">
        <v>1423</v>
      </c>
      <c r="K979" t="s">
        <v>22</v>
      </c>
      <c r="L979" t="s">
        <v>23</v>
      </c>
      <c r="M979" t="s">
        <v>78</v>
      </c>
      <c r="N979">
        <v>9</v>
      </c>
      <c r="O979" t="s">
        <v>36</v>
      </c>
    </row>
    <row r="980" spans="1:15" x14ac:dyDescent="0.2">
      <c r="A980" t="s">
        <v>1424</v>
      </c>
      <c r="B980" t="s">
        <v>38</v>
      </c>
      <c r="C980" t="s">
        <v>65</v>
      </c>
      <c r="D980" s="1">
        <v>38979</v>
      </c>
      <c r="E980" s="1">
        <v>45442</v>
      </c>
      <c r="F980" s="1">
        <v>45455</v>
      </c>
      <c r="G980" t="s">
        <v>18</v>
      </c>
      <c r="H980" t="s">
        <v>30</v>
      </c>
      <c r="I980" t="s">
        <v>67</v>
      </c>
      <c r="J980" t="s">
        <v>1425</v>
      </c>
      <c r="K980" t="s">
        <v>33</v>
      </c>
      <c r="L980" t="s">
        <v>34</v>
      </c>
      <c r="M980" t="s">
        <v>35</v>
      </c>
      <c r="N980">
        <v>7</v>
      </c>
      <c r="O980" t="s">
        <v>36</v>
      </c>
    </row>
    <row r="981" spans="1:15" x14ac:dyDescent="0.2">
      <c r="A981" t="s">
        <v>1426</v>
      </c>
      <c r="B981" t="s">
        <v>87</v>
      </c>
      <c r="C981" t="s">
        <v>39</v>
      </c>
      <c r="D981" s="1">
        <v>18469</v>
      </c>
      <c r="E981" s="1">
        <v>45302</v>
      </c>
      <c r="F981" s="1">
        <v>45308</v>
      </c>
      <c r="G981" t="s">
        <v>18</v>
      </c>
      <c r="H981" t="s">
        <v>75</v>
      </c>
      <c r="I981" t="s">
        <v>67</v>
      </c>
      <c r="J981" t="s">
        <v>1427</v>
      </c>
      <c r="K981" t="s">
        <v>22</v>
      </c>
      <c r="L981" t="s">
        <v>34</v>
      </c>
      <c r="M981" t="s">
        <v>78</v>
      </c>
      <c r="N981">
        <v>2</v>
      </c>
      <c r="O981" t="s">
        <v>25</v>
      </c>
    </row>
    <row r="982" spans="1:15" x14ac:dyDescent="0.2">
      <c r="A982" t="s">
        <v>1428</v>
      </c>
      <c r="B982" t="s">
        <v>59</v>
      </c>
      <c r="C982" t="s">
        <v>92</v>
      </c>
      <c r="D982" s="1">
        <v>34009</v>
      </c>
      <c r="E982" s="1">
        <v>45425</v>
      </c>
      <c r="F982" s="1">
        <v>45432</v>
      </c>
      <c r="G982" t="s">
        <v>72</v>
      </c>
      <c r="H982" t="s">
        <v>66</v>
      </c>
      <c r="I982" t="s">
        <v>31</v>
      </c>
      <c r="J982" t="s">
        <v>1429</v>
      </c>
      <c r="K982" t="s">
        <v>43</v>
      </c>
      <c r="M982" t="s">
        <v>78</v>
      </c>
      <c r="N982">
        <v>12</v>
      </c>
      <c r="O982" t="s">
        <v>36</v>
      </c>
    </row>
    <row r="983" spans="1:15" x14ac:dyDescent="0.2">
      <c r="A983" t="s">
        <v>1430</v>
      </c>
      <c r="B983" t="s">
        <v>56</v>
      </c>
      <c r="C983" t="s">
        <v>39</v>
      </c>
      <c r="D983" s="1">
        <v>25541</v>
      </c>
      <c r="E983" s="1">
        <v>45406</v>
      </c>
      <c r="F983" s="1">
        <v>45411</v>
      </c>
      <c r="G983" t="s">
        <v>46</v>
      </c>
      <c r="H983" t="s">
        <v>75</v>
      </c>
      <c r="I983" t="s">
        <v>20</v>
      </c>
      <c r="J983" t="s">
        <v>1431</v>
      </c>
      <c r="K983" t="s">
        <v>43</v>
      </c>
      <c r="L983" t="s">
        <v>23</v>
      </c>
      <c r="M983" t="s">
        <v>78</v>
      </c>
      <c r="O983" t="s">
        <v>25</v>
      </c>
    </row>
    <row r="984" spans="1:15" x14ac:dyDescent="0.2">
      <c r="A984" t="s">
        <v>1432</v>
      </c>
      <c r="B984" t="s">
        <v>51</v>
      </c>
      <c r="C984" t="s">
        <v>39</v>
      </c>
      <c r="D984" s="1">
        <v>23928</v>
      </c>
      <c r="E984" s="1">
        <v>45326</v>
      </c>
      <c r="F984" s="1">
        <v>45329</v>
      </c>
      <c r="G984" t="s">
        <v>18</v>
      </c>
      <c r="H984" t="s">
        <v>52</v>
      </c>
      <c r="I984" t="s">
        <v>41</v>
      </c>
      <c r="J984" t="s">
        <v>1433</v>
      </c>
      <c r="K984" t="s">
        <v>33</v>
      </c>
      <c r="L984" t="s">
        <v>34</v>
      </c>
      <c r="M984" t="s">
        <v>35</v>
      </c>
      <c r="N984">
        <v>1</v>
      </c>
      <c r="O984" t="s">
        <v>25</v>
      </c>
    </row>
    <row r="985" spans="1:15" x14ac:dyDescent="0.2">
      <c r="A985" t="s">
        <v>1434</v>
      </c>
      <c r="B985" t="s">
        <v>91</v>
      </c>
      <c r="C985" t="s">
        <v>28</v>
      </c>
      <c r="D985" s="1">
        <v>26862</v>
      </c>
      <c r="E985" s="1">
        <v>45332</v>
      </c>
      <c r="F985" s="1">
        <v>45340</v>
      </c>
      <c r="G985" t="s">
        <v>88</v>
      </c>
      <c r="H985" t="s">
        <v>61</v>
      </c>
      <c r="I985" t="s">
        <v>67</v>
      </c>
      <c r="J985">
        <v>1065</v>
      </c>
      <c r="K985" t="s">
        <v>43</v>
      </c>
      <c r="L985" t="s">
        <v>34</v>
      </c>
      <c r="M985" t="s">
        <v>24</v>
      </c>
      <c r="N985">
        <v>13</v>
      </c>
      <c r="O985" t="s">
        <v>25</v>
      </c>
    </row>
    <row r="986" spans="1:15" x14ac:dyDescent="0.2">
      <c r="A986">
        <v>984</v>
      </c>
      <c r="B986" t="s">
        <v>56</v>
      </c>
      <c r="C986" t="s">
        <v>28</v>
      </c>
      <c r="D986" s="1">
        <v>28777</v>
      </c>
      <c r="E986" s="1">
        <v>45384</v>
      </c>
      <c r="F986" s="1">
        <v>45391</v>
      </c>
      <c r="G986" t="s">
        <v>18</v>
      </c>
      <c r="H986" t="s">
        <v>66</v>
      </c>
      <c r="I986" t="s">
        <v>31</v>
      </c>
      <c r="J986" t="s">
        <v>137</v>
      </c>
      <c r="K986" t="s">
        <v>43</v>
      </c>
      <c r="M986" t="s">
        <v>78</v>
      </c>
      <c r="N986">
        <v>9</v>
      </c>
      <c r="O986" t="s">
        <v>25</v>
      </c>
    </row>
    <row r="987" spans="1:15" x14ac:dyDescent="0.2">
      <c r="A987" t="s">
        <v>1435</v>
      </c>
      <c r="B987" t="s">
        <v>16</v>
      </c>
      <c r="C987" t="s">
        <v>28</v>
      </c>
      <c r="D987" s="1">
        <v>20003</v>
      </c>
      <c r="E987" s="1">
        <v>45404</v>
      </c>
      <c r="F987" s="1">
        <v>45407</v>
      </c>
      <c r="G987" t="s">
        <v>100</v>
      </c>
      <c r="H987" t="s">
        <v>75</v>
      </c>
      <c r="I987" t="s">
        <v>67</v>
      </c>
      <c r="J987">
        <v>506</v>
      </c>
      <c r="K987" t="s">
        <v>22</v>
      </c>
      <c r="L987" t="s">
        <v>23</v>
      </c>
      <c r="M987" t="s">
        <v>35</v>
      </c>
      <c r="N987">
        <v>3</v>
      </c>
      <c r="O987" t="s">
        <v>25</v>
      </c>
    </row>
    <row r="988" spans="1:15" x14ac:dyDescent="0.2">
      <c r="A988" t="s">
        <v>1436</v>
      </c>
      <c r="B988" t="s">
        <v>119</v>
      </c>
      <c r="C988" t="s">
        <v>65</v>
      </c>
      <c r="D988" s="1">
        <v>25279</v>
      </c>
      <c r="E988" s="1">
        <v>45335</v>
      </c>
      <c r="F988" s="1">
        <v>45348</v>
      </c>
      <c r="G988" t="s">
        <v>72</v>
      </c>
      <c r="I988" t="s">
        <v>57</v>
      </c>
      <c r="J988" t="s">
        <v>1437</v>
      </c>
      <c r="K988" t="s">
        <v>22</v>
      </c>
      <c r="L988" t="s">
        <v>23</v>
      </c>
      <c r="M988" t="s">
        <v>35</v>
      </c>
      <c r="N988">
        <v>6</v>
      </c>
    </row>
    <row r="989" spans="1:15" x14ac:dyDescent="0.2">
      <c r="A989">
        <v>987</v>
      </c>
      <c r="B989" t="s">
        <v>91</v>
      </c>
      <c r="C989" t="s">
        <v>39</v>
      </c>
      <c r="D989" s="1">
        <v>37190</v>
      </c>
      <c r="E989" s="1">
        <v>45373</v>
      </c>
      <c r="F989" s="1">
        <v>45375</v>
      </c>
      <c r="G989" t="s">
        <v>72</v>
      </c>
      <c r="H989" t="s">
        <v>19</v>
      </c>
      <c r="I989" t="s">
        <v>53</v>
      </c>
      <c r="J989" t="s">
        <v>1438</v>
      </c>
      <c r="K989" t="s">
        <v>22</v>
      </c>
      <c r="M989" t="s">
        <v>78</v>
      </c>
      <c r="O989" t="s">
        <v>25</v>
      </c>
    </row>
    <row r="990" spans="1:15" x14ac:dyDescent="0.2">
      <c r="A990" t="s">
        <v>1439</v>
      </c>
      <c r="B990" t="s">
        <v>59</v>
      </c>
      <c r="C990" t="s">
        <v>92</v>
      </c>
      <c r="D990" s="1">
        <v>26583</v>
      </c>
      <c r="E990" s="1">
        <v>45448</v>
      </c>
      <c r="F990" s="1">
        <v>45456</v>
      </c>
      <c r="G990" t="s">
        <v>88</v>
      </c>
      <c r="H990" t="s">
        <v>52</v>
      </c>
      <c r="I990" t="s">
        <v>57</v>
      </c>
      <c r="J990">
        <v>457</v>
      </c>
      <c r="K990" t="s">
        <v>48</v>
      </c>
      <c r="L990" t="s">
        <v>23</v>
      </c>
      <c r="M990" t="s">
        <v>35</v>
      </c>
      <c r="N990">
        <v>11</v>
      </c>
    </row>
    <row r="991" spans="1:15" x14ac:dyDescent="0.2">
      <c r="A991">
        <v>989</v>
      </c>
      <c r="B991" t="s">
        <v>105</v>
      </c>
      <c r="C991" t="s">
        <v>28</v>
      </c>
      <c r="D991" s="1">
        <v>21950</v>
      </c>
      <c r="E991" s="1">
        <v>45417</v>
      </c>
      <c r="G991" t="s">
        <v>40</v>
      </c>
      <c r="H991" t="s">
        <v>61</v>
      </c>
      <c r="I991" t="s">
        <v>67</v>
      </c>
      <c r="J991" t="s">
        <v>1440</v>
      </c>
      <c r="K991" t="s">
        <v>48</v>
      </c>
      <c r="L991" t="s">
        <v>34</v>
      </c>
      <c r="M991" t="s">
        <v>35</v>
      </c>
      <c r="N991">
        <v>7</v>
      </c>
    </row>
    <row r="992" spans="1:15" x14ac:dyDescent="0.2">
      <c r="A992" t="s">
        <v>1441</v>
      </c>
      <c r="B992" t="s">
        <v>80</v>
      </c>
      <c r="C992" t="s">
        <v>65</v>
      </c>
      <c r="D992" s="1">
        <v>24438</v>
      </c>
      <c r="E992" s="1">
        <v>45301</v>
      </c>
      <c r="F992" s="1">
        <v>45310</v>
      </c>
      <c r="G992" t="s">
        <v>18</v>
      </c>
      <c r="I992" t="s">
        <v>53</v>
      </c>
      <c r="J992">
        <v>1053</v>
      </c>
      <c r="K992" t="s">
        <v>33</v>
      </c>
      <c r="L992" t="s">
        <v>23</v>
      </c>
      <c r="M992" t="s">
        <v>24</v>
      </c>
      <c r="N992">
        <v>12</v>
      </c>
      <c r="O992" t="s">
        <v>36</v>
      </c>
    </row>
    <row r="993" spans="1:15" x14ac:dyDescent="0.2">
      <c r="A993" t="s">
        <v>1442</v>
      </c>
      <c r="B993" t="s">
        <v>105</v>
      </c>
      <c r="C993" t="s">
        <v>92</v>
      </c>
      <c r="D993" s="1">
        <v>24314</v>
      </c>
      <c r="E993" s="1">
        <v>45455</v>
      </c>
      <c r="F993" s="1">
        <v>45468</v>
      </c>
      <c r="G993" t="s">
        <v>50</v>
      </c>
      <c r="H993" t="s">
        <v>66</v>
      </c>
      <c r="I993" t="s">
        <v>31</v>
      </c>
      <c r="J993" t="s">
        <v>1443</v>
      </c>
      <c r="K993" t="s">
        <v>71</v>
      </c>
      <c r="L993" t="s">
        <v>34</v>
      </c>
      <c r="M993" t="s">
        <v>24</v>
      </c>
      <c r="N993">
        <v>10</v>
      </c>
      <c r="O993" t="s">
        <v>36</v>
      </c>
    </row>
    <row r="994" spans="1:15" x14ac:dyDescent="0.2">
      <c r="A994" t="s">
        <v>1444</v>
      </c>
      <c r="B994" t="s">
        <v>114</v>
      </c>
      <c r="C994" t="s">
        <v>17</v>
      </c>
      <c r="D994" s="1">
        <v>29630</v>
      </c>
      <c r="E994" s="1">
        <v>45345</v>
      </c>
      <c r="G994" t="s">
        <v>46</v>
      </c>
      <c r="H994" t="s">
        <v>75</v>
      </c>
      <c r="I994" t="s">
        <v>57</v>
      </c>
      <c r="J994" t="s">
        <v>1445</v>
      </c>
      <c r="K994" t="s">
        <v>48</v>
      </c>
      <c r="L994" t="s">
        <v>34</v>
      </c>
      <c r="M994" t="s">
        <v>78</v>
      </c>
      <c r="O994" t="s">
        <v>36</v>
      </c>
    </row>
    <row r="995" spans="1:15" x14ac:dyDescent="0.2">
      <c r="A995" t="s">
        <v>1446</v>
      </c>
      <c r="B995" t="s">
        <v>105</v>
      </c>
      <c r="C995" t="s">
        <v>97</v>
      </c>
      <c r="D995" s="1">
        <v>20121</v>
      </c>
      <c r="E995" s="1">
        <v>45293</v>
      </c>
      <c r="F995" s="1">
        <v>45295</v>
      </c>
      <c r="G995" t="s">
        <v>72</v>
      </c>
      <c r="H995" t="s">
        <v>61</v>
      </c>
      <c r="I995" t="s">
        <v>76</v>
      </c>
      <c r="J995" t="s">
        <v>1447</v>
      </c>
      <c r="K995" t="s">
        <v>22</v>
      </c>
      <c r="M995" t="s">
        <v>35</v>
      </c>
      <c r="N995">
        <v>12</v>
      </c>
      <c r="O995" t="s">
        <v>25</v>
      </c>
    </row>
    <row r="996" spans="1:15" x14ac:dyDescent="0.2">
      <c r="A996" t="s">
        <v>1448</v>
      </c>
      <c r="B996" t="s">
        <v>51</v>
      </c>
      <c r="C996" t="s">
        <v>97</v>
      </c>
      <c r="D996" s="1">
        <v>22133</v>
      </c>
      <c r="E996" s="1">
        <v>45396</v>
      </c>
      <c r="F996" s="1">
        <v>45399</v>
      </c>
      <c r="G996" t="s">
        <v>74</v>
      </c>
      <c r="H996" t="s">
        <v>61</v>
      </c>
      <c r="I996" t="s">
        <v>41</v>
      </c>
      <c r="J996" t="s">
        <v>1449</v>
      </c>
      <c r="K996" t="s">
        <v>48</v>
      </c>
      <c r="L996" t="s">
        <v>34</v>
      </c>
      <c r="M996" t="s">
        <v>78</v>
      </c>
      <c r="N996">
        <v>3</v>
      </c>
      <c r="O996" t="s">
        <v>25</v>
      </c>
    </row>
    <row r="997" spans="1:15" x14ac:dyDescent="0.2">
      <c r="A997" t="s">
        <v>1450</v>
      </c>
      <c r="B997" t="s">
        <v>16</v>
      </c>
      <c r="C997" t="s">
        <v>65</v>
      </c>
      <c r="D997" s="1">
        <v>19309</v>
      </c>
      <c r="E997" s="1">
        <v>45326</v>
      </c>
      <c r="F997" s="1">
        <v>45341</v>
      </c>
      <c r="G997" t="s">
        <v>50</v>
      </c>
      <c r="H997" t="s">
        <v>52</v>
      </c>
      <c r="I997" t="s">
        <v>57</v>
      </c>
      <c r="J997" t="s">
        <v>1451</v>
      </c>
      <c r="K997" t="s">
        <v>33</v>
      </c>
      <c r="L997" t="s">
        <v>23</v>
      </c>
      <c r="M997" t="s">
        <v>78</v>
      </c>
      <c r="N997">
        <v>4</v>
      </c>
    </row>
    <row r="998" spans="1:15" x14ac:dyDescent="0.2">
      <c r="A998" t="s">
        <v>1452</v>
      </c>
      <c r="B998" t="s">
        <v>140</v>
      </c>
      <c r="C998" t="s">
        <v>28</v>
      </c>
      <c r="D998" s="1">
        <v>39583</v>
      </c>
      <c r="E998" s="1">
        <v>45425</v>
      </c>
      <c r="G998" t="s">
        <v>60</v>
      </c>
      <c r="H998" t="s">
        <v>52</v>
      </c>
      <c r="I998" t="s">
        <v>20</v>
      </c>
      <c r="J998" t="s">
        <v>156</v>
      </c>
      <c r="K998" t="s">
        <v>48</v>
      </c>
      <c r="M998" t="s">
        <v>24</v>
      </c>
      <c r="N998">
        <v>15</v>
      </c>
      <c r="O998" t="s">
        <v>36</v>
      </c>
    </row>
    <row r="999" spans="1:15" x14ac:dyDescent="0.2">
      <c r="A999" t="s">
        <v>1453</v>
      </c>
      <c r="B999" t="s">
        <v>119</v>
      </c>
      <c r="C999" t="s">
        <v>49</v>
      </c>
      <c r="D999" s="1">
        <v>28967</v>
      </c>
      <c r="E999" s="1">
        <v>45330</v>
      </c>
      <c r="F999" s="1">
        <v>45331</v>
      </c>
      <c r="G999" t="s">
        <v>83</v>
      </c>
      <c r="H999" t="s">
        <v>30</v>
      </c>
      <c r="I999" t="s">
        <v>53</v>
      </c>
      <c r="J999" t="s">
        <v>1454</v>
      </c>
      <c r="K999" t="s">
        <v>48</v>
      </c>
      <c r="L999" t="s">
        <v>23</v>
      </c>
      <c r="M999" t="s">
        <v>24</v>
      </c>
      <c r="N999">
        <v>10</v>
      </c>
      <c r="O999" t="s">
        <v>36</v>
      </c>
    </row>
    <row r="1000" spans="1:15" x14ac:dyDescent="0.2">
      <c r="A1000" t="s">
        <v>1455</v>
      </c>
      <c r="B1000" t="s">
        <v>119</v>
      </c>
      <c r="C1000" t="s">
        <v>28</v>
      </c>
      <c r="D1000" s="1">
        <v>18823</v>
      </c>
      <c r="E1000" s="1">
        <v>45350</v>
      </c>
      <c r="G1000" t="s">
        <v>60</v>
      </c>
      <c r="H1000" t="s">
        <v>52</v>
      </c>
      <c r="I1000" t="s">
        <v>76</v>
      </c>
      <c r="J1000" t="s">
        <v>578</v>
      </c>
      <c r="K1000" t="s">
        <v>43</v>
      </c>
      <c r="M1000" t="s">
        <v>78</v>
      </c>
      <c r="N1000">
        <v>15</v>
      </c>
      <c r="O1000" t="s">
        <v>25</v>
      </c>
    </row>
    <row r="1001" spans="1:15" x14ac:dyDescent="0.2">
      <c r="A1001" t="s">
        <v>1456</v>
      </c>
      <c r="B1001" t="s">
        <v>64</v>
      </c>
      <c r="C1001" t="s">
        <v>92</v>
      </c>
      <c r="D1001" s="1">
        <v>20719</v>
      </c>
      <c r="E1001" s="1">
        <v>45298</v>
      </c>
      <c r="F1001" s="1">
        <v>45313</v>
      </c>
      <c r="G1001" t="s">
        <v>29</v>
      </c>
      <c r="H1001" t="s">
        <v>66</v>
      </c>
      <c r="I1001" t="s">
        <v>31</v>
      </c>
      <c r="J1001" t="s">
        <v>284</v>
      </c>
      <c r="K1001" t="s">
        <v>71</v>
      </c>
      <c r="L1001" t="s">
        <v>23</v>
      </c>
      <c r="M1001" t="s">
        <v>24</v>
      </c>
      <c r="N1001">
        <v>1</v>
      </c>
      <c r="O1001" t="s">
        <v>25</v>
      </c>
    </row>
    <row r="1002" spans="1:15" x14ac:dyDescent="0.2">
      <c r="A1002" t="s">
        <v>1457</v>
      </c>
      <c r="B1002" t="s">
        <v>85</v>
      </c>
      <c r="C1002" t="s">
        <v>17</v>
      </c>
      <c r="D1002" s="1">
        <v>32783</v>
      </c>
      <c r="E1002" s="1">
        <v>45402</v>
      </c>
      <c r="F1002" s="1">
        <v>45403</v>
      </c>
      <c r="G1002" t="s">
        <v>50</v>
      </c>
      <c r="H1002" t="s">
        <v>52</v>
      </c>
      <c r="I1002" t="s">
        <v>67</v>
      </c>
      <c r="J1002" t="s">
        <v>1057</v>
      </c>
      <c r="K1002" t="s">
        <v>33</v>
      </c>
      <c r="M1002" t="s">
        <v>78</v>
      </c>
      <c r="N1002">
        <v>3</v>
      </c>
    </row>
    <row r="1003" spans="1:15" x14ac:dyDescent="0.2">
      <c r="A1003" t="s">
        <v>1458</v>
      </c>
      <c r="B1003" t="s">
        <v>64</v>
      </c>
      <c r="C1003" t="s">
        <v>97</v>
      </c>
      <c r="D1003" s="1">
        <v>27617</v>
      </c>
      <c r="E1003" s="1">
        <v>45355</v>
      </c>
      <c r="G1003" t="s">
        <v>18</v>
      </c>
      <c r="H1003" t="s">
        <v>30</v>
      </c>
      <c r="I1003" t="s">
        <v>76</v>
      </c>
      <c r="J1003">
        <v>1116</v>
      </c>
      <c r="K1003" t="s">
        <v>33</v>
      </c>
      <c r="M1003" t="s">
        <v>78</v>
      </c>
      <c r="N1003">
        <v>6</v>
      </c>
      <c r="O1003" t="s">
        <v>36</v>
      </c>
    </row>
    <row r="1004" spans="1:15" x14ac:dyDescent="0.2">
      <c r="A1004" t="s">
        <v>1459</v>
      </c>
      <c r="B1004" t="s">
        <v>102</v>
      </c>
      <c r="C1004" t="s">
        <v>92</v>
      </c>
      <c r="D1004" s="1">
        <v>27604</v>
      </c>
      <c r="E1004" s="1">
        <v>45336</v>
      </c>
      <c r="F1004" s="1">
        <v>45350</v>
      </c>
      <c r="G1004" t="s">
        <v>46</v>
      </c>
      <c r="I1004" t="s">
        <v>41</v>
      </c>
      <c r="J1004">
        <v>614</v>
      </c>
      <c r="K1004" t="s">
        <v>71</v>
      </c>
      <c r="L1004" t="s">
        <v>34</v>
      </c>
      <c r="M1004" t="s">
        <v>35</v>
      </c>
      <c r="O1004" t="s">
        <v>25</v>
      </c>
    </row>
    <row r="1005" spans="1:15" x14ac:dyDescent="0.2">
      <c r="A1005" t="s">
        <v>1460</v>
      </c>
      <c r="B1005" t="s">
        <v>105</v>
      </c>
      <c r="C1005" t="s">
        <v>17</v>
      </c>
      <c r="D1005" s="1">
        <v>19533</v>
      </c>
      <c r="E1005" s="1">
        <v>45298</v>
      </c>
      <c r="F1005" s="1">
        <v>45300</v>
      </c>
      <c r="G1005" t="s">
        <v>29</v>
      </c>
      <c r="H1005" t="s">
        <v>30</v>
      </c>
      <c r="I1005" t="s">
        <v>41</v>
      </c>
      <c r="J1005">
        <v>284</v>
      </c>
      <c r="K1005" t="s">
        <v>22</v>
      </c>
      <c r="M1005" t="s">
        <v>24</v>
      </c>
      <c r="O1005" t="s">
        <v>25</v>
      </c>
    </row>
    <row r="1006" spans="1:15" x14ac:dyDescent="0.2">
      <c r="A1006" t="s">
        <v>1461</v>
      </c>
      <c r="B1006" t="s">
        <v>16</v>
      </c>
      <c r="C1006" t="s">
        <v>39</v>
      </c>
      <c r="D1006" s="1">
        <v>30265</v>
      </c>
      <c r="E1006" s="1">
        <v>45319</v>
      </c>
      <c r="F1006" s="1">
        <v>45333</v>
      </c>
      <c r="G1006" t="s">
        <v>83</v>
      </c>
      <c r="H1006" t="s">
        <v>75</v>
      </c>
      <c r="I1006" t="s">
        <v>20</v>
      </c>
      <c r="J1006" t="s">
        <v>1462</v>
      </c>
      <c r="K1006" t="s">
        <v>22</v>
      </c>
      <c r="L1006" t="s">
        <v>34</v>
      </c>
      <c r="M1006" t="s">
        <v>78</v>
      </c>
      <c r="N1006">
        <v>4</v>
      </c>
      <c r="O1006" t="s">
        <v>25</v>
      </c>
    </row>
    <row r="1007" spans="1:15" x14ac:dyDescent="0.2">
      <c r="A1007">
        <v>1005</v>
      </c>
      <c r="B1007" t="s">
        <v>91</v>
      </c>
      <c r="C1007" t="s">
        <v>92</v>
      </c>
      <c r="D1007" s="1">
        <v>20875</v>
      </c>
      <c r="E1007" s="1">
        <v>45365</v>
      </c>
      <c r="F1007" s="1">
        <v>45370</v>
      </c>
      <c r="G1007" t="s">
        <v>60</v>
      </c>
      <c r="H1007" t="s">
        <v>52</v>
      </c>
      <c r="I1007" t="s">
        <v>41</v>
      </c>
      <c r="J1007" t="s">
        <v>1463</v>
      </c>
      <c r="K1007" t="s">
        <v>48</v>
      </c>
      <c r="L1007" t="s">
        <v>23</v>
      </c>
      <c r="M1007" t="s">
        <v>35</v>
      </c>
      <c r="O1007" t="s">
        <v>36</v>
      </c>
    </row>
    <row r="1008" spans="1:15" x14ac:dyDescent="0.2">
      <c r="A1008" t="s">
        <v>1464</v>
      </c>
      <c r="B1008" t="s">
        <v>102</v>
      </c>
      <c r="C1008" t="s">
        <v>65</v>
      </c>
      <c r="D1008" s="1">
        <v>35569</v>
      </c>
      <c r="E1008" s="1">
        <v>45406</v>
      </c>
      <c r="F1008" s="1">
        <v>45416</v>
      </c>
      <c r="G1008" t="s">
        <v>100</v>
      </c>
      <c r="H1008" t="s">
        <v>66</v>
      </c>
      <c r="I1008" t="s">
        <v>67</v>
      </c>
      <c r="J1008" t="s">
        <v>1465</v>
      </c>
      <c r="K1008" t="s">
        <v>33</v>
      </c>
      <c r="L1008" t="s">
        <v>23</v>
      </c>
      <c r="M1008" t="s">
        <v>24</v>
      </c>
      <c r="N1008">
        <v>13</v>
      </c>
      <c r="O1008" t="s">
        <v>25</v>
      </c>
    </row>
    <row r="1009" spans="1:15" x14ac:dyDescent="0.2">
      <c r="A1009" t="s">
        <v>1466</v>
      </c>
      <c r="B1009" t="s">
        <v>118</v>
      </c>
      <c r="C1009" t="s">
        <v>97</v>
      </c>
      <c r="D1009" s="1">
        <v>32664</v>
      </c>
      <c r="E1009" s="1">
        <v>45403</v>
      </c>
      <c r="F1009" s="1">
        <v>45406</v>
      </c>
      <c r="G1009" t="s">
        <v>83</v>
      </c>
      <c r="H1009" t="s">
        <v>61</v>
      </c>
      <c r="I1009" t="s">
        <v>20</v>
      </c>
      <c r="J1009" t="s">
        <v>1467</v>
      </c>
      <c r="K1009" t="s">
        <v>22</v>
      </c>
      <c r="M1009" t="s">
        <v>35</v>
      </c>
      <c r="O1009" t="s">
        <v>36</v>
      </c>
    </row>
    <row r="1010" spans="1:15" x14ac:dyDescent="0.2">
      <c r="A1010">
        <v>1008</v>
      </c>
      <c r="B1010" t="s">
        <v>82</v>
      </c>
      <c r="C1010" t="s">
        <v>28</v>
      </c>
      <c r="D1010" s="1">
        <v>21546</v>
      </c>
      <c r="E1010" s="1">
        <v>45376</v>
      </c>
      <c r="F1010" s="1">
        <v>45389</v>
      </c>
      <c r="G1010" t="s">
        <v>88</v>
      </c>
      <c r="H1010" t="s">
        <v>19</v>
      </c>
      <c r="I1010" t="s">
        <v>57</v>
      </c>
      <c r="J1010">
        <v>1094</v>
      </c>
      <c r="K1010" t="s">
        <v>48</v>
      </c>
      <c r="M1010" t="s">
        <v>35</v>
      </c>
    </row>
    <row r="1011" spans="1:15" x14ac:dyDescent="0.2">
      <c r="A1011">
        <v>1009</v>
      </c>
      <c r="B1011" t="s">
        <v>119</v>
      </c>
      <c r="C1011" t="s">
        <v>97</v>
      </c>
      <c r="D1011" s="1">
        <v>36085</v>
      </c>
      <c r="E1011" s="1">
        <v>45436</v>
      </c>
      <c r="F1011" s="1">
        <v>45442</v>
      </c>
      <c r="G1011" t="s">
        <v>72</v>
      </c>
      <c r="H1011" t="s">
        <v>75</v>
      </c>
      <c r="I1011" t="s">
        <v>20</v>
      </c>
      <c r="J1011" t="s">
        <v>1468</v>
      </c>
      <c r="K1011" t="s">
        <v>48</v>
      </c>
      <c r="M1011" t="s">
        <v>24</v>
      </c>
      <c r="N1011">
        <v>1</v>
      </c>
    </row>
    <row r="1012" spans="1:15" x14ac:dyDescent="0.2">
      <c r="A1012">
        <v>1010</v>
      </c>
      <c r="B1012" t="s">
        <v>85</v>
      </c>
      <c r="C1012" t="s">
        <v>39</v>
      </c>
      <c r="D1012" s="1">
        <v>34546</v>
      </c>
      <c r="E1012" s="1">
        <v>45447</v>
      </c>
      <c r="F1012" s="1">
        <v>45458</v>
      </c>
      <c r="G1012" t="s">
        <v>50</v>
      </c>
      <c r="H1012" t="s">
        <v>19</v>
      </c>
      <c r="I1012" t="s">
        <v>57</v>
      </c>
      <c r="J1012" t="s">
        <v>1469</v>
      </c>
      <c r="K1012" t="s">
        <v>71</v>
      </c>
      <c r="M1012" t="s">
        <v>24</v>
      </c>
      <c r="N1012">
        <v>5</v>
      </c>
      <c r="O1012" t="s">
        <v>25</v>
      </c>
    </row>
    <row r="1013" spans="1:15" x14ac:dyDescent="0.2">
      <c r="A1013">
        <v>1011</v>
      </c>
      <c r="B1013" t="s">
        <v>118</v>
      </c>
      <c r="C1013" t="s">
        <v>17</v>
      </c>
      <c r="D1013" s="1">
        <v>23128</v>
      </c>
      <c r="E1013" s="1">
        <v>45416</v>
      </c>
      <c r="F1013" s="1">
        <v>45424</v>
      </c>
      <c r="G1013" t="s">
        <v>18</v>
      </c>
      <c r="H1013" t="s">
        <v>30</v>
      </c>
      <c r="I1013" t="s">
        <v>67</v>
      </c>
      <c r="J1013" t="s">
        <v>1195</v>
      </c>
      <c r="K1013" t="s">
        <v>33</v>
      </c>
      <c r="M1013" t="s">
        <v>35</v>
      </c>
    </row>
    <row r="1014" spans="1:15" x14ac:dyDescent="0.2">
      <c r="A1014" t="s">
        <v>1470</v>
      </c>
      <c r="B1014" t="s">
        <v>119</v>
      </c>
      <c r="C1014" t="s">
        <v>65</v>
      </c>
      <c r="D1014" s="1">
        <v>27737</v>
      </c>
      <c r="E1014" s="1">
        <v>45448</v>
      </c>
      <c r="F1014" s="1">
        <v>45450</v>
      </c>
      <c r="G1014" t="s">
        <v>46</v>
      </c>
      <c r="H1014" t="s">
        <v>19</v>
      </c>
      <c r="I1014" t="s">
        <v>41</v>
      </c>
      <c r="J1014" t="s">
        <v>1471</v>
      </c>
      <c r="K1014" t="s">
        <v>48</v>
      </c>
      <c r="L1014" t="s">
        <v>23</v>
      </c>
      <c r="M1014" t="s">
        <v>78</v>
      </c>
      <c r="O1014" t="s">
        <v>36</v>
      </c>
    </row>
    <row r="1015" spans="1:15" x14ac:dyDescent="0.2">
      <c r="A1015" t="s">
        <v>1472</v>
      </c>
      <c r="B1015" t="s">
        <v>140</v>
      </c>
      <c r="C1015" t="s">
        <v>17</v>
      </c>
      <c r="D1015" s="1">
        <v>21181</v>
      </c>
      <c r="E1015" s="1">
        <v>45306</v>
      </c>
      <c r="F1015" s="1">
        <v>45317</v>
      </c>
      <c r="G1015" t="s">
        <v>72</v>
      </c>
      <c r="I1015" t="s">
        <v>53</v>
      </c>
      <c r="J1015" t="s">
        <v>1473</v>
      </c>
      <c r="K1015" t="s">
        <v>48</v>
      </c>
      <c r="L1015" t="s">
        <v>34</v>
      </c>
      <c r="M1015" t="s">
        <v>35</v>
      </c>
      <c r="N1015">
        <v>12</v>
      </c>
    </row>
    <row r="1016" spans="1:15" x14ac:dyDescent="0.2">
      <c r="A1016" t="s">
        <v>1474</v>
      </c>
      <c r="B1016" t="s">
        <v>105</v>
      </c>
      <c r="C1016" t="s">
        <v>65</v>
      </c>
      <c r="D1016" s="1">
        <v>34794</v>
      </c>
      <c r="E1016" s="1">
        <v>45329</v>
      </c>
      <c r="G1016" t="s">
        <v>100</v>
      </c>
      <c r="H1016" t="s">
        <v>66</v>
      </c>
      <c r="I1016" t="s">
        <v>53</v>
      </c>
      <c r="J1016" t="s">
        <v>1475</v>
      </c>
      <c r="K1016" t="s">
        <v>43</v>
      </c>
      <c r="L1016" t="s">
        <v>34</v>
      </c>
      <c r="M1016" t="s">
        <v>35</v>
      </c>
      <c r="N1016">
        <v>15</v>
      </c>
      <c r="O1016" t="s">
        <v>36</v>
      </c>
    </row>
    <row r="1017" spans="1:15" x14ac:dyDescent="0.2">
      <c r="A1017">
        <v>1015</v>
      </c>
      <c r="B1017" t="s">
        <v>45</v>
      </c>
      <c r="C1017" t="s">
        <v>65</v>
      </c>
      <c r="D1017" s="1">
        <v>22793</v>
      </c>
      <c r="E1017" s="1">
        <v>45322</v>
      </c>
      <c r="F1017" s="1">
        <v>45337</v>
      </c>
      <c r="G1017" t="s">
        <v>40</v>
      </c>
      <c r="H1017" t="s">
        <v>61</v>
      </c>
      <c r="I1017" t="s">
        <v>53</v>
      </c>
      <c r="J1017">
        <v>577</v>
      </c>
      <c r="K1017" t="s">
        <v>43</v>
      </c>
      <c r="M1017" t="s">
        <v>78</v>
      </c>
      <c r="N1017">
        <v>9</v>
      </c>
      <c r="O1017" t="s">
        <v>25</v>
      </c>
    </row>
    <row r="1018" spans="1:15" x14ac:dyDescent="0.2">
      <c r="A1018" t="s">
        <v>1476</v>
      </c>
      <c r="B1018" t="s">
        <v>64</v>
      </c>
      <c r="C1018" t="s">
        <v>92</v>
      </c>
      <c r="D1018" s="1">
        <v>35961</v>
      </c>
      <c r="E1018" s="1">
        <v>45399</v>
      </c>
      <c r="F1018" s="1">
        <v>45410</v>
      </c>
      <c r="G1018" t="s">
        <v>46</v>
      </c>
      <c r="I1018" t="s">
        <v>67</v>
      </c>
      <c r="J1018" t="s">
        <v>1477</v>
      </c>
      <c r="K1018" t="s">
        <v>33</v>
      </c>
      <c r="M1018" t="s">
        <v>35</v>
      </c>
      <c r="N1018">
        <v>11</v>
      </c>
      <c r="O1018" t="s">
        <v>25</v>
      </c>
    </row>
    <row r="1019" spans="1:15" x14ac:dyDescent="0.2">
      <c r="A1019" t="s">
        <v>1478</v>
      </c>
      <c r="B1019" t="s">
        <v>105</v>
      </c>
      <c r="C1019" t="s">
        <v>28</v>
      </c>
      <c r="D1019" s="1">
        <v>37611</v>
      </c>
      <c r="E1019" s="1">
        <v>45334</v>
      </c>
      <c r="F1019" s="1">
        <v>45343</v>
      </c>
      <c r="G1019" t="s">
        <v>100</v>
      </c>
      <c r="H1019" t="s">
        <v>75</v>
      </c>
      <c r="I1019" t="s">
        <v>41</v>
      </c>
      <c r="J1019">
        <v>903</v>
      </c>
      <c r="K1019" t="s">
        <v>48</v>
      </c>
      <c r="M1019" t="s">
        <v>35</v>
      </c>
      <c r="N1019">
        <v>4</v>
      </c>
    </row>
    <row r="1020" spans="1:15" x14ac:dyDescent="0.2">
      <c r="A1020" t="s">
        <v>1479</v>
      </c>
      <c r="B1020" t="s">
        <v>38</v>
      </c>
      <c r="C1020" t="s">
        <v>39</v>
      </c>
      <c r="D1020" s="1">
        <v>21161</v>
      </c>
      <c r="E1020" s="1">
        <v>45320</v>
      </c>
      <c r="F1020" s="1">
        <v>45328</v>
      </c>
      <c r="G1020" t="s">
        <v>46</v>
      </c>
      <c r="H1020" t="s">
        <v>19</v>
      </c>
      <c r="I1020" t="s">
        <v>31</v>
      </c>
      <c r="J1020" t="s">
        <v>1480</v>
      </c>
      <c r="K1020" t="s">
        <v>33</v>
      </c>
      <c r="M1020" t="s">
        <v>78</v>
      </c>
      <c r="O1020" t="s">
        <v>36</v>
      </c>
    </row>
    <row r="1021" spans="1:15" x14ac:dyDescent="0.2">
      <c r="A1021" t="s">
        <v>1481</v>
      </c>
      <c r="B1021" t="s">
        <v>118</v>
      </c>
      <c r="C1021" t="s">
        <v>97</v>
      </c>
      <c r="D1021" s="1">
        <v>27860</v>
      </c>
      <c r="E1021" s="1">
        <v>45446</v>
      </c>
      <c r="F1021" s="1">
        <v>45451</v>
      </c>
      <c r="G1021" t="s">
        <v>29</v>
      </c>
      <c r="H1021" t="s">
        <v>61</v>
      </c>
      <c r="I1021" t="s">
        <v>67</v>
      </c>
      <c r="J1021">
        <v>642</v>
      </c>
      <c r="K1021" t="s">
        <v>48</v>
      </c>
      <c r="M1021" t="s">
        <v>78</v>
      </c>
      <c r="N1021">
        <v>3</v>
      </c>
      <c r="O1021" t="s">
        <v>25</v>
      </c>
    </row>
    <row r="1022" spans="1:15" x14ac:dyDescent="0.2">
      <c r="A1022">
        <v>1020</v>
      </c>
      <c r="B1022" t="s">
        <v>64</v>
      </c>
      <c r="C1022" t="s">
        <v>97</v>
      </c>
      <c r="D1022" s="1">
        <v>36641</v>
      </c>
      <c r="E1022" s="1">
        <v>45318</v>
      </c>
      <c r="G1022" t="s">
        <v>83</v>
      </c>
      <c r="H1022" t="s">
        <v>61</v>
      </c>
      <c r="I1022" t="s">
        <v>41</v>
      </c>
      <c r="J1022">
        <v>597</v>
      </c>
      <c r="K1022" t="s">
        <v>33</v>
      </c>
      <c r="L1022" t="s">
        <v>23</v>
      </c>
      <c r="M1022" t="s">
        <v>35</v>
      </c>
      <c r="N1022">
        <v>10</v>
      </c>
      <c r="O1022" t="s">
        <v>25</v>
      </c>
    </row>
    <row r="1023" spans="1:15" x14ac:dyDescent="0.2">
      <c r="A1023">
        <v>1021</v>
      </c>
      <c r="B1023" t="s">
        <v>27</v>
      </c>
      <c r="C1023" t="s">
        <v>28</v>
      </c>
      <c r="D1023" s="1">
        <v>35719</v>
      </c>
      <c r="E1023" s="1">
        <v>45449</v>
      </c>
      <c r="F1023" s="1">
        <v>45452</v>
      </c>
      <c r="G1023" t="s">
        <v>29</v>
      </c>
      <c r="H1023" t="s">
        <v>19</v>
      </c>
      <c r="I1023" t="s">
        <v>67</v>
      </c>
      <c r="J1023">
        <v>1179</v>
      </c>
      <c r="K1023" t="s">
        <v>43</v>
      </c>
      <c r="L1023" t="s">
        <v>34</v>
      </c>
      <c r="M1023" t="s">
        <v>78</v>
      </c>
      <c r="O1023" t="s">
        <v>25</v>
      </c>
    </row>
    <row r="1024" spans="1:15" x14ac:dyDescent="0.2">
      <c r="A1024" t="s">
        <v>1482</v>
      </c>
      <c r="B1024" t="s">
        <v>45</v>
      </c>
      <c r="C1024" t="s">
        <v>17</v>
      </c>
      <c r="D1024" s="1">
        <v>25291</v>
      </c>
      <c r="E1024" s="1">
        <v>45442</v>
      </c>
      <c r="F1024" s="1">
        <v>45455</v>
      </c>
      <c r="G1024" t="s">
        <v>50</v>
      </c>
      <c r="H1024" t="s">
        <v>75</v>
      </c>
      <c r="I1024" t="s">
        <v>76</v>
      </c>
      <c r="J1024" t="s">
        <v>1483</v>
      </c>
      <c r="K1024" t="s">
        <v>22</v>
      </c>
      <c r="M1024" t="s">
        <v>24</v>
      </c>
      <c r="N1024">
        <v>1</v>
      </c>
      <c r="O1024" t="s">
        <v>36</v>
      </c>
    </row>
    <row r="1025" spans="1:15" x14ac:dyDescent="0.2">
      <c r="A1025" t="s">
        <v>1484</v>
      </c>
      <c r="B1025" t="s">
        <v>91</v>
      </c>
      <c r="C1025" t="s">
        <v>17</v>
      </c>
      <c r="D1025" s="1">
        <v>26603</v>
      </c>
      <c r="E1025" s="1">
        <v>45434</v>
      </c>
      <c r="F1025" s="1">
        <v>45447</v>
      </c>
      <c r="G1025" t="s">
        <v>46</v>
      </c>
      <c r="H1025" t="s">
        <v>30</v>
      </c>
      <c r="I1025" t="s">
        <v>31</v>
      </c>
      <c r="J1025">
        <v>718</v>
      </c>
      <c r="K1025" t="s">
        <v>22</v>
      </c>
      <c r="M1025" t="s">
        <v>35</v>
      </c>
      <c r="N1025">
        <v>7</v>
      </c>
      <c r="O1025" t="s">
        <v>36</v>
      </c>
    </row>
    <row r="1026" spans="1:15" x14ac:dyDescent="0.2">
      <c r="A1026" t="s">
        <v>1485</v>
      </c>
      <c r="B1026" t="s">
        <v>80</v>
      </c>
      <c r="C1026" t="s">
        <v>39</v>
      </c>
      <c r="D1026" s="1">
        <v>24596</v>
      </c>
      <c r="E1026" s="1">
        <v>45362</v>
      </c>
      <c r="F1026" s="1">
        <v>45369</v>
      </c>
      <c r="G1026" t="s">
        <v>74</v>
      </c>
      <c r="H1026" t="s">
        <v>19</v>
      </c>
      <c r="I1026" t="s">
        <v>41</v>
      </c>
      <c r="J1026" t="s">
        <v>1486</v>
      </c>
      <c r="K1026" t="s">
        <v>43</v>
      </c>
      <c r="L1026" t="s">
        <v>23</v>
      </c>
      <c r="M1026" t="s">
        <v>24</v>
      </c>
    </row>
    <row r="1027" spans="1:15" x14ac:dyDescent="0.2">
      <c r="A1027" t="s">
        <v>1487</v>
      </c>
      <c r="B1027" t="s">
        <v>27</v>
      </c>
      <c r="C1027" t="s">
        <v>49</v>
      </c>
      <c r="D1027" s="1">
        <v>19634</v>
      </c>
      <c r="E1027" s="1">
        <v>45394</v>
      </c>
      <c r="F1027" s="1">
        <v>45397</v>
      </c>
      <c r="G1027" t="s">
        <v>60</v>
      </c>
      <c r="H1027" t="s">
        <v>66</v>
      </c>
      <c r="I1027" t="s">
        <v>76</v>
      </c>
      <c r="J1027">
        <v>654</v>
      </c>
      <c r="K1027" t="s">
        <v>43</v>
      </c>
      <c r="L1027" t="s">
        <v>34</v>
      </c>
      <c r="M1027" t="s">
        <v>35</v>
      </c>
      <c r="N1027">
        <v>10</v>
      </c>
      <c r="O1027" t="s">
        <v>25</v>
      </c>
    </row>
    <row r="1028" spans="1:15" x14ac:dyDescent="0.2">
      <c r="A1028">
        <v>1026</v>
      </c>
      <c r="B1028" t="s">
        <v>118</v>
      </c>
      <c r="C1028" t="s">
        <v>92</v>
      </c>
      <c r="D1028" s="1">
        <v>36152</v>
      </c>
      <c r="E1028" s="1">
        <v>45449</v>
      </c>
      <c r="F1028" s="1">
        <v>45459</v>
      </c>
      <c r="G1028" t="s">
        <v>18</v>
      </c>
      <c r="H1028" t="s">
        <v>61</v>
      </c>
      <c r="I1028" t="s">
        <v>76</v>
      </c>
      <c r="J1028">
        <v>738</v>
      </c>
      <c r="K1028" t="s">
        <v>43</v>
      </c>
      <c r="M1028" t="s">
        <v>24</v>
      </c>
      <c r="N1028">
        <v>2</v>
      </c>
      <c r="O1028" t="s">
        <v>36</v>
      </c>
    </row>
    <row r="1029" spans="1:15" x14ac:dyDescent="0.2">
      <c r="A1029">
        <v>1027</v>
      </c>
      <c r="B1029" t="s">
        <v>119</v>
      </c>
      <c r="C1029" t="s">
        <v>92</v>
      </c>
      <c r="D1029" s="1">
        <v>28538</v>
      </c>
      <c r="E1029" s="1">
        <v>45320</v>
      </c>
      <c r="F1029" s="1">
        <v>45332</v>
      </c>
      <c r="G1029" t="s">
        <v>88</v>
      </c>
      <c r="I1029" t="s">
        <v>53</v>
      </c>
      <c r="J1029" t="s">
        <v>1488</v>
      </c>
      <c r="K1029" t="s">
        <v>22</v>
      </c>
      <c r="M1029" t="s">
        <v>24</v>
      </c>
      <c r="O1029" t="s">
        <v>25</v>
      </c>
    </row>
    <row r="1030" spans="1:15" x14ac:dyDescent="0.2">
      <c r="A1030" t="s">
        <v>1489</v>
      </c>
      <c r="B1030" t="s">
        <v>56</v>
      </c>
      <c r="C1030" t="s">
        <v>17</v>
      </c>
      <c r="D1030" s="1">
        <v>32107</v>
      </c>
      <c r="E1030" s="1">
        <v>45350</v>
      </c>
      <c r="F1030" s="1">
        <v>45356</v>
      </c>
      <c r="G1030" t="s">
        <v>29</v>
      </c>
      <c r="H1030" t="s">
        <v>75</v>
      </c>
      <c r="I1030" t="s">
        <v>53</v>
      </c>
      <c r="J1030" t="s">
        <v>1490</v>
      </c>
      <c r="K1030" t="s">
        <v>43</v>
      </c>
      <c r="M1030" t="s">
        <v>78</v>
      </c>
      <c r="N1030">
        <v>1</v>
      </c>
      <c r="O1030" t="s">
        <v>36</v>
      </c>
    </row>
    <row r="1031" spans="1:15" x14ac:dyDescent="0.2">
      <c r="A1031">
        <v>1029</v>
      </c>
      <c r="B1031" t="s">
        <v>64</v>
      </c>
      <c r="C1031" t="s">
        <v>17</v>
      </c>
      <c r="D1031" s="1">
        <v>19075</v>
      </c>
      <c r="E1031" s="1">
        <v>45326</v>
      </c>
      <c r="F1031" s="1">
        <v>45336</v>
      </c>
      <c r="G1031" t="s">
        <v>46</v>
      </c>
      <c r="H1031" t="s">
        <v>66</v>
      </c>
      <c r="I1031" t="s">
        <v>31</v>
      </c>
      <c r="J1031">
        <v>870</v>
      </c>
      <c r="K1031" t="s">
        <v>33</v>
      </c>
      <c r="M1031" t="s">
        <v>78</v>
      </c>
      <c r="N1031">
        <v>1</v>
      </c>
      <c r="O1031" t="s">
        <v>36</v>
      </c>
    </row>
    <row r="1032" spans="1:15" x14ac:dyDescent="0.2">
      <c r="A1032">
        <v>1030</v>
      </c>
      <c r="B1032" t="s">
        <v>38</v>
      </c>
      <c r="C1032" t="s">
        <v>97</v>
      </c>
      <c r="D1032" s="1">
        <v>18734</v>
      </c>
      <c r="E1032" s="1">
        <v>45372</v>
      </c>
      <c r="F1032" s="1">
        <v>45380</v>
      </c>
      <c r="G1032" t="s">
        <v>83</v>
      </c>
      <c r="H1032" t="s">
        <v>61</v>
      </c>
      <c r="I1032" t="s">
        <v>20</v>
      </c>
      <c r="J1032">
        <v>1269</v>
      </c>
      <c r="K1032" t="s">
        <v>33</v>
      </c>
      <c r="M1032" t="s">
        <v>35</v>
      </c>
    </row>
    <row r="1033" spans="1:15" x14ac:dyDescent="0.2">
      <c r="A1033" t="s">
        <v>1491</v>
      </c>
      <c r="B1033" t="s">
        <v>64</v>
      </c>
      <c r="C1033" t="s">
        <v>28</v>
      </c>
      <c r="D1033" s="1">
        <v>22551</v>
      </c>
      <c r="E1033" s="1">
        <v>45386</v>
      </c>
      <c r="F1033" s="1">
        <v>45401</v>
      </c>
      <c r="G1033" t="s">
        <v>46</v>
      </c>
      <c r="I1033" t="s">
        <v>53</v>
      </c>
      <c r="J1033">
        <v>477</v>
      </c>
      <c r="K1033" t="s">
        <v>33</v>
      </c>
      <c r="M1033" t="s">
        <v>35</v>
      </c>
    </row>
    <row r="1034" spans="1:15" x14ac:dyDescent="0.2">
      <c r="A1034">
        <v>1032</v>
      </c>
      <c r="B1034" t="s">
        <v>85</v>
      </c>
      <c r="C1034" t="s">
        <v>65</v>
      </c>
      <c r="D1034" s="1">
        <v>29635</v>
      </c>
      <c r="E1034" s="1">
        <v>45305</v>
      </c>
      <c r="F1034" s="1">
        <v>45316</v>
      </c>
      <c r="G1034" t="s">
        <v>46</v>
      </c>
      <c r="I1034" t="s">
        <v>67</v>
      </c>
      <c r="J1034" t="s">
        <v>1492</v>
      </c>
      <c r="K1034" t="s">
        <v>22</v>
      </c>
      <c r="M1034" t="s">
        <v>35</v>
      </c>
      <c r="N1034">
        <v>13</v>
      </c>
      <c r="O1034" t="s">
        <v>36</v>
      </c>
    </row>
    <row r="1035" spans="1:15" x14ac:dyDescent="0.2">
      <c r="A1035">
        <v>1033</v>
      </c>
      <c r="B1035" t="s">
        <v>56</v>
      </c>
      <c r="C1035" t="s">
        <v>49</v>
      </c>
      <c r="D1035" s="1">
        <v>39780</v>
      </c>
      <c r="E1035" s="1">
        <v>45371</v>
      </c>
      <c r="G1035" t="s">
        <v>83</v>
      </c>
      <c r="H1035" t="s">
        <v>61</v>
      </c>
      <c r="I1035" t="s">
        <v>20</v>
      </c>
      <c r="J1035" t="s">
        <v>1493</v>
      </c>
      <c r="K1035" t="s">
        <v>48</v>
      </c>
      <c r="L1035" t="s">
        <v>34</v>
      </c>
      <c r="M1035" t="s">
        <v>35</v>
      </c>
      <c r="O1035" t="s">
        <v>25</v>
      </c>
    </row>
    <row r="1036" spans="1:15" x14ac:dyDescent="0.2">
      <c r="A1036" t="s">
        <v>1494</v>
      </c>
      <c r="B1036" t="s">
        <v>102</v>
      </c>
      <c r="C1036" t="s">
        <v>39</v>
      </c>
      <c r="D1036" s="1">
        <v>34758</v>
      </c>
      <c r="E1036" s="1">
        <v>45428</v>
      </c>
      <c r="F1036" s="1">
        <v>45429</v>
      </c>
      <c r="G1036" t="s">
        <v>74</v>
      </c>
      <c r="H1036" t="s">
        <v>19</v>
      </c>
      <c r="I1036" t="s">
        <v>57</v>
      </c>
      <c r="J1036">
        <v>1157</v>
      </c>
      <c r="K1036" t="s">
        <v>71</v>
      </c>
      <c r="M1036" t="s">
        <v>24</v>
      </c>
      <c r="O1036" t="s">
        <v>25</v>
      </c>
    </row>
    <row r="1037" spans="1:15" x14ac:dyDescent="0.2">
      <c r="A1037" t="s">
        <v>1495</v>
      </c>
      <c r="B1037" t="s">
        <v>119</v>
      </c>
      <c r="C1037" t="s">
        <v>65</v>
      </c>
      <c r="D1037" s="1">
        <v>30006</v>
      </c>
      <c r="E1037" s="1">
        <v>45295</v>
      </c>
      <c r="F1037" s="1">
        <v>45307</v>
      </c>
      <c r="G1037" t="s">
        <v>60</v>
      </c>
      <c r="I1037" t="s">
        <v>67</v>
      </c>
      <c r="J1037">
        <v>1407</v>
      </c>
      <c r="K1037" t="s">
        <v>48</v>
      </c>
      <c r="L1037" t="s">
        <v>23</v>
      </c>
      <c r="M1037" t="s">
        <v>24</v>
      </c>
      <c r="O1037" t="s">
        <v>25</v>
      </c>
    </row>
    <row r="1038" spans="1:15" x14ac:dyDescent="0.2">
      <c r="A1038" t="s">
        <v>1496</v>
      </c>
      <c r="B1038" t="s">
        <v>51</v>
      </c>
      <c r="C1038" t="s">
        <v>65</v>
      </c>
      <c r="D1038" s="1">
        <v>26496</v>
      </c>
      <c r="E1038" s="1">
        <v>45414</v>
      </c>
      <c r="F1038" s="1">
        <v>45420</v>
      </c>
      <c r="G1038" t="s">
        <v>40</v>
      </c>
      <c r="H1038" t="s">
        <v>66</v>
      </c>
      <c r="I1038" t="s">
        <v>76</v>
      </c>
      <c r="J1038" t="s">
        <v>1497</v>
      </c>
      <c r="K1038" t="s">
        <v>22</v>
      </c>
      <c r="M1038" t="s">
        <v>78</v>
      </c>
      <c r="N1038">
        <v>3</v>
      </c>
      <c r="O1038" t="s">
        <v>36</v>
      </c>
    </row>
    <row r="1039" spans="1:15" x14ac:dyDescent="0.2">
      <c r="A1039" t="s">
        <v>1498</v>
      </c>
      <c r="B1039" t="s">
        <v>16</v>
      </c>
      <c r="C1039" t="s">
        <v>49</v>
      </c>
      <c r="D1039" s="1">
        <v>36531</v>
      </c>
      <c r="E1039" s="1">
        <v>45420</v>
      </c>
      <c r="F1039" s="1">
        <v>45426</v>
      </c>
      <c r="G1039" t="s">
        <v>88</v>
      </c>
      <c r="H1039" t="s">
        <v>66</v>
      </c>
      <c r="I1039" t="s">
        <v>53</v>
      </c>
      <c r="J1039" t="s">
        <v>1499</v>
      </c>
      <c r="K1039" t="s">
        <v>33</v>
      </c>
      <c r="M1039" t="s">
        <v>78</v>
      </c>
      <c r="N1039">
        <v>6</v>
      </c>
    </row>
    <row r="1040" spans="1:15" x14ac:dyDescent="0.2">
      <c r="A1040" t="s">
        <v>1500</v>
      </c>
      <c r="B1040" t="s">
        <v>51</v>
      </c>
      <c r="C1040" t="s">
        <v>39</v>
      </c>
      <c r="D1040" s="1">
        <v>20777</v>
      </c>
      <c r="E1040" s="1">
        <v>45327</v>
      </c>
      <c r="F1040" s="1">
        <v>45339</v>
      </c>
      <c r="G1040" t="s">
        <v>60</v>
      </c>
      <c r="I1040" t="s">
        <v>57</v>
      </c>
      <c r="J1040">
        <v>1359</v>
      </c>
      <c r="K1040" t="s">
        <v>43</v>
      </c>
      <c r="L1040" t="s">
        <v>34</v>
      </c>
      <c r="M1040" t="s">
        <v>78</v>
      </c>
      <c r="N1040">
        <v>13</v>
      </c>
      <c r="O1040" t="s">
        <v>36</v>
      </c>
    </row>
    <row r="1041" spans="1:15" x14ac:dyDescent="0.2">
      <c r="A1041" t="s">
        <v>1501</v>
      </c>
      <c r="B1041" t="s">
        <v>91</v>
      </c>
      <c r="C1041" t="s">
        <v>49</v>
      </c>
      <c r="D1041" s="1">
        <v>27880</v>
      </c>
      <c r="E1041" s="1">
        <v>45417</v>
      </c>
      <c r="G1041" t="s">
        <v>40</v>
      </c>
      <c r="H1041" t="s">
        <v>61</v>
      </c>
      <c r="I1041" t="s">
        <v>76</v>
      </c>
      <c r="J1041" t="s">
        <v>1502</v>
      </c>
      <c r="K1041" t="s">
        <v>71</v>
      </c>
      <c r="M1041" t="s">
        <v>24</v>
      </c>
    </row>
    <row r="1042" spans="1:15" x14ac:dyDescent="0.2">
      <c r="A1042" t="s">
        <v>1503</v>
      </c>
      <c r="B1042" t="s">
        <v>150</v>
      </c>
      <c r="C1042" t="s">
        <v>65</v>
      </c>
      <c r="D1042" s="1">
        <v>30946</v>
      </c>
      <c r="E1042" s="1">
        <v>45302</v>
      </c>
      <c r="F1042" s="1">
        <v>45313</v>
      </c>
      <c r="G1042" t="s">
        <v>88</v>
      </c>
      <c r="H1042" t="s">
        <v>19</v>
      </c>
      <c r="I1042" t="s">
        <v>57</v>
      </c>
      <c r="J1042" t="s">
        <v>1504</v>
      </c>
      <c r="K1042" t="s">
        <v>43</v>
      </c>
      <c r="L1042" t="s">
        <v>23</v>
      </c>
      <c r="M1042" t="s">
        <v>78</v>
      </c>
      <c r="N1042">
        <v>4</v>
      </c>
      <c r="O1042" t="s">
        <v>36</v>
      </c>
    </row>
    <row r="1043" spans="1:15" x14ac:dyDescent="0.2">
      <c r="A1043" t="s">
        <v>1505</v>
      </c>
      <c r="B1043" t="s">
        <v>45</v>
      </c>
      <c r="C1043" t="s">
        <v>17</v>
      </c>
      <c r="D1043" s="1">
        <v>19435</v>
      </c>
      <c r="E1043" s="1">
        <v>45423</v>
      </c>
      <c r="F1043" s="1">
        <v>45430</v>
      </c>
      <c r="G1043" t="s">
        <v>100</v>
      </c>
      <c r="H1043" t="s">
        <v>61</v>
      </c>
      <c r="I1043" t="s">
        <v>31</v>
      </c>
      <c r="J1043" t="s">
        <v>1506</v>
      </c>
      <c r="K1043" t="s">
        <v>71</v>
      </c>
      <c r="M1043" t="s">
        <v>35</v>
      </c>
      <c r="O1043" t="s">
        <v>36</v>
      </c>
    </row>
    <row r="1044" spans="1:15" x14ac:dyDescent="0.2">
      <c r="A1044" t="s">
        <v>1507</v>
      </c>
      <c r="B1044" t="s">
        <v>102</v>
      </c>
      <c r="C1044" t="s">
        <v>92</v>
      </c>
      <c r="D1044" s="1">
        <v>26845</v>
      </c>
      <c r="E1044" s="1">
        <v>45305</v>
      </c>
      <c r="F1044" s="1">
        <v>45320</v>
      </c>
      <c r="G1044" t="s">
        <v>74</v>
      </c>
      <c r="H1044" t="s">
        <v>19</v>
      </c>
      <c r="I1044" t="s">
        <v>57</v>
      </c>
      <c r="J1044" t="s">
        <v>1508</v>
      </c>
      <c r="K1044" t="s">
        <v>71</v>
      </c>
      <c r="L1044" t="s">
        <v>34</v>
      </c>
      <c r="M1044" t="s">
        <v>35</v>
      </c>
      <c r="N1044">
        <v>11</v>
      </c>
    </row>
    <row r="1045" spans="1:15" x14ac:dyDescent="0.2">
      <c r="A1045" t="s">
        <v>1509</v>
      </c>
      <c r="B1045" t="s">
        <v>59</v>
      </c>
      <c r="C1045" t="s">
        <v>97</v>
      </c>
      <c r="D1045" s="1">
        <v>39355</v>
      </c>
      <c r="E1045" s="1">
        <v>45329</v>
      </c>
      <c r="F1045" s="1">
        <v>45338</v>
      </c>
      <c r="G1045" t="s">
        <v>40</v>
      </c>
      <c r="H1045" t="s">
        <v>75</v>
      </c>
      <c r="I1045" t="s">
        <v>76</v>
      </c>
      <c r="J1045">
        <v>1374</v>
      </c>
      <c r="K1045" t="s">
        <v>43</v>
      </c>
      <c r="L1045" t="s">
        <v>23</v>
      </c>
      <c r="M1045" t="s">
        <v>24</v>
      </c>
      <c r="N1045">
        <v>5</v>
      </c>
      <c r="O1045" t="s">
        <v>36</v>
      </c>
    </row>
    <row r="1046" spans="1:15" x14ac:dyDescent="0.2">
      <c r="A1046">
        <v>1044</v>
      </c>
      <c r="B1046" t="s">
        <v>119</v>
      </c>
      <c r="C1046" t="s">
        <v>49</v>
      </c>
      <c r="D1046" s="1">
        <v>22617</v>
      </c>
      <c r="E1046" s="1">
        <v>45318</v>
      </c>
      <c r="F1046" s="1">
        <v>45329</v>
      </c>
      <c r="G1046" t="s">
        <v>60</v>
      </c>
      <c r="H1046" t="s">
        <v>19</v>
      </c>
      <c r="I1046" t="s">
        <v>67</v>
      </c>
      <c r="J1046" t="s">
        <v>1510</v>
      </c>
      <c r="K1046" t="s">
        <v>43</v>
      </c>
      <c r="M1046" t="s">
        <v>24</v>
      </c>
      <c r="O1046" t="s">
        <v>36</v>
      </c>
    </row>
    <row r="1047" spans="1:15" x14ac:dyDescent="0.2">
      <c r="A1047" t="s">
        <v>1511</v>
      </c>
      <c r="B1047" t="s">
        <v>51</v>
      </c>
      <c r="C1047" t="s">
        <v>39</v>
      </c>
      <c r="D1047" s="1">
        <v>36507</v>
      </c>
      <c r="E1047" s="1">
        <v>45443</v>
      </c>
      <c r="F1047" s="1">
        <v>45447</v>
      </c>
      <c r="G1047" t="s">
        <v>18</v>
      </c>
      <c r="I1047" t="s">
        <v>20</v>
      </c>
      <c r="J1047" t="s">
        <v>1512</v>
      </c>
      <c r="K1047" t="s">
        <v>43</v>
      </c>
      <c r="M1047" t="s">
        <v>35</v>
      </c>
      <c r="N1047">
        <v>14</v>
      </c>
      <c r="O1047" t="s">
        <v>25</v>
      </c>
    </row>
    <row r="1048" spans="1:15" x14ac:dyDescent="0.2">
      <c r="A1048" t="s">
        <v>1513</v>
      </c>
      <c r="B1048" t="s">
        <v>51</v>
      </c>
      <c r="C1048" t="s">
        <v>97</v>
      </c>
      <c r="D1048" s="1">
        <v>35207</v>
      </c>
      <c r="E1048" s="1">
        <v>45439</v>
      </c>
      <c r="F1048" s="1">
        <v>45441</v>
      </c>
      <c r="G1048" t="s">
        <v>74</v>
      </c>
      <c r="H1048" t="s">
        <v>66</v>
      </c>
      <c r="I1048" t="s">
        <v>67</v>
      </c>
      <c r="J1048" t="s">
        <v>1514</v>
      </c>
      <c r="K1048" t="s">
        <v>48</v>
      </c>
      <c r="L1048" t="s">
        <v>34</v>
      </c>
      <c r="M1048" t="s">
        <v>35</v>
      </c>
      <c r="N1048">
        <v>7</v>
      </c>
      <c r="O1048" t="s">
        <v>36</v>
      </c>
    </row>
    <row r="1049" spans="1:15" x14ac:dyDescent="0.2">
      <c r="A1049">
        <v>1047</v>
      </c>
      <c r="B1049" t="s">
        <v>118</v>
      </c>
      <c r="C1049" t="s">
        <v>17</v>
      </c>
      <c r="D1049" s="1">
        <v>19748</v>
      </c>
      <c r="E1049" s="1">
        <v>45422</v>
      </c>
      <c r="F1049" s="1">
        <v>45424</v>
      </c>
      <c r="G1049" t="s">
        <v>40</v>
      </c>
      <c r="H1049" t="s">
        <v>66</v>
      </c>
      <c r="I1049" t="s">
        <v>41</v>
      </c>
      <c r="J1049" t="s">
        <v>1515</v>
      </c>
      <c r="K1049" t="s">
        <v>33</v>
      </c>
      <c r="M1049" t="s">
        <v>35</v>
      </c>
    </row>
    <row r="1050" spans="1:15" x14ac:dyDescent="0.2">
      <c r="A1050" t="s">
        <v>1516</v>
      </c>
      <c r="B1050" t="s">
        <v>27</v>
      </c>
      <c r="C1050" t="s">
        <v>92</v>
      </c>
      <c r="D1050" s="1">
        <v>28727</v>
      </c>
      <c r="E1050" s="1">
        <v>45456</v>
      </c>
      <c r="F1050" s="1">
        <v>45469</v>
      </c>
      <c r="G1050" t="s">
        <v>100</v>
      </c>
      <c r="H1050" t="s">
        <v>30</v>
      </c>
      <c r="I1050" t="s">
        <v>76</v>
      </c>
      <c r="J1050" t="s">
        <v>1517</v>
      </c>
      <c r="K1050" t="s">
        <v>22</v>
      </c>
      <c r="M1050" t="s">
        <v>78</v>
      </c>
      <c r="N1050">
        <v>10</v>
      </c>
      <c r="O1050" t="s">
        <v>36</v>
      </c>
    </row>
    <row r="1051" spans="1:15" x14ac:dyDescent="0.2">
      <c r="A1051" t="s">
        <v>1518</v>
      </c>
      <c r="B1051" t="s">
        <v>16</v>
      </c>
      <c r="C1051" t="s">
        <v>17</v>
      </c>
      <c r="D1051" s="1">
        <v>18383</v>
      </c>
      <c r="E1051" s="1">
        <v>45296</v>
      </c>
      <c r="F1051" s="1">
        <v>45303</v>
      </c>
      <c r="G1051" t="s">
        <v>88</v>
      </c>
      <c r="H1051" t="s">
        <v>30</v>
      </c>
      <c r="I1051" t="s">
        <v>41</v>
      </c>
      <c r="J1051" t="s">
        <v>1519</v>
      </c>
      <c r="K1051" t="s">
        <v>43</v>
      </c>
      <c r="M1051" t="s">
        <v>78</v>
      </c>
      <c r="N1051">
        <v>6</v>
      </c>
      <c r="O1051" t="s">
        <v>25</v>
      </c>
    </row>
    <row r="1052" spans="1:15" x14ac:dyDescent="0.2">
      <c r="A1052" t="s">
        <v>1520</v>
      </c>
      <c r="B1052" t="s">
        <v>80</v>
      </c>
      <c r="C1052" t="s">
        <v>28</v>
      </c>
      <c r="D1052" s="1">
        <v>32447</v>
      </c>
      <c r="E1052" s="1">
        <v>45400</v>
      </c>
      <c r="G1052" t="s">
        <v>88</v>
      </c>
      <c r="H1052" t="s">
        <v>75</v>
      </c>
      <c r="I1052" t="s">
        <v>76</v>
      </c>
      <c r="J1052" t="s">
        <v>1521</v>
      </c>
      <c r="K1052" t="s">
        <v>48</v>
      </c>
      <c r="L1052" t="s">
        <v>34</v>
      </c>
      <c r="M1052" t="s">
        <v>24</v>
      </c>
      <c r="N1052">
        <v>4</v>
      </c>
      <c r="O1052" t="s">
        <v>36</v>
      </c>
    </row>
    <row r="1053" spans="1:15" x14ac:dyDescent="0.2">
      <c r="A1053" t="s">
        <v>1522</v>
      </c>
      <c r="B1053" t="s">
        <v>114</v>
      </c>
      <c r="C1053" t="s">
        <v>65</v>
      </c>
      <c r="D1053" s="1">
        <v>28878</v>
      </c>
      <c r="E1053" s="1">
        <v>45394</v>
      </c>
      <c r="F1053" s="1">
        <v>45402</v>
      </c>
      <c r="G1053" t="s">
        <v>40</v>
      </c>
      <c r="H1053" t="s">
        <v>61</v>
      </c>
      <c r="I1053" t="s">
        <v>20</v>
      </c>
      <c r="J1053" t="s">
        <v>1523</v>
      </c>
      <c r="K1053" t="s">
        <v>71</v>
      </c>
      <c r="M1053" t="s">
        <v>24</v>
      </c>
    </row>
    <row r="1054" spans="1:15" x14ac:dyDescent="0.2">
      <c r="A1054" t="s">
        <v>1524</v>
      </c>
      <c r="B1054" t="s">
        <v>118</v>
      </c>
      <c r="C1054" t="s">
        <v>65</v>
      </c>
      <c r="D1054" s="1">
        <v>36858</v>
      </c>
      <c r="E1054" s="1">
        <v>45332</v>
      </c>
      <c r="F1054" s="1">
        <v>45345</v>
      </c>
      <c r="G1054" t="s">
        <v>40</v>
      </c>
      <c r="H1054" t="s">
        <v>52</v>
      </c>
      <c r="I1054" t="s">
        <v>57</v>
      </c>
      <c r="J1054" t="s">
        <v>1271</v>
      </c>
      <c r="K1054" t="s">
        <v>71</v>
      </c>
      <c r="M1054" t="s">
        <v>24</v>
      </c>
      <c r="O1054" t="s">
        <v>25</v>
      </c>
    </row>
    <row r="1055" spans="1:15" x14ac:dyDescent="0.2">
      <c r="A1055">
        <v>1053</v>
      </c>
      <c r="B1055" t="s">
        <v>119</v>
      </c>
      <c r="C1055" t="s">
        <v>28</v>
      </c>
      <c r="D1055" s="1">
        <v>24182</v>
      </c>
      <c r="E1055" s="1">
        <v>45408</v>
      </c>
      <c r="F1055" s="1">
        <v>45423</v>
      </c>
      <c r="G1055" t="s">
        <v>88</v>
      </c>
      <c r="H1055" t="s">
        <v>75</v>
      </c>
      <c r="I1055" t="s">
        <v>57</v>
      </c>
      <c r="J1055" t="s">
        <v>1525</v>
      </c>
      <c r="K1055" t="s">
        <v>48</v>
      </c>
      <c r="L1055" t="s">
        <v>34</v>
      </c>
      <c r="M1055" t="s">
        <v>35</v>
      </c>
      <c r="N1055">
        <v>12</v>
      </c>
      <c r="O1055" t="s">
        <v>36</v>
      </c>
    </row>
    <row r="1056" spans="1:15" x14ac:dyDescent="0.2">
      <c r="A1056">
        <v>1054</v>
      </c>
      <c r="B1056" t="s">
        <v>105</v>
      </c>
      <c r="C1056" t="s">
        <v>65</v>
      </c>
      <c r="D1056" s="1">
        <v>36583</v>
      </c>
      <c r="E1056" s="1">
        <v>45389</v>
      </c>
      <c r="F1056" s="1">
        <v>45391</v>
      </c>
      <c r="G1056" t="s">
        <v>18</v>
      </c>
      <c r="H1056" t="s">
        <v>30</v>
      </c>
      <c r="I1056" t="s">
        <v>67</v>
      </c>
      <c r="J1056">
        <v>249</v>
      </c>
      <c r="K1056" t="s">
        <v>33</v>
      </c>
      <c r="M1056" t="s">
        <v>24</v>
      </c>
      <c r="N1056">
        <v>2</v>
      </c>
      <c r="O1056" t="s">
        <v>36</v>
      </c>
    </row>
    <row r="1057" spans="1:15" x14ac:dyDescent="0.2">
      <c r="A1057">
        <v>1055</v>
      </c>
      <c r="B1057" t="s">
        <v>114</v>
      </c>
      <c r="C1057" t="s">
        <v>92</v>
      </c>
      <c r="D1057" s="1">
        <v>21220</v>
      </c>
      <c r="E1057" s="1">
        <v>45416</v>
      </c>
      <c r="F1057" s="1">
        <v>45419</v>
      </c>
      <c r="G1057" t="s">
        <v>74</v>
      </c>
      <c r="H1057" t="s">
        <v>61</v>
      </c>
      <c r="I1057" t="s">
        <v>53</v>
      </c>
      <c r="J1057" t="s">
        <v>1143</v>
      </c>
      <c r="K1057" t="s">
        <v>33</v>
      </c>
      <c r="L1057" t="s">
        <v>34</v>
      </c>
      <c r="M1057" t="s">
        <v>24</v>
      </c>
      <c r="N1057">
        <v>7</v>
      </c>
      <c r="O1057" t="s">
        <v>25</v>
      </c>
    </row>
    <row r="1058" spans="1:15" x14ac:dyDescent="0.2">
      <c r="A1058">
        <v>1056</v>
      </c>
      <c r="B1058" t="s">
        <v>38</v>
      </c>
      <c r="C1058" t="s">
        <v>97</v>
      </c>
      <c r="D1058" s="1">
        <v>23595</v>
      </c>
      <c r="E1058" s="1">
        <v>45446</v>
      </c>
      <c r="F1058" s="1">
        <v>45456</v>
      </c>
      <c r="G1058" t="s">
        <v>100</v>
      </c>
      <c r="H1058" t="s">
        <v>66</v>
      </c>
      <c r="I1058" t="s">
        <v>41</v>
      </c>
      <c r="J1058" t="s">
        <v>1526</v>
      </c>
      <c r="K1058" t="s">
        <v>33</v>
      </c>
      <c r="L1058" t="s">
        <v>23</v>
      </c>
      <c r="M1058" t="s">
        <v>35</v>
      </c>
      <c r="N1058">
        <v>6</v>
      </c>
    </row>
    <row r="1059" spans="1:15" x14ac:dyDescent="0.2">
      <c r="A1059">
        <v>1057</v>
      </c>
      <c r="B1059" t="s">
        <v>102</v>
      </c>
      <c r="C1059" t="s">
        <v>28</v>
      </c>
      <c r="D1059" s="1">
        <v>19750</v>
      </c>
      <c r="E1059" s="1">
        <v>45403</v>
      </c>
      <c r="G1059" t="s">
        <v>18</v>
      </c>
      <c r="H1059" t="s">
        <v>52</v>
      </c>
      <c r="I1059" t="s">
        <v>67</v>
      </c>
      <c r="J1059">
        <v>851</v>
      </c>
      <c r="K1059" t="s">
        <v>48</v>
      </c>
      <c r="L1059" t="s">
        <v>34</v>
      </c>
      <c r="M1059" t="s">
        <v>24</v>
      </c>
    </row>
    <row r="1060" spans="1:15" x14ac:dyDescent="0.2">
      <c r="A1060">
        <v>1058</v>
      </c>
      <c r="B1060" t="s">
        <v>91</v>
      </c>
      <c r="C1060" t="s">
        <v>49</v>
      </c>
      <c r="D1060" s="1">
        <v>29476</v>
      </c>
      <c r="E1060" s="1">
        <v>45362</v>
      </c>
      <c r="F1060" s="1">
        <v>45366</v>
      </c>
      <c r="G1060" t="s">
        <v>60</v>
      </c>
      <c r="I1060" t="s">
        <v>41</v>
      </c>
      <c r="J1060" t="s">
        <v>1527</v>
      </c>
      <c r="K1060" t="s">
        <v>43</v>
      </c>
      <c r="L1060" t="s">
        <v>23</v>
      </c>
      <c r="M1060" t="s">
        <v>24</v>
      </c>
      <c r="N1060">
        <v>15</v>
      </c>
    </row>
    <row r="1061" spans="1:15" x14ac:dyDescent="0.2">
      <c r="A1061">
        <v>1059</v>
      </c>
      <c r="B1061" t="s">
        <v>64</v>
      </c>
      <c r="C1061" t="s">
        <v>17</v>
      </c>
      <c r="D1061" s="1">
        <v>21179</v>
      </c>
      <c r="E1061" s="1">
        <v>45425</v>
      </c>
      <c r="F1061" s="1">
        <v>45430</v>
      </c>
      <c r="G1061" t="s">
        <v>50</v>
      </c>
      <c r="H1061" t="s">
        <v>66</v>
      </c>
      <c r="I1061" t="s">
        <v>67</v>
      </c>
      <c r="J1061" t="s">
        <v>1528</v>
      </c>
      <c r="K1061" t="s">
        <v>71</v>
      </c>
      <c r="M1061" t="s">
        <v>35</v>
      </c>
      <c r="N1061">
        <v>1</v>
      </c>
      <c r="O1061" t="s">
        <v>36</v>
      </c>
    </row>
    <row r="1062" spans="1:15" x14ac:dyDescent="0.2">
      <c r="A1062" t="s">
        <v>1529</v>
      </c>
      <c r="B1062" t="s">
        <v>80</v>
      </c>
      <c r="C1062" t="s">
        <v>17</v>
      </c>
      <c r="D1062" s="1">
        <v>22070</v>
      </c>
      <c r="E1062" s="1">
        <v>45292</v>
      </c>
      <c r="F1062" s="1">
        <v>45307</v>
      </c>
      <c r="G1062" t="s">
        <v>72</v>
      </c>
      <c r="H1062" t="s">
        <v>66</v>
      </c>
      <c r="I1062" t="s">
        <v>31</v>
      </c>
      <c r="J1062">
        <v>480</v>
      </c>
      <c r="K1062" t="s">
        <v>48</v>
      </c>
      <c r="L1062" t="s">
        <v>34</v>
      </c>
      <c r="M1062" t="s">
        <v>24</v>
      </c>
      <c r="N1062">
        <v>14</v>
      </c>
      <c r="O1062" t="s">
        <v>36</v>
      </c>
    </row>
    <row r="1063" spans="1:15" x14ac:dyDescent="0.2">
      <c r="A1063" t="s">
        <v>1530</v>
      </c>
      <c r="B1063" t="s">
        <v>119</v>
      </c>
      <c r="C1063" t="s">
        <v>97</v>
      </c>
      <c r="D1063" s="1">
        <v>24804</v>
      </c>
      <c r="E1063" s="1">
        <v>45300</v>
      </c>
      <c r="G1063" t="s">
        <v>29</v>
      </c>
      <c r="H1063" t="s">
        <v>61</v>
      </c>
      <c r="I1063" t="s">
        <v>31</v>
      </c>
      <c r="J1063" t="s">
        <v>1531</v>
      </c>
      <c r="K1063" t="s">
        <v>48</v>
      </c>
      <c r="M1063" t="s">
        <v>78</v>
      </c>
      <c r="N1063">
        <v>14</v>
      </c>
    </row>
    <row r="1064" spans="1:15" x14ac:dyDescent="0.2">
      <c r="A1064" t="s">
        <v>1532</v>
      </c>
      <c r="B1064" t="s">
        <v>105</v>
      </c>
      <c r="C1064" t="s">
        <v>65</v>
      </c>
      <c r="D1064" s="1">
        <v>28496</v>
      </c>
      <c r="E1064" s="1">
        <v>45470</v>
      </c>
      <c r="F1064" s="1">
        <v>45481</v>
      </c>
      <c r="G1064" t="s">
        <v>18</v>
      </c>
      <c r="H1064" t="s">
        <v>61</v>
      </c>
      <c r="I1064" t="s">
        <v>76</v>
      </c>
      <c r="J1064" t="s">
        <v>1533</v>
      </c>
      <c r="K1064" t="s">
        <v>71</v>
      </c>
      <c r="M1064" t="s">
        <v>35</v>
      </c>
      <c r="N1064">
        <v>5</v>
      </c>
      <c r="O1064" t="s">
        <v>36</v>
      </c>
    </row>
    <row r="1065" spans="1:15" x14ac:dyDescent="0.2">
      <c r="A1065" t="s">
        <v>1534</v>
      </c>
      <c r="B1065" t="s">
        <v>82</v>
      </c>
      <c r="C1065" t="s">
        <v>39</v>
      </c>
      <c r="D1065" s="1">
        <v>21150</v>
      </c>
      <c r="E1065" s="1">
        <v>45413</v>
      </c>
      <c r="F1065" s="1">
        <v>45426</v>
      </c>
      <c r="G1065" t="s">
        <v>50</v>
      </c>
      <c r="I1065" t="s">
        <v>53</v>
      </c>
      <c r="J1065" t="s">
        <v>1535</v>
      </c>
      <c r="K1065" t="s">
        <v>33</v>
      </c>
      <c r="M1065" t="s">
        <v>35</v>
      </c>
    </row>
    <row r="1066" spans="1:15" x14ac:dyDescent="0.2">
      <c r="A1066" t="s">
        <v>1536</v>
      </c>
      <c r="B1066" t="s">
        <v>85</v>
      </c>
      <c r="C1066" t="s">
        <v>28</v>
      </c>
      <c r="D1066" s="1">
        <v>25531</v>
      </c>
      <c r="E1066" s="1">
        <v>45309</v>
      </c>
      <c r="F1066" s="1">
        <v>45313</v>
      </c>
      <c r="G1066" t="s">
        <v>100</v>
      </c>
      <c r="H1066" t="s">
        <v>30</v>
      </c>
      <c r="I1066" t="s">
        <v>57</v>
      </c>
      <c r="J1066" t="s">
        <v>1537</v>
      </c>
      <c r="K1066" t="s">
        <v>22</v>
      </c>
      <c r="M1066" t="s">
        <v>24</v>
      </c>
      <c r="O1066" t="s">
        <v>36</v>
      </c>
    </row>
    <row r="1067" spans="1:15" x14ac:dyDescent="0.2">
      <c r="A1067" t="s">
        <v>1538</v>
      </c>
      <c r="B1067" t="s">
        <v>82</v>
      </c>
      <c r="C1067" t="s">
        <v>17</v>
      </c>
      <c r="D1067" s="1">
        <v>32330</v>
      </c>
      <c r="E1067" s="1">
        <v>45341</v>
      </c>
      <c r="F1067" s="1">
        <v>45346</v>
      </c>
      <c r="G1067" t="s">
        <v>40</v>
      </c>
      <c r="H1067" t="s">
        <v>61</v>
      </c>
      <c r="I1067" t="s">
        <v>67</v>
      </c>
      <c r="J1067" t="s">
        <v>965</v>
      </c>
      <c r="K1067" t="s">
        <v>22</v>
      </c>
      <c r="M1067" t="s">
        <v>35</v>
      </c>
      <c r="N1067">
        <v>13</v>
      </c>
    </row>
    <row r="1068" spans="1:15" x14ac:dyDescent="0.2">
      <c r="A1068">
        <v>1066</v>
      </c>
      <c r="B1068" t="s">
        <v>118</v>
      </c>
      <c r="C1068" t="s">
        <v>97</v>
      </c>
      <c r="D1068" s="1">
        <v>35965</v>
      </c>
      <c r="E1068" s="1">
        <v>45376</v>
      </c>
      <c r="G1068" t="s">
        <v>100</v>
      </c>
      <c r="H1068" t="s">
        <v>30</v>
      </c>
      <c r="I1068" t="s">
        <v>53</v>
      </c>
      <c r="J1068">
        <v>202</v>
      </c>
      <c r="K1068" t="s">
        <v>33</v>
      </c>
      <c r="M1068" t="s">
        <v>24</v>
      </c>
      <c r="N1068">
        <v>2</v>
      </c>
      <c r="O1068" t="s">
        <v>36</v>
      </c>
    </row>
    <row r="1069" spans="1:15" x14ac:dyDescent="0.2">
      <c r="A1069">
        <v>1067</v>
      </c>
      <c r="B1069" t="s">
        <v>140</v>
      </c>
      <c r="C1069" t="s">
        <v>97</v>
      </c>
      <c r="D1069" s="1">
        <v>36763</v>
      </c>
      <c r="E1069" s="1">
        <v>45294</v>
      </c>
      <c r="F1069" s="1">
        <v>45300</v>
      </c>
      <c r="G1069" t="s">
        <v>74</v>
      </c>
      <c r="H1069" t="s">
        <v>66</v>
      </c>
      <c r="I1069" t="s">
        <v>76</v>
      </c>
      <c r="J1069" t="s">
        <v>1401</v>
      </c>
      <c r="K1069" t="s">
        <v>48</v>
      </c>
      <c r="L1069" t="s">
        <v>34</v>
      </c>
      <c r="M1069" t="s">
        <v>35</v>
      </c>
      <c r="O1069" t="s">
        <v>25</v>
      </c>
    </row>
    <row r="1070" spans="1:15" x14ac:dyDescent="0.2">
      <c r="A1070" t="s">
        <v>1539</v>
      </c>
      <c r="B1070" t="s">
        <v>114</v>
      </c>
      <c r="C1070" t="s">
        <v>39</v>
      </c>
      <c r="D1070" s="1">
        <v>34894</v>
      </c>
      <c r="E1070" s="1">
        <v>45316</v>
      </c>
      <c r="G1070" t="s">
        <v>60</v>
      </c>
      <c r="H1070" t="s">
        <v>75</v>
      </c>
      <c r="I1070" t="s">
        <v>76</v>
      </c>
      <c r="J1070">
        <v>1496</v>
      </c>
      <c r="K1070" t="s">
        <v>48</v>
      </c>
      <c r="L1070" t="s">
        <v>23</v>
      </c>
      <c r="M1070" t="s">
        <v>35</v>
      </c>
      <c r="N1070">
        <v>7</v>
      </c>
    </row>
    <row r="1071" spans="1:15" x14ac:dyDescent="0.2">
      <c r="A1071" t="s">
        <v>1540</v>
      </c>
      <c r="B1071" t="s">
        <v>102</v>
      </c>
      <c r="C1071" t="s">
        <v>97</v>
      </c>
      <c r="D1071" s="1">
        <v>28590</v>
      </c>
      <c r="E1071" s="1">
        <v>45470</v>
      </c>
      <c r="F1071" s="1">
        <v>45471</v>
      </c>
      <c r="G1071" t="s">
        <v>72</v>
      </c>
      <c r="H1071" t="s">
        <v>52</v>
      </c>
      <c r="I1071" t="s">
        <v>67</v>
      </c>
      <c r="J1071" t="s">
        <v>1541</v>
      </c>
      <c r="K1071" t="s">
        <v>43</v>
      </c>
      <c r="M1071" t="s">
        <v>35</v>
      </c>
      <c r="O1071" t="s">
        <v>36</v>
      </c>
    </row>
    <row r="1072" spans="1:15" x14ac:dyDescent="0.2">
      <c r="A1072" t="s">
        <v>1542</v>
      </c>
      <c r="B1072" t="s">
        <v>80</v>
      </c>
      <c r="C1072" t="s">
        <v>17</v>
      </c>
      <c r="D1072" s="1">
        <v>28733</v>
      </c>
      <c r="E1072" s="1">
        <v>45378</v>
      </c>
      <c r="F1072" s="1">
        <v>45393</v>
      </c>
      <c r="G1072" t="s">
        <v>83</v>
      </c>
      <c r="I1072" t="s">
        <v>53</v>
      </c>
      <c r="J1072" t="s">
        <v>1543</v>
      </c>
      <c r="K1072" t="s">
        <v>71</v>
      </c>
      <c r="M1072" t="s">
        <v>35</v>
      </c>
      <c r="N1072">
        <v>1</v>
      </c>
      <c r="O1072" t="s">
        <v>36</v>
      </c>
    </row>
    <row r="1073" spans="1:15" x14ac:dyDescent="0.2">
      <c r="A1073" t="s">
        <v>1544</v>
      </c>
      <c r="B1073" t="s">
        <v>114</v>
      </c>
      <c r="C1073" t="s">
        <v>49</v>
      </c>
      <c r="D1073" s="1">
        <v>24531</v>
      </c>
      <c r="E1073" s="1">
        <v>45410</v>
      </c>
      <c r="F1073" s="1">
        <v>45422</v>
      </c>
      <c r="G1073" t="s">
        <v>72</v>
      </c>
      <c r="H1073" t="s">
        <v>66</v>
      </c>
      <c r="I1073" t="s">
        <v>67</v>
      </c>
      <c r="J1073" t="s">
        <v>1545</v>
      </c>
      <c r="K1073" t="s">
        <v>48</v>
      </c>
      <c r="L1073" t="s">
        <v>34</v>
      </c>
      <c r="M1073" t="s">
        <v>78</v>
      </c>
    </row>
    <row r="1074" spans="1:15" x14ac:dyDescent="0.2">
      <c r="A1074" t="s">
        <v>1546</v>
      </c>
      <c r="B1074" t="s">
        <v>51</v>
      </c>
      <c r="C1074" t="s">
        <v>92</v>
      </c>
      <c r="D1074" s="1">
        <v>18663</v>
      </c>
      <c r="E1074" s="1">
        <v>45468</v>
      </c>
      <c r="G1074" t="s">
        <v>83</v>
      </c>
      <c r="H1074" t="s">
        <v>52</v>
      </c>
      <c r="I1074" t="s">
        <v>20</v>
      </c>
      <c r="J1074">
        <v>539</v>
      </c>
      <c r="K1074" t="s">
        <v>48</v>
      </c>
      <c r="M1074" t="s">
        <v>35</v>
      </c>
      <c r="O1074" t="s">
        <v>36</v>
      </c>
    </row>
    <row r="1075" spans="1:15" x14ac:dyDescent="0.2">
      <c r="A1075" t="s">
        <v>1547</v>
      </c>
      <c r="B1075" t="s">
        <v>85</v>
      </c>
      <c r="C1075" t="s">
        <v>17</v>
      </c>
      <c r="D1075" s="1">
        <v>25518</v>
      </c>
      <c r="E1075" s="1">
        <v>45449</v>
      </c>
      <c r="F1075" s="1">
        <v>45455</v>
      </c>
      <c r="G1075" t="s">
        <v>50</v>
      </c>
      <c r="H1075" t="s">
        <v>30</v>
      </c>
      <c r="I1075" t="s">
        <v>53</v>
      </c>
      <c r="J1075" t="s">
        <v>1548</v>
      </c>
      <c r="K1075" t="s">
        <v>22</v>
      </c>
      <c r="L1075" t="s">
        <v>34</v>
      </c>
      <c r="M1075" t="s">
        <v>78</v>
      </c>
      <c r="N1075">
        <v>1</v>
      </c>
      <c r="O1075" t="s">
        <v>25</v>
      </c>
    </row>
    <row r="1076" spans="1:15" x14ac:dyDescent="0.2">
      <c r="A1076">
        <v>1074</v>
      </c>
      <c r="B1076" t="s">
        <v>56</v>
      </c>
      <c r="C1076" t="s">
        <v>65</v>
      </c>
      <c r="D1076" s="1">
        <v>37191</v>
      </c>
      <c r="E1076" s="1">
        <v>45456</v>
      </c>
      <c r="F1076" s="1">
        <v>45463</v>
      </c>
      <c r="G1076" t="s">
        <v>74</v>
      </c>
      <c r="H1076" t="s">
        <v>61</v>
      </c>
      <c r="I1076" t="s">
        <v>76</v>
      </c>
      <c r="J1076">
        <v>999</v>
      </c>
      <c r="K1076" t="s">
        <v>33</v>
      </c>
      <c r="L1076" t="s">
        <v>34</v>
      </c>
      <c r="M1076" t="s">
        <v>24</v>
      </c>
      <c r="N1076">
        <v>8</v>
      </c>
    </row>
    <row r="1077" spans="1:15" x14ac:dyDescent="0.2">
      <c r="A1077">
        <v>1075</v>
      </c>
      <c r="B1077" t="s">
        <v>87</v>
      </c>
      <c r="C1077" t="s">
        <v>49</v>
      </c>
      <c r="D1077" s="1">
        <v>25401</v>
      </c>
      <c r="E1077" s="1">
        <v>45437</v>
      </c>
      <c r="F1077" s="1">
        <v>45449</v>
      </c>
      <c r="G1077" t="s">
        <v>50</v>
      </c>
      <c r="H1077" t="s">
        <v>66</v>
      </c>
      <c r="I1077" t="s">
        <v>20</v>
      </c>
      <c r="J1077">
        <v>904</v>
      </c>
      <c r="K1077" t="s">
        <v>71</v>
      </c>
      <c r="M1077" t="s">
        <v>35</v>
      </c>
      <c r="N1077">
        <v>1</v>
      </c>
      <c r="O1077" t="s">
        <v>25</v>
      </c>
    </row>
    <row r="1078" spans="1:15" x14ac:dyDescent="0.2">
      <c r="A1078" t="s">
        <v>1549</v>
      </c>
      <c r="B1078" t="s">
        <v>102</v>
      </c>
      <c r="C1078" t="s">
        <v>39</v>
      </c>
      <c r="D1078" s="1">
        <v>18626</v>
      </c>
      <c r="E1078" s="1">
        <v>45418</v>
      </c>
      <c r="F1078" s="1">
        <v>45424</v>
      </c>
      <c r="G1078" t="s">
        <v>46</v>
      </c>
      <c r="H1078" t="s">
        <v>19</v>
      </c>
      <c r="I1078" t="s">
        <v>67</v>
      </c>
      <c r="J1078" t="s">
        <v>1550</v>
      </c>
      <c r="K1078" t="s">
        <v>71</v>
      </c>
      <c r="M1078" t="s">
        <v>35</v>
      </c>
      <c r="N1078">
        <v>11</v>
      </c>
      <c r="O1078" t="s">
        <v>25</v>
      </c>
    </row>
    <row r="1079" spans="1:15" x14ac:dyDescent="0.2">
      <c r="A1079" t="s">
        <v>1551</v>
      </c>
      <c r="B1079" t="s">
        <v>119</v>
      </c>
      <c r="C1079" t="s">
        <v>49</v>
      </c>
      <c r="D1079" s="1">
        <v>23161</v>
      </c>
      <c r="E1079" s="1">
        <v>45348</v>
      </c>
      <c r="F1079" s="1">
        <v>45350</v>
      </c>
      <c r="G1079" t="s">
        <v>88</v>
      </c>
      <c r="H1079" t="s">
        <v>75</v>
      </c>
      <c r="I1079" t="s">
        <v>41</v>
      </c>
      <c r="J1079" t="s">
        <v>1552</v>
      </c>
      <c r="K1079" t="s">
        <v>71</v>
      </c>
      <c r="L1079" t="s">
        <v>34</v>
      </c>
      <c r="M1079" t="s">
        <v>78</v>
      </c>
    </row>
    <row r="1080" spans="1:15" x14ac:dyDescent="0.2">
      <c r="A1080" t="s">
        <v>1553</v>
      </c>
      <c r="B1080" t="s">
        <v>27</v>
      </c>
      <c r="C1080" t="s">
        <v>28</v>
      </c>
      <c r="D1080" s="1">
        <v>34989</v>
      </c>
      <c r="E1080" s="1">
        <v>45354</v>
      </c>
      <c r="F1080" s="1">
        <v>45369</v>
      </c>
      <c r="G1080" t="s">
        <v>74</v>
      </c>
      <c r="H1080" t="s">
        <v>19</v>
      </c>
      <c r="I1080" t="s">
        <v>76</v>
      </c>
      <c r="J1080" t="s">
        <v>1554</v>
      </c>
      <c r="K1080" t="s">
        <v>22</v>
      </c>
      <c r="L1080" t="s">
        <v>34</v>
      </c>
      <c r="M1080" t="s">
        <v>78</v>
      </c>
      <c r="N1080">
        <v>6</v>
      </c>
      <c r="O1080" t="s">
        <v>36</v>
      </c>
    </row>
    <row r="1081" spans="1:15" x14ac:dyDescent="0.2">
      <c r="A1081">
        <v>1079</v>
      </c>
      <c r="B1081" t="s">
        <v>119</v>
      </c>
      <c r="C1081" t="s">
        <v>65</v>
      </c>
      <c r="D1081" s="1">
        <v>36058</v>
      </c>
      <c r="E1081" s="1">
        <v>45374</v>
      </c>
      <c r="G1081" t="s">
        <v>18</v>
      </c>
      <c r="H1081" t="s">
        <v>75</v>
      </c>
      <c r="I1081" t="s">
        <v>57</v>
      </c>
      <c r="J1081" t="s">
        <v>1555</v>
      </c>
      <c r="K1081" t="s">
        <v>22</v>
      </c>
      <c r="M1081" t="s">
        <v>35</v>
      </c>
      <c r="O1081" t="s">
        <v>25</v>
      </c>
    </row>
    <row r="1082" spans="1:15" x14ac:dyDescent="0.2">
      <c r="A1082">
        <v>1080</v>
      </c>
      <c r="B1082" t="s">
        <v>140</v>
      </c>
      <c r="C1082" t="s">
        <v>39</v>
      </c>
      <c r="D1082" s="1">
        <v>18541</v>
      </c>
      <c r="E1082" s="1">
        <v>45409</v>
      </c>
      <c r="F1082" s="1">
        <v>45412</v>
      </c>
      <c r="G1082" t="s">
        <v>60</v>
      </c>
      <c r="H1082" t="s">
        <v>19</v>
      </c>
      <c r="I1082" t="s">
        <v>76</v>
      </c>
      <c r="J1082" t="s">
        <v>1556</v>
      </c>
      <c r="K1082" t="s">
        <v>48</v>
      </c>
      <c r="M1082" t="s">
        <v>35</v>
      </c>
      <c r="O1082" t="s">
        <v>36</v>
      </c>
    </row>
    <row r="1083" spans="1:15" x14ac:dyDescent="0.2">
      <c r="A1083" t="s">
        <v>1557</v>
      </c>
      <c r="B1083" t="s">
        <v>91</v>
      </c>
      <c r="C1083" t="s">
        <v>49</v>
      </c>
      <c r="D1083" s="1">
        <v>36310</v>
      </c>
      <c r="E1083" s="1">
        <v>45338</v>
      </c>
      <c r="F1083" s="1">
        <v>45341</v>
      </c>
      <c r="G1083" t="s">
        <v>72</v>
      </c>
      <c r="I1083" t="s">
        <v>57</v>
      </c>
      <c r="J1083" t="s">
        <v>1471</v>
      </c>
      <c r="K1083" t="s">
        <v>48</v>
      </c>
      <c r="M1083" t="s">
        <v>24</v>
      </c>
      <c r="N1083">
        <v>9</v>
      </c>
    </row>
    <row r="1084" spans="1:15" x14ac:dyDescent="0.2">
      <c r="A1084">
        <v>1082</v>
      </c>
      <c r="B1084" t="s">
        <v>64</v>
      </c>
      <c r="C1084" t="s">
        <v>49</v>
      </c>
      <c r="D1084" s="1">
        <v>30258</v>
      </c>
      <c r="E1084" s="1">
        <v>45403</v>
      </c>
      <c r="F1084" s="1">
        <v>45412</v>
      </c>
      <c r="G1084" t="s">
        <v>50</v>
      </c>
      <c r="H1084" t="s">
        <v>61</v>
      </c>
      <c r="I1084" t="s">
        <v>31</v>
      </c>
      <c r="J1084" t="s">
        <v>1558</v>
      </c>
      <c r="K1084" t="s">
        <v>43</v>
      </c>
      <c r="M1084" t="s">
        <v>24</v>
      </c>
      <c r="N1084">
        <v>12</v>
      </c>
      <c r="O1084" t="s">
        <v>36</v>
      </c>
    </row>
    <row r="1085" spans="1:15" x14ac:dyDescent="0.2">
      <c r="A1085" t="s">
        <v>1559</v>
      </c>
      <c r="B1085" t="s">
        <v>16</v>
      </c>
      <c r="C1085" t="s">
        <v>28</v>
      </c>
      <c r="D1085" s="1">
        <v>36483</v>
      </c>
      <c r="E1085" s="1">
        <v>45473</v>
      </c>
      <c r="F1085" s="1">
        <v>45486</v>
      </c>
      <c r="G1085" t="s">
        <v>50</v>
      </c>
      <c r="H1085" t="s">
        <v>19</v>
      </c>
      <c r="I1085" t="s">
        <v>57</v>
      </c>
      <c r="J1085" t="s">
        <v>1560</v>
      </c>
      <c r="K1085" t="s">
        <v>48</v>
      </c>
      <c r="M1085" t="s">
        <v>24</v>
      </c>
      <c r="N1085">
        <v>9</v>
      </c>
    </row>
    <row r="1086" spans="1:15" x14ac:dyDescent="0.2">
      <c r="A1086">
        <v>1084</v>
      </c>
      <c r="B1086" t="s">
        <v>140</v>
      </c>
      <c r="C1086" t="s">
        <v>39</v>
      </c>
      <c r="D1086" s="1">
        <v>34945</v>
      </c>
      <c r="E1086" s="1">
        <v>45376</v>
      </c>
      <c r="F1086" s="1">
        <v>45387</v>
      </c>
      <c r="G1086" t="s">
        <v>40</v>
      </c>
      <c r="H1086" t="s">
        <v>52</v>
      </c>
      <c r="I1086" t="s">
        <v>67</v>
      </c>
      <c r="J1086" t="s">
        <v>1561</v>
      </c>
      <c r="K1086" t="s">
        <v>48</v>
      </c>
      <c r="L1086" t="s">
        <v>34</v>
      </c>
      <c r="M1086" t="s">
        <v>35</v>
      </c>
      <c r="N1086">
        <v>10</v>
      </c>
      <c r="O1086" t="s">
        <v>36</v>
      </c>
    </row>
    <row r="1087" spans="1:15" x14ac:dyDescent="0.2">
      <c r="A1087" t="s">
        <v>1562</v>
      </c>
      <c r="B1087" t="s">
        <v>87</v>
      </c>
      <c r="C1087" t="s">
        <v>49</v>
      </c>
      <c r="D1087" s="1">
        <v>25756</v>
      </c>
      <c r="E1087" s="1">
        <v>45461</v>
      </c>
      <c r="G1087" t="s">
        <v>74</v>
      </c>
      <c r="H1087" t="s">
        <v>30</v>
      </c>
      <c r="I1087" t="s">
        <v>31</v>
      </c>
      <c r="J1087" t="s">
        <v>1563</v>
      </c>
      <c r="K1087" t="s">
        <v>22</v>
      </c>
      <c r="L1087" t="s">
        <v>23</v>
      </c>
      <c r="M1087" t="s">
        <v>24</v>
      </c>
      <c r="N1087">
        <v>12</v>
      </c>
      <c r="O1087" t="s">
        <v>25</v>
      </c>
    </row>
    <row r="1088" spans="1:15" x14ac:dyDescent="0.2">
      <c r="A1088" t="s">
        <v>1564</v>
      </c>
      <c r="B1088" t="s">
        <v>82</v>
      </c>
      <c r="C1088" t="s">
        <v>92</v>
      </c>
      <c r="D1088" s="1">
        <v>37180</v>
      </c>
      <c r="E1088" s="1">
        <v>45471</v>
      </c>
      <c r="F1088" s="1">
        <v>45483</v>
      </c>
      <c r="G1088" t="s">
        <v>46</v>
      </c>
      <c r="H1088" t="s">
        <v>66</v>
      </c>
      <c r="I1088" t="s">
        <v>53</v>
      </c>
      <c r="J1088" t="s">
        <v>1565</v>
      </c>
      <c r="K1088" t="s">
        <v>33</v>
      </c>
      <c r="L1088" t="s">
        <v>23</v>
      </c>
      <c r="M1088" t="s">
        <v>35</v>
      </c>
      <c r="N1088">
        <v>3</v>
      </c>
    </row>
    <row r="1089" spans="1:15" x14ac:dyDescent="0.2">
      <c r="A1089">
        <v>1087</v>
      </c>
      <c r="B1089" t="s">
        <v>56</v>
      </c>
      <c r="C1089" t="s">
        <v>92</v>
      </c>
      <c r="D1089" s="1">
        <v>22431</v>
      </c>
      <c r="E1089" s="1">
        <v>45354</v>
      </c>
      <c r="F1089" s="1">
        <v>45355</v>
      </c>
      <c r="G1089" t="s">
        <v>40</v>
      </c>
      <c r="H1089" t="s">
        <v>66</v>
      </c>
      <c r="I1089" t="s">
        <v>76</v>
      </c>
      <c r="J1089" t="s">
        <v>1566</v>
      </c>
      <c r="K1089" t="s">
        <v>71</v>
      </c>
      <c r="M1089" t="s">
        <v>78</v>
      </c>
    </row>
    <row r="1090" spans="1:15" x14ac:dyDescent="0.2">
      <c r="A1090" t="s">
        <v>1567</v>
      </c>
      <c r="B1090" t="s">
        <v>102</v>
      </c>
      <c r="C1090" t="s">
        <v>49</v>
      </c>
      <c r="D1090" s="1">
        <v>37756</v>
      </c>
      <c r="E1090" s="1">
        <v>45404</v>
      </c>
      <c r="F1090" s="1">
        <v>45411</v>
      </c>
      <c r="G1090" t="s">
        <v>18</v>
      </c>
      <c r="H1090" t="s">
        <v>61</v>
      </c>
      <c r="I1090" t="s">
        <v>67</v>
      </c>
      <c r="J1090" t="s">
        <v>437</v>
      </c>
      <c r="K1090" t="s">
        <v>48</v>
      </c>
      <c r="L1090" t="s">
        <v>23</v>
      </c>
      <c r="M1090" t="s">
        <v>24</v>
      </c>
    </row>
    <row r="1091" spans="1:15" x14ac:dyDescent="0.2">
      <c r="A1091" t="s">
        <v>1568</v>
      </c>
      <c r="B1091" t="s">
        <v>150</v>
      </c>
      <c r="C1091" t="s">
        <v>28</v>
      </c>
      <c r="D1091" s="1">
        <v>28046</v>
      </c>
      <c r="E1091" s="1">
        <v>45447</v>
      </c>
      <c r="F1091" s="1">
        <v>45450</v>
      </c>
      <c r="G1091" t="s">
        <v>74</v>
      </c>
      <c r="I1091" t="s">
        <v>20</v>
      </c>
      <c r="J1091" t="s">
        <v>1569</v>
      </c>
      <c r="K1091" t="s">
        <v>43</v>
      </c>
      <c r="M1091" t="s">
        <v>35</v>
      </c>
      <c r="N1091">
        <v>7</v>
      </c>
      <c r="O1091" t="s">
        <v>25</v>
      </c>
    </row>
    <row r="1092" spans="1:15" x14ac:dyDescent="0.2">
      <c r="A1092" t="s">
        <v>1570</v>
      </c>
      <c r="B1092" t="s">
        <v>119</v>
      </c>
      <c r="C1092" t="s">
        <v>17</v>
      </c>
      <c r="D1092" s="1">
        <v>24916</v>
      </c>
      <c r="E1092" s="1">
        <v>45399</v>
      </c>
      <c r="G1092" t="s">
        <v>88</v>
      </c>
      <c r="H1092" t="s">
        <v>30</v>
      </c>
      <c r="I1092" t="s">
        <v>76</v>
      </c>
      <c r="J1092" t="s">
        <v>1571</v>
      </c>
      <c r="K1092" t="s">
        <v>71</v>
      </c>
      <c r="M1092" t="s">
        <v>78</v>
      </c>
      <c r="N1092">
        <v>15</v>
      </c>
      <c r="O1092" t="s">
        <v>25</v>
      </c>
    </row>
    <row r="1093" spans="1:15" x14ac:dyDescent="0.2">
      <c r="A1093">
        <v>1091</v>
      </c>
      <c r="B1093" t="s">
        <v>91</v>
      </c>
      <c r="C1093" t="s">
        <v>49</v>
      </c>
      <c r="D1093" s="1">
        <v>31174</v>
      </c>
      <c r="E1093" s="1">
        <v>45313</v>
      </c>
      <c r="F1093" s="1">
        <v>45314</v>
      </c>
      <c r="G1093" t="s">
        <v>18</v>
      </c>
      <c r="H1093" t="s">
        <v>30</v>
      </c>
      <c r="I1093" t="s">
        <v>41</v>
      </c>
      <c r="J1093" t="s">
        <v>1572</v>
      </c>
      <c r="K1093" t="s">
        <v>48</v>
      </c>
      <c r="M1093" t="s">
        <v>78</v>
      </c>
      <c r="N1093">
        <v>4</v>
      </c>
    </row>
    <row r="1094" spans="1:15" x14ac:dyDescent="0.2">
      <c r="A1094">
        <v>1092</v>
      </c>
      <c r="B1094" t="s">
        <v>85</v>
      </c>
      <c r="C1094" t="s">
        <v>39</v>
      </c>
      <c r="D1094" s="1">
        <v>24442</v>
      </c>
      <c r="E1094" s="1">
        <v>45437</v>
      </c>
      <c r="F1094" s="1">
        <v>45442</v>
      </c>
      <c r="G1094" t="s">
        <v>46</v>
      </c>
      <c r="H1094" t="s">
        <v>19</v>
      </c>
      <c r="I1094" t="s">
        <v>67</v>
      </c>
      <c r="J1094" t="s">
        <v>1573</v>
      </c>
      <c r="K1094" t="s">
        <v>71</v>
      </c>
      <c r="L1094" t="s">
        <v>23</v>
      </c>
      <c r="M1094" t="s">
        <v>78</v>
      </c>
      <c r="N1094">
        <v>2</v>
      </c>
      <c r="O1094" t="s">
        <v>25</v>
      </c>
    </row>
    <row r="1095" spans="1:15" x14ac:dyDescent="0.2">
      <c r="A1095">
        <v>1093</v>
      </c>
      <c r="B1095" t="s">
        <v>87</v>
      </c>
      <c r="C1095" t="s">
        <v>92</v>
      </c>
      <c r="D1095" s="1">
        <v>25356</v>
      </c>
      <c r="E1095" s="1">
        <v>45462</v>
      </c>
      <c r="F1095" s="1">
        <v>45474</v>
      </c>
      <c r="G1095" t="s">
        <v>72</v>
      </c>
      <c r="H1095" t="s">
        <v>61</v>
      </c>
      <c r="I1095" t="s">
        <v>53</v>
      </c>
      <c r="J1095" t="s">
        <v>1574</v>
      </c>
      <c r="K1095" t="s">
        <v>22</v>
      </c>
      <c r="L1095" t="s">
        <v>34</v>
      </c>
      <c r="M1095" t="s">
        <v>24</v>
      </c>
      <c r="N1095">
        <v>9</v>
      </c>
    </row>
    <row r="1096" spans="1:15" x14ac:dyDescent="0.2">
      <c r="A1096" t="s">
        <v>1575</v>
      </c>
      <c r="B1096" t="s">
        <v>27</v>
      </c>
      <c r="C1096" t="s">
        <v>49</v>
      </c>
      <c r="D1096" s="1">
        <v>34418</v>
      </c>
      <c r="E1096" s="1">
        <v>45451</v>
      </c>
      <c r="G1096" t="s">
        <v>50</v>
      </c>
      <c r="H1096" t="s">
        <v>75</v>
      </c>
      <c r="I1096" t="s">
        <v>31</v>
      </c>
      <c r="J1096">
        <v>273</v>
      </c>
      <c r="K1096" t="s">
        <v>33</v>
      </c>
      <c r="L1096" t="s">
        <v>23</v>
      </c>
      <c r="M1096" t="s">
        <v>35</v>
      </c>
      <c r="N1096">
        <v>13</v>
      </c>
      <c r="O1096" t="s">
        <v>25</v>
      </c>
    </row>
    <row r="1097" spans="1:15" x14ac:dyDescent="0.2">
      <c r="A1097" t="s">
        <v>1576</v>
      </c>
      <c r="B1097" t="s">
        <v>45</v>
      </c>
      <c r="C1097" t="s">
        <v>28</v>
      </c>
      <c r="D1097" s="1">
        <v>24380</v>
      </c>
      <c r="E1097" s="1">
        <v>45462</v>
      </c>
      <c r="F1097" s="1">
        <v>45466</v>
      </c>
      <c r="G1097" t="s">
        <v>50</v>
      </c>
      <c r="H1097" t="s">
        <v>30</v>
      </c>
      <c r="I1097" t="s">
        <v>67</v>
      </c>
      <c r="J1097" t="s">
        <v>1577</v>
      </c>
      <c r="K1097" t="s">
        <v>48</v>
      </c>
      <c r="L1097" t="s">
        <v>34</v>
      </c>
      <c r="M1097" t="s">
        <v>24</v>
      </c>
      <c r="N1097">
        <v>14</v>
      </c>
    </row>
    <row r="1098" spans="1:15" x14ac:dyDescent="0.2">
      <c r="A1098" t="s">
        <v>1578</v>
      </c>
      <c r="B1098" t="s">
        <v>56</v>
      </c>
      <c r="C1098" t="s">
        <v>28</v>
      </c>
      <c r="D1098" s="1">
        <v>19181</v>
      </c>
      <c r="E1098" s="1">
        <v>45360</v>
      </c>
      <c r="F1098" s="1">
        <v>45373</v>
      </c>
      <c r="G1098" t="s">
        <v>18</v>
      </c>
      <c r="H1098" t="s">
        <v>75</v>
      </c>
      <c r="I1098" t="s">
        <v>31</v>
      </c>
      <c r="J1098" t="s">
        <v>259</v>
      </c>
      <c r="K1098" t="s">
        <v>71</v>
      </c>
      <c r="M1098" t="s">
        <v>24</v>
      </c>
      <c r="N1098">
        <v>12</v>
      </c>
      <c r="O1098" t="s">
        <v>36</v>
      </c>
    </row>
    <row r="1099" spans="1:15" x14ac:dyDescent="0.2">
      <c r="A1099" t="s">
        <v>1579</v>
      </c>
      <c r="B1099" t="s">
        <v>59</v>
      </c>
      <c r="C1099" t="s">
        <v>97</v>
      </c>
      <c r="D1099" s="1">
        <v>30076</v>
      </c>
      <c r="E1099" s="1">
        <v>45403</v>
      </c>
      <c r="F1099" s="1">
        <v>45417</v>
      </c>
      <c r="G1099" t="s">
        <v>29</v>
      </c>
      <c r="H1099" t="s">
        <v>19</v>
      </c>
      <c r="I1099" t="s">
        <v>53</v>
      </c>
      <c r="J1099">
        <v>1317</v>
      </c>
      <c r="K1099" t="s">
        <v>48</v>
      </c>
      <c r="M1099" t="s">
        <v>35</v>
      </c>
      <c r="N1099">
        <v>3</v>
      </c>
      <c r="O1099" t="s">
        <v>25</v>
      </c>
    </row>
    <row r="1100" spans="1:15" x14ac:dyDescent="0.2">
      <c r="A1100" t="s">
        <v>1580</v>
      </c>
      <c r="B1100" t="s">
        <v>59</v>
      </c>
      <c r="C1100" t="s">
        <v>92</v>
      </c>
      <c r="D1100" s="1">
        <v>30386</v>
      </c>
      <c r="E1100" s="1">
        <v>45429</v>
      </c>
      <c r="F1100" s="1">
        <v>45444</v>
      </c>
      <c r="G1100" t="s">
        <v>40</v>
      </c>
      <c r="H1100" t="s">
        <v>66</v>
      </c>
      <c r="I1100" t="s">
        <v>41</v>
      </c>
      <c r="J1100" t="s">
        <v>1250</v>
      </c>
      <c r="K1100" t="s">
        <v>71</v>
      </c>
      <c r="L1100" t="s">
        <v>23</v>
      </c>
      <c r="M1100" t="s">
        <v>78</v>
      </c>
      <c r="N1100">
        <v>6</v>
      </c>
    </row>
    <row r="1101" spans="1:15" x14ac:dyDescent="0.2">
      <c r="A1101">
        <v>1099</v>
      </c>
      <c r="B1101" t="s">
        <v>118</v>
      </c>
      <c r="C1101" t="s">
        <v>92</v>
      </c>
      <c r="D1101" s="1">
        <v>32900</v>
      </c>
      <c r="E1101" s="1">
        <v>45320</v>
      </c>
      <c r="G1101" t="s">
        <v>60</v>
      </c>
      <c r="H1101" t="s">
        <v>52</v>
      </c>
      <c r="I1101" t="s">
        <v>67</v>
      </c>
      <c r="J1101" t="s">
        <v>1581</v>
      </c>
      <c r="K1101" t="s">
        <v>33</v>
      </c>
      <c r="L1101" t="s">
        <v>23</v>
      </c>
      <c r="M1101" t="s">
        <v>78</v>
      </c>
      <c r="O1101" t="s">
        <v>36</v>
      </c>
    </row>
    <row r="1102" spans="1:15" x14ac:dyDescent="0.2">
      <c r="A1102" t="s">
        <v>1582</v>
      </c>
      <c r="B1102" t="s">
        <v>38</v>
      </c>
      <c r="C1102" t="s">
        <v>49</v>
      </c>
      <c r="D1102" s="1">
        <v>36104</v>
      </c>
      <c r="E1102" s="1">
        <v>45355</v>
      </c>
      <c r="F1102" s="1">
        <v>45369</v>
      </c>
      <c r="G1102" t="s">
        <v>60</v>
      </c>
      <c r="I1102" t="s">
        <v>31</v>
      </c>
      <c r="J1102" t="s">
        <v>1583</v>
      </c>
      <c r="K1102" t="s">
        <v>48</v>
      </c>
      <c r="M1102" t="s">
        <v>24</v>
      </c>
      <c r="N1102">
        <v>11</v>
      </c>
      <c r="O1102" t="s">
        <v>36</v>
      </c>
    </row>
    <row r="1103" spans="1:15" x14ac:dyDescent="0.2">
      <c r="A1103" t="s">
        <v>1584</v>
      </c>
      <c r="B1103" t="s">
        <v>16</v>
      </c>
      <c r="C1103" t="s">
        <v>49</v>
      </c>
      <c r="D1103" s="1">
        <v>18856</v>
      </c>
      <c r="E1103" s="1">
        <v>45428</v>
      </c>
      <c r="F1103" s="1">
        <v>45437</v>
      </c>
      <c r="G1103" t="s">
        <v>46</v>
      </c>
      <c r="H1103" t="s">
        <v>52</v>
      </c>
      <c r="I1103" t="s">
        <v>20</v>
      </c>
      <c r="J1103" t="s">
        <v>1585</v>
      </c>
      <c r="K1103" t="s">
        <v>43</v>
      </c>
      <c r="M1103" t="s">
        <v>35</v>
      </c>
      <c r="N1103">
        <v>9</v>
      </c>
      <c r="O1103" t="s">
        <v>36</v>
      </c>
    </row>
    <row r="1104" spans="1:15" x14ac:dyDescent="0.2">
      <c r="A1104">
        <v>1102</v>
      </c>
      <c r="B1104" t="s">
        <v>140</v>
      </c>
      <c r="C1104" t="s">
        <v>97</v>
      </c>
      <c r="D1104" s="1">
        <v>30150</v>
      </c>
      <c r="E1104" s="1">
        <v>45337</v>
      </c>
      <c r="F1104" s="1">
        <v>45346</v>
      </c>
      <c r="G1104" t="s">
        <v>60</v>
      </c>
      <c r="H1104" t="s">
        <v>30</v>
      </c>
      <c r="I1104" t="s">
        <v>41</v>
      </c>
      <c r="J1104">
        <v>1493</v>
      </c>
      <c r="K1104" t="s">
        <v>48</v>
      </c>
      <c r="L1104" t="s">
        <v>34</v>
      </c>
      <c r="M1104" t="s">
        <v>78</v>
      </c>
      <c r="O1104" t="s">
        <v>25</v>
      </c>
    </row>
    <row r="1105" spans="1:15" x14ac:dyDescent="0.2">
      <c r="A1105" t="s">
        <v>1586</v>
      </c>
      <c r="B1105" t="s">
        <v>64</v>
      </c>
      <c r="C1105" t="s">
        <v>49</v>
      </c>
      <c r="D1105" s="1">
        <v>35599</v>
      </c>
      <c r="E1105" s="1">
        <v>45379</v>
      </c>
      <c r="F1105" s="1">
        <v>45387</v>
      </c>
      <c r="G1105" t="s">
        <v>100</v>
      </c>
      <c r="H1105" t="s">
        <v>52</v>
      </c>
      <c r="I1105" t="s">
        <v>57</v>
      </c>
      <c r="J1105">
        <v>980</v>
      </c>
      <c r="K1105" t="s">
        <v>33</v>
      </c>
      <c r="M1105" t="s">
        <v>35</v>
      </c>
      <c r="O1105" t="s">
        <v>25</v>
      </c>
    </row>
    <row r="1106" spans="1:15" x14ac:dyDescent="0.2">
      <c r="A1106" t="s">
        <v>1587</v>
      </c>
      <c r="B1106" t="s">
        <v>38</v>
      </c>
      <c r="C1106" t="s">
        <v>17</v>
      </c>
      <c r="D1106" s="1">
        <v>39422</v>
      </c>
      <c r="E1106" s="1">
        <v>45453</v>
      </c>
      <c r="F1106" s="1">
        <v>45467</v>
      </c>
      <c r="G1106" t="s">
        <v>40</v>
      </c>
      <c r="H1106" t="s">
        <v>66</v>
      </c>
      <c r="I1106" t="s">
        <v>20</v>
      </c>
      <c r="J1106" t="s">
        <v>1588</v>
      </c>
      <c r="K1106" t="s">
        <v>43</v>
      </c>
      <c r="L1106" t="s">
        <v>34</v>
      </c>
      <c r="M1106" t="s">
        <v>35</v>
      </c>
      <c r="O1106" t="s">
        <v>25</v>
      </c>
    </row>
    <row r="1107" spans="1:15" x14ac:dyDescent="0.2">
      <c r="A1107">
        <v>1105</v>
      </c>
      <c r="B1107" t="s">
        <v>140</v>
      </c>
      <c r="C1107" t="s">
        <v>49</v>
      </c>
      <c r="D1107" s="1">
        <v>22459</v>
      </c>
      <c r="E1107" s="1">
        <v>45371</v>
      </c>
      <c r="F1107" s="1">
        <v>45382</v>
      </c>
      <c r="G1107" t="s">
        <v>74</v>
      </c>
      <c r="H1107" t="s">
        <v>19</v>
      </c>
      <c r="I1107" t="s">
        <v>20</v>
      </c>
      <c r="J1107" t="s">
        <v>1589</v>
      </c>
      <c r="K1107" t="s">
        <v>22</v>
      </c>
      <c r="L1107" t="s">
        <v>34</v>
      </c>
      <c r="M1107" t="s">
        <v>35</v>
      </c>
      <c r="N1107">
        <v>9</v>
      </c>
    </row>
    <row r="1108" spans="1:15" x14ac:dyDescent="0.2">
      <c r="A1108" t="s">
        <v>1590</v>
      </c>
      <c r="B1108" t="s">
        <v>150</v>
      </c>
      <c r="C1108" t="s">
        <v>28</v>
      </c>
      <c r="D1108" s="1">
        <v>23653</v>
      </c>
      <c r="E1108" s="1">
        <v>45342</v>
      </c>
      <c r="F1108" s="1">
        <v>45352</v>
      </c>
      <c r="G1108" t="s">
        <v>83</v>
      </c>
      <c r="H1108" t="s">
        <v>75</v>
      </c>
      <c r="I1108" t="s">
        <v>67</v>
      </c>
      <c r="J1108">
        <v>1161</v>
      </c>
      <c r="K1108" t="s">
        <v>22</v>
      </c>
      <c r="L1108" t="s">
        <v>34</v>
      </c>
      <c r="M1108" t="s">
        <v>24</v>
      </c>
      <c r="N1108">
        <v>10</v>
      </c>
    </row>
    <row r="1109" spans="1:15" x14ac:dyDescent="0.2">
      <c r="A1109" t="s">
        <v>1591</v>
      </c>
      <c r="B1109" t="s">
        <v>56</v>
      </c>
      <c r="C1109" t="s">
        <v>39</v>
      </c>
      <c r="D1109" s="1">
        <v>26329</v>
      </c>
      <c r="E1109" s="1">
        <v>45324</v>
      </c>
      <c r="F1109" s="1">
        <v>45330</v>
      </c>
      <c r="G1109" t="s">
        <v>50</v>
      </c>
      <c r="H1109" t="s">
        <v>52</v>
      </c>
      <c r="I1109" t="s">
        <v>67</v>
      </c>
      <c r="J1109">
        <v>408</v>
      </c>
      <c r="K1109" t="s">
        <v>22</v>
      </c>
      <c r="L1109" t="s">
        <v>23</v>
      </c>
      <c r="M1109" t="s">
        <v>24</v>
      </c>
      <c r="N1109">
        <v>3</v>
      </c>
      <c r="O1109" t="s">
        <v>25</v>
      </c>
    </row>
    <row r="1110" spans="1:15" x14ac:dyDescent="0.2">
      <c r="A1110">
        <v>1108</v>
      </c>
      <c r="B1110" t="s">
        <v>102</v>
      </c>
      <c r="C1110" t="s">
        <v>39</v>
      </c>
      <c r="D1110" s="1">
        <v>33785</v>
      </c>
      <c r="E1110" s="1">
        <v>45382</v>
      </c>
      <c r="G1110" t="s">
        <v>29</v>
      </c>
      <c r="H1110" t="s">
        <v>19</v>
      </c>
      <c r="I1110" t="s">
        <v>20</v>
      </c>
      <c r="J1110" t="s">
        <v>1592</v>
      </c>
      <c r="K1110" t="s">
        <v>48</v>
      </c>
      <c r="M1110" t="s">
        <v>78</v>
      </c>
      <c r="O1110" t="s">
        <v>25</v>
      </c>
    </row>
    <row r="1111" spans="1:15" x14ac:dyDescent="0.2">
      <c r="A1111" t="s">
        <v>1593</v>
      </c>
      <c r="B1111" t="s">
        <v>114</v>
      </c>
      <c r="C1111" t="s">
        <v>17</v>
      </c>
      <c r="D1111" s="1">
        <v>35023</v>
      </c>
      <c r="E1111" s="1">
        <v>45391</v>
      </c>
      <c r="F1111" s="1">
        <v>45393</v>
      </c>
      <c r="G1111" t="s">
        <v>50</v>
      </c>
      <c r="H1111" t="s">
        <v>19</v>
      </c>
      <c r="I1111" t="s">
        <v>20</v>
      </c>
      <c r="J1111" t="s">
        <v>637</v>
      </c>
      <c r="K1111" t="s">
        <v>71</v>
      </c>
      <c r="L1111" t="s">
        <v>34</v>
      </c>
      <c r="M1111" t="s">
        <v>35</v>
      </c>
      <c r="N1111">
        <v>6</v>
      </c>
    </row>
    <row r="1112" spans="1:15" x14ac:dyDescent="0.2">
      <c r="A1112" t="s">
        <v>1594</v>
      </c>
      <c r="B1112" t="s">
        <v>91</v>
      </c>
      <c r="C1112" t="s">
        <v>65</v>
      </c>
      <c r="D1112" s="1">
        <v>36621</v>
      </c>
      <c r="E1112" s="1">
        <v>45472</v>
      </c>
      <c r="F1112" s="1">
        <v>45480</v>
      </c>
      <c r="G1112" t="s">
        <v>60</v>
      </c>
      <c r="H1112" t="s">
        <v>61</v>
      </c>
      <c r="I1112" t="s">
        <v>41</v>
      </c>
      <c r="J1112">
        <v>628</v>
      </c>
      <c r="K1112" t="s">
        <v>71</v>
      </c>
      <c r="L1112" t="s">
        <v>23</v>
      </c>
      <c r="M1112" t="s">
        <v>78</v>
      </c>
      <c r="N1112">
        <v>5</v>
      </c>
      <c r="O1112" t="s">
        <v>25</v>
      </c>
    </row>
    <row r="1113" spans="1:15" x14ac:dyDescent="0.2">
      <c r="A1113" t="s">
        <v>1595</v>
      </c>
      <c r="B1113" t="s">
        <v>51</v>
      </c>
      <c r="C1113" t="s">
        <v>97</v>
      </c>
      <c r="D1113" s="1">
        <v>23269</v>
      </c>
      <c r="E1113" s="1">
        <v>45333</v>
      </c>
      <c r="F1113" s="1">
        <v>45346</v>
      </c>
      <c r="G1113" t="s">
        <v>60</v>
      </c>
      <c r="H1113" t="s">
        <v>52</v>
      </c>
      <c r="I1113" t="s">
        <v>31</v>
      </c>
      <c r="J1113" t="s">
        <v>1596</v>
      </c>
      <c r="K1113" t="s">
        <v>22</v>
      </c>
      <c r="L1113" t="s">
        <v>23</v>
      </c>
      <c r="M1113" t="s">
        <v>24</v>
      </c>
      <c r="N1113">
        <v>7</v>
      </c>
      <c r="O1113" t="s">
        <v>25</v>
      </c>
    </row>
    <row r="1114" spans="1:15" x14ac:dyDescent="0.2">
      <c r="A1114">
        <v>1112</v>
      </c>
      <c r="B1114" t="s">
        <v>140</v>
      </c>
      <c r="C1114" t="s">
        <v>39</v>
      </c>
      <c r="D1114" s="1">
        <v>38512</v>
      </c>
      <c r="E1114" s="1">
        <v>45346</v>
      </c>
      <c r="F1114" s="1">
        <v>45361</v>
      </c>
      <c r="G1114" t="s">
        <v>50</v>
      </c>
      <c r="I1114" t="s">
        <v>53</v>
      </c>
      <c r="J1114" t="s">
        <v>1597</v>
      </c>
      <c r="K1114" t="s">
        <v>48</v>
      </c>
      <c r="L1114" t="s">
        <v>34</v>
      </c>
      <c r="M1114" t="s">
        <v>24</v>
      </c>
      <c r="O1114" t="s">
        <v>36</v>
      </c>
    </row>
    <row r="1115" spans="1:15" x14ac:dyDescent="0.2">
      <c r="A1115" t="s">
        <v>1598</v>
      </c>
      <c r="B1115" t="s">
        <v>56</v>
      </c>
      <c r="C1115" t="s">
        <v>92</v>
      </c>
      <c r="D1115" s="1">
        <v>21689</v>
      </c>
      <c r="E1115" s="1">
        <v>45293</v>
      </c>
      <c r="F1115" s="1">
        <v>45297</v>
      </c>
      <c r="G1115" t="s">
        <v>74</v>
      </c>
      <c r="H1115" t="s">
        <v>75</v>
      </c>
      <c r="I1115" t="s">
        <v>57</v>
      </c>
      <c r="J1115" t="s">
        <v>521</v>
      </c>
      <c r="K1115" t="s">
        <v>48</v>
      </c>
      <c r="L1115" t="s">
        <v>34</v>
      </c>
      <c r="M1115" t="s">
        <v>35</v>
      </c>
      <c r="N1115">
        <v>3</v>
      </c>
      <c r="O1115" t="s">
        <v>36</v>
      </c>
    </row>
    <row r="1116" spans="1:15" x14ac:dyDescent="0.2">
      <c r="A1116" t="s">
        <v>1599</v>
      </c>
      <c r="B1116" t="s">
        <v>80</v>
      </c>
      <c r="C1116" t="s">
        <v>65</v>
      </c>
      <c r="D1116" s="1">
        <v>27662</v>
      </c>
      <c r="E1116" s="1">
        <v>45350</v>
      </c>
      <c r="F1116" s="1">
        <v>45357</v>
      </c>
      <c r="G1116" t="s">
        <v>83</v>
      </c>
      <c r="H1116" t="s">
        <v>75</v>
      </c>
      <c r="I1116" t="s">
        <v>31</v>
      </c>
      <c r="J1116" t="s">
        <v>1600</v>
      </c>
      <c r="K1116" t="s">
        <v>33</v>
      </c>
      <c r="M1116" t="s">
        <v>78</v>
      </c>
      <c r="N1116">
        <v>13</v>
      </c>
      <c r="O1116" t="s">
        <v>25</v>
      </c>
    </row>
    <row r="1117" spans="1:15" x14ac:dyDescent="0.2">
      <c r="A1117" t="s">
        <v>1601</v>
      </c>
      <c r="B1117" t="s">
        <v>150</v>
      </c>
      <c r="C1117" t="s">
        <v>92</v>
      </c>
      <c r="D1117" s="1">
        <v>21097</v>
      </c>
      <c r="E1117" s="1">
        <v>45360</v>
      </c>
      <c r="G1117" t="s">
        <v>72</v>
      </c>
      <c r="H1117" t="s">
        <v>30</v>
      </c>
      <c r="I1117" t="s">
        <v>31</v>
      </c>
      <c r="J1117" t="s">
        <v>1602</v>
      </c>
      <c r="K1117" t="s">
        <v>48</v>
      </c>
      <c r="L1117" t="s">
        <v>34</v>
      </c>
      <c r="M1117" t="s">
        <v>24</v>
      </c>
      <c r="N1117">
        <v>10</v>
      </c>
      <c r="O1117" t="s">
        <v>25</v>
      </c>
    </row>
    <row r="1118" spans="1:15" x14ac:dyDescent="0.2">
      <c r="A1118" t="s">
        <v>1603</v>
      </c>
      <c r="B1118" t="s">
        <v>59</v>
      </c>
      <c r="C1118" t="s">
        <v>28</v>
      </c>
      <c r="D1118" s="1">
        <v>36192</v>
      </c>
      <c r="E1118" s="1">
        <v>45383</v>
      </c>
      <c r="G1118" t="s">
        <v>88</v>
      </c>
      <c r="I1118" t="s">
        <v>67</v>
      </c>
      <c r="J1118" t="s">
        <v>1604</v>
      </c>
      <c r="K1118" t="s">
        <v>22</v>
      </c>
      <c r="M1118" t="s">
        <v>35</v>
      </c>
      <c r="N1118">
        <v>2</v>
      </c>
    </row>
    <row r="1119" spans="1:15" x14ac:dyDescent="0.2">
      <c r="A1119" t="s">
        <v>1605</v>
      </c>
      <c r="B1119" t="s">
        <v>56</v>
      </c>
      <c r="C1119" t="s">
        <v>17</v>
      </c>
      <c r="D1119" s="1">
        <v>22718</v>
      </c>
      <c r="E1119" s="1">
        <v>45330</v>
      </c>
      <c r="G1119" t="s">
        <v>50</v>
      </c>
      <c r="H1119" t="s">
        <v>61</v>
      </c>
      <c r="I1119" t="s">
        <v>67</v>
      </c>
      <c r="J1119">
        <v>980</v>
      </c>
      <c r="K1119" t="s">
        <v>71</v>
      </c>
      <c r="M1119" t="s">
        <v>78</v>
      </c>
    </row>
    <row r="1120" spans="1:15" x14ac:dyDescent="0.2">
      <c r="A1120">
        <v>1118</v>
      </c>
      <c r="B1120" t="s">
        <v>51</v>
      </c>
      <c r="C1120" t="s">
        <v>17</v>
      </c>
      <c r="D1120" s="1">
        <v>23669</v>
      </c>
      <c r="E1120" s="1">
        <v>45417</v>
      </c>
      <c r="F1120" s="1">
        <v>45430</v>
      </c>
      <c r="G1120" t="s">
        <v>46</v>
      </c>
      <c r="H1120" t="s">
        <v>19</v>
      </c>
      <c r="I1120" t="s">
        <v>53</v>
      </c>
      <c r="J1120" t="s">
        <v>1606</v>
      </c>
      <c r="K1120" t="s">
        <v>71</v>
      </c>
      <c r="M1120" t="s">
        <v>24</v>
      </c>
      <c r="N1120">
        <v>9</v>
      </c>
    </row>
    <row r="1121" spans="1:15" x14ac:dyDescent="0.2">
      <c r="A1121" t="s">
        <v>1607</v>
      </c>
      <c r="B1121" t="s">
        <v>56</v>
      </c>
      <c r="C1121" t="s">
        <v>49</v>
      </c>
      <c r="D1121" s="1">
        <v>36112</v>
      </c>
      <c r="E1121" s="1">
        <v>45382</v>
      </c>
      <c r="F1121" s="1">
        <v>45397</v>
      </c>
      <c r="G1121" t="s">
        <v>72</v>
      </c>
      <c r="H1121" t="s">
        <v>75</v>
      </c>
      <c r="I1121" t="s">
        <v>57</v>
      </c>
      <c r="J1121" t="s">
        <v>1583</v>
      </c>
      <c r="K1121" t="s">
        <v>48</v>
      </c>
      <c r="L1121" t="s">
        <v>34</v>
      </c>
      <c r="M1121" t="s">
        <v>24</v>
      </c>
      <c r="N1121">
        <v>6</v>
      </c>
      <c r="O1121" t="s">
        <v>36</v>
      </c>
    </row>
    <row r="1122" spans="1:15" x14ac:dyDescent="0.2">
      <c r="A1122" t="s">
        <v>1608</v>
      </c>
      <c r="B1122" t="s">
        <v>64</v>
      </c>
      <c r="C1122" t="s">
        <v>65</v>
      </c>
      <c r="D1122" s="1">
        <v>37211</v>
      </c>
      <c r="E1122" s="1">
        <v>45338</v>
      </c>
      <c r="G1122" t="s">
        <v>88</v>
      </c>
      <c r="H1122" t="s">
        <v>52</v>
      </c>
      <c r="I1122" t="s">
        <v>20</v>
      </c>
      <c r="J1122" t="s">
        <v>1609</v>
      </c>
      <c r="K1122" t="s">
        <v>33</v>
      </c>
      <c r="L1122" t="s">
        <v>34</v>
      </c>
      <c r="M1122" t="s">
        <v>78</v>
      </c>
      <c r="N1122">
        <v>7</v>
      </c>
      <c r="O1122" t="s">
        <v>36</v>
      </c>
    </row>
    <row r="1123" spans="1:15" x14ac:dyDescent="0.2">
      <c r="A1123">
        <v>1121</v>
      </c>
      <c r="B1123" t="s">
        <v>119</v>
      </c>
      <c r="C1123" t="s">
        <v>49</v>
      </c>
      <c r="D1123" s="1">
        <v>33209</v>
      </c>
      <c r="E1123" s="1">
        <v>45414</v>
      </c>
      <c r="F1123" s="1">
        <v>45415</v>
      </c>
      <c r="G1123" t="s">
        <v>29</v>
      </c>
      <c r="H1123" t="s">
        <v>61</v>
      </c>
      <c r="I1123" t="s">
        <v>76</v>
      </c>
      <c r="J1123" t="s">
        <v>1610</v>
      </c>
      <c r="K1123" t="s">
        <v>33</v>
      </c>
      <c r="M1123" t="s">
        <v>78</v>
      </c>
      <c r="N1123">
        <v>10</v>
      </c>
      <c r="O1123" t="s">
        <v>36</v>
      </c>
    </row>
    <row r="1124" spans="1:15" x14ac:dyDescent="0.2">
      <c r="A1124" t="s">
        <v>1611</v>
      </c>
      <c r="B1124" t="s">
        <v>114</v>
      </c>
      <c r="C1124" t="s">
        <v>92</v>
      </c>
      <c r="D1124" s="1">
        <v>21181</v>
      </c>
      <c r="E1124" s="1">
        <v>45343</v>
      </c>
      <c r="F1124" s="1">
        <v>45350</v>
      </c>
      <c r="G1124" t="s">
        <v>60</v>
      </c>
      <c r="I1124" t="s">
        <v>31</v>
      </c>
      <c r="J1124" t="s">
        <v>1612</v>
      </c>
      <c r="K1124" t="s">
        <v>71</v>
      </c>
      <c r="L1124" t="s">
        <v>23</v>
      </c>
      <c r="M1124" t="s">
        <v>78</v>
      </c>
      <c r="N1124">
        <v>4</v>
      </c>
      <c r="O1124" t="s">
        <v>36</v>
      </c>
    </row>
    <row r="1125" spans="1:15" x14ac:dyDescent="0.2">
      <c r="A1125" t="s">
        <v>1613</v>
      </c>
      <c r="B1125" t="s">
        <v>80</v>
      </c>
      <c r="C1125" t="s">
        <v>65</v>
      </c>
      <c r="D1125" s="1">
        <v>30916</v>
      </c>
      <c r="E1125" s="1">
        <v>45436</v>
      </c>
      <c r="F1125" s="1">
        <v>45444</v>
      </c>
      <c r="G1125" t="s">
        <v>74</v>
      </c>
      <c r="H1125" t="s">
        <v>66</v>
      </c>
      <c r="I1125" t="s">
        <v>53</v>
      </c>
      <c r="J1125" t="s">
        <v>946</v>
      </c>
      <c r="K1125" t="s">
        <v>22</v>
      </c>
      <c r="M1125" t="s">
        <v>35</v>
      </c>
      <c r="N1125">
        <v>1</v>
      </c>
    </row>
    <row r="1126" spans="1:15" x14ac:dyDescent="0.2">
      <c r="A1126">
        <v>1124</v>
      </c>
      <c r="B1126" t="s">
        <v>119</v>
      </c>
      <c r="C1126" t="s">
        <v>28</v>
      </c>
      <c r="D1126" s="1">
        <v>18524</v>
      </c>
      <c r="E1126" s="1">
        <v>45386</v>
      </c>
      <c r="G1126" t="s">
        <v>40</v>
      </c>
      <c r="H1126" t="s">
        <v>52</v>
      </c>
      <c r="I1126" t="s">
        <v>76</v>
      </c>
      <c r="J1126" t="s">
        <v>1533</v>
      </c>
      <c r="K1126" t="s">
        <v>71</v>
      </c>
      <c r="M1126" t="s">
        <v>35</v>
      </c>
      <c r="N1126">
        <v>14</v>
      </c>
      <c r="O1126" t="s">
        <v>36</v>
      </c>
    </row>
    <row r="1127" spans="1:15" x14ac:dyDescent="0.2">
      <c r="A1127" t="s">
        <v>1614</v>
      </c>
      <c r="B1127" t="s">
        <v>45</v>
      </c>
      <c r="C1127" t="s">
        <v>65</v>
      </c>
      <c r="D1127" s="1">
        <v>38605</v>
      </c>
      <c r="E1127" s="1">
        <v>45448</v>
      </c>
      <c r="F1127" s="1">
        <v>45453</v>
      </c>
      <c r="G1127" t="s">
        <v>72</v>
      </c>
      <c r="H1127" t="s">
        <v>19</v>
      </c>
      <c r="I1127" t="s">
        <v>67</v>
      </c>
      <c r="J1127" t="s">
        <v>1615</v>
      </c>
      <c r="K1127" t="s">
        <v>33</v>
      </c>
      <c r="M1127" t="s">
        <v>24</v>
      </c>
    </row>
    <row r="1128" spans="1:15" x14ac:dyDescent="0.2">
      <c r="A1128">
        <v>1126</v>
      </c>
      <c r="B1128" t="s">
        <v>150</v>
      </c>
      <c r="C1128" t="s">
        <v>39</v>
      </c>
      <c r="D1128" s="1">
        <v>28269</v>
      </c>
      <c r="E1128" s="1">
        <v>45393</v>
      </c>
      <c r="F1128" s="1">
        <v>45397</v>
      </c>
      <c r="G1128" t="s">
        <v>60</v>
      </c>
      <c r="H1128" t="s">
        <v>61</v>
      </c>
      <c r="I1128" t="s">
        <v>76</v>
      </c>
      <c r="J1128" t="s">
        <v>1616</v>
      </c>
      <c r="K1128" t="s">
        <v>43</v>
      </c>
      <c r="M1128" t="s">
        <v>78</v>
      </c>
    </row>
    <row r="1129" spans="1:15" x14ac:dyDescent="0.2">
      <c r="A1129" t="s">
        <v>1617</v>
      </c>
      <c r="B1129" t="s">
        <v>27</v>
      </c>
      <c r="C1129" t="s">
        <v>97</v>
      </c>
      <c r="D1129" s="1">
        <v>23051</v>
      </c>
      <c r="E1129" s="1">
        <v>45304</v>
      </c>
      <c r="F1129" s="1">
        <v>45307</v>
      </c>
      <c r="G1129" t="s">
        <v>50</v>
      </c>
      <c r="H1129" t="s">
        <v>61</v>
      </c>
      <c r="I1129" t="s">
        <v>53</v>
      </c>
      <c r="J1129" t="s">
        <v>1618</v>
      </c>
      <c r="K1129" t="s">
        <v>48</v>
      </c>
      <c r="L1129" t="s">
        <v>23</v>
      </c>
      <c r="M1129" t="s">
        <v>35</v>
      </c>
      <c r="O1129" t="s">
        <v>25</v>
      </c>
    </row>
    <row r="1130" spans="1:15" x14ac:dyDescent="0.2">
      <c r="A1130" t="s">
        <v>1619</v>
      </c>
      <c r="B1130" t="s">
        <v>114</v>
      </c>
      <c r="C1130" t="s">
        <v>97</v>
      </c>
      <c r="D1130" s="1">
        <v>20269</v>
      </c>
      <c r="E1130" s="1">
        <v>45321</v>
      </c>
      <c r="F1130" s="1">
        <v>45329</v>
      </c>
      <c r="G1130" t="s">
        <v>60</v>
      </c>
      <c r="I1130" t="s">
        <v>57</v>
      </c>
      <c r="J1130" t="s">
        <v>1620</v>
      </c>
      <c r="K1130" t="s">
        <v>33</v>
      </c>
      <c r="M1130" t="s">
        <v>78</v>
      </c>
      <c r="N1130">
        <v>13</v>
      </c>
    </row>
    <row r="1131" spans="1:15" x14ac:dyDescent="0.2">
      <c r="A1131" t="s">
        <v>1621</v>
      </c>
      <c r="B1131" t="s">
        <v>87</v>
      </c>
      <c r="C1131" t="s">
        <v>17</v>
      </c>
      <c r="D1131" s="1">
        <v>26273</v>
      </c>
      <c r="E1131" s="1">
        <v>45302</v>
      </c>
      <c r="F1131" s="1">
        <v>45309</v>
      </c>
      <c r="G1131" t="s">
        <v>29</v>
      </c>
      <c r="H1131" t="s">
        <v>66</v>
      </c>
      <c r="I1131" t="s">
        <v>67</v>
      </c>
      <c r="J1131" t="s">
        <v>1622</v>
      </c>
      <c r="K1131" t="s">
        <v>43</v>
      </c>
      <c r="L1131" t="s">
        <v>34</v>
      </c>
      <c r="M1131" t="s">
        <v>35</v>
      </c>
    </row>
    <row r="1132" spans="1:15" x14ac:dyDescent="0.2">
      <c r="A1132">
        <v>1130</v>
      </c>
      <c r="B1132" t="s">
        <v>16</v>
      </c>
      <c r="C1132" t="s">
        <v>97</v>
      </c>
      <c r="D1132" s="1">
        <v>22025</v>
      </c>
      <c r="E1132" s="1">
        <v>45410</v>
      </c>
      <c r="F1132" s="1">
        <v>45424</v>
      </c>
      <c r="G1132" t="s">
        <v>40</v>
      </c>
      <c r="H1132" t="s">
        <v>75</v>
      </c>
      <c r="I1132" t="s">
        <v>57</v>
      </c>
      <c r="J1132" t="s">
        <v>1623</v>
      </c>
      <c r="K1132" t="s">
        <v>33</v>
      </c>
      <c r="M1132" t="s">
        <v>24</v>
      </c>
      <c r="N1132">
        <v>8</v>
      </c>
      <c r="O1132" t="s">
        <v>25</v>
      </c>
    </row>
    <row r="1133" spans="1:15" x14ac:dyDescent="0.2">
      <c r="A1133" t="s">
        <v>1624</v>
      </c>
      <c r="B1133" t="s">
        <v>82</v>
      </c>
      <c r="C1133" t="s">
        <v>39</v>
      </c>
      <c r="D1133" s="1">
        <v>20848</v>
      </c>
      <c r="E1133" s="1">
        <v>45309</v>
      </c>
      <c r="F1133" s="1">
        <v>45318</v>
      </c>
      <c r="G1133" t="s">
        <v>50</v>
      </c>
      <c r="H1133" t="s">
        <v>30</v>
      </c>
      <c r="I1133" t="s">
        <v>53</v>
      </c>
      <c r="J1133">
        <v>770</v>
      </c>
      <c r="K1133" t="s">
        <v>71</v>
      </c>
      <c r="L1133" t="s">
        <v>23</v>
      </c>
      <c r="M1133" t="s">
        <v>35</v>
      </c>
    </row>
    <row r="1134" spans="1:15" x14ac:dyDescent="0.2">
      <c r="A1134" t="s">
        <v>1625</v>
      </c>
      <c r="B1134" t="s">
        <v>102</v>
      </c>
      <c r="C1134" t="s">
        <v>17</v>
      </c>
      <c r="D1134" s="1">
        <v>24971</v>
      </c>
      <c r="E1134" s="1">
        <v>45338</v>
      </c>
      <c r="F1134" s="1">
        <v>45341</v>
      </c>
      <c r="G1134" t="s">
        <v>88</v>
      </c>
      <c r="I1134" t="s">
        <v>67</v>
      </c>
      <c r="J1134" t="s">
        <v>1626</v>
      </c>
      <c r="K1134" t="s">
        <v>71</v>
      </c>
      <c r="M1134" t="s">
        <v>35</v>
      </c>
      <c r="O1134" t="s">
        <v>25</v>
      </c>
    </row>
    <row r="1135" spans="1:15" x14ac:dyDescent="0.2">
      <c r="A1135" t="s">
        <v>1627</v>
      </c>
      <c r="B1135" t="s">
        <v>16</v>
      </c>
      <c r="C1135" t="s">
        <v>17</v>
      </c>
      <c r="D1135" s="1">
        <v>28135</v>
      </c>
      <c r="E1135" s="1">
        <v>45461</v>
      </c>
      <c r="F1135" s="1">
        <v>45468</v>
      </c>
      <c r="G1135" t="s">
        <v>40</v>
      </c>
      <c r="I1135" t="s">
        <v>20</v>
      </c>
      <c r="J1135" t="s">
        <v>1628</v>
      </c>
      <c r="K1135" t="s">
        <v>22</v>
      </c>
      <c r="M1135" t="s">
        <v>78</v>
      </c>
      <c r="N1135">
        <v>1</v>
      </c>
      <c r="O1135" t="s">
        <v>25</v>
      </c>
    </row>
    <row r="1136" spans="1:15" x14ac:dyDescent="0.2">
      <c r="A1136" t="s">
        <v>1629</v>
      </c>
      <c r="B1136" t="s">
        <v>150</v>
      </c>
      <c r="C1136" t="s">
        <v>49</v>
      </c>
      <c r="D1136" s="1">
        <v>39978</v>
      </c>
      <c r="E1136" s="1">
        <v>45404</v>
      </c>
      <c r="G1136" t="s">
        <v>60</v>
      </c>
      <c r="H1136" t="s">
        <v>52</v>
      </c>
      <c r="I1136" t="s">
        <v>20</v>
      </c>
      <c r="J1136" t="s">
        <v>1443</v>
      </c>
      <c r="K1136" t="s">
        <v>33</v>
      </c>
      <c r="L1136" t="s">
        <v>34</v>
      </c>
      <c r="M1136" t="s">
        <v>35</v>
      </c>
      <c r="O1136" t="s">
        <v>36</v>
      </c>
    </row>
    <row r="1137" spans="1:15" x14ac:dyDescent="0.2">
      <c r="A1137" t="s">
        <v>1630</v>
      </c>
      <c r="B1137" t="s">
        <v>140</v>
      </c>
      <c r="C1137" t="s">
        <v>97</v>
      </c>
      <c r="D1137" s="1">
        <v>36584</v>
      </c>
      <c r="E1137" s="1">
        <v>45400</v>
      </c>
      <c r="F1137" s="1">
        <v>45408</v>
      </c>
      <c r="G1137" t="s">
        <v>46</v>
      </c>
      <c r="H1137" t="s">
        <v>52</v>
      </c>
      <c r="I1137" t="s">
        <v>67</v>
      </c>
      <c r="J1137" t="s">
        <v>1631</v>
      </c>
      <c r="K1137" t="s">
        <v>43</v>
      </c>
      <c r="L1137" t="s">
        <v>23</v>
      </c>
      <c r="M1137" t="s">
        <v>35</v>
      </c>
      <c r="O1137" t="s">
        <v>25</v>
      </c>
    </row>
    <row r="1138" spans="1:15" x14ac:dyDescent="0.2">
      <c r="A1138">
        <v>1136</v>
      </c>
      <c r="B1138" t="s">
        <v>118</v>
      </c>
      <c r="C1138" t="s">
        <v>65</v>
      </c>
      <c r="D1138" s="1">
        <v>21796</v>
      </c>
      <c r="E1138" s="1">
        <v>45344</v>
      </c>
      <c r="F1138" s="1">
        <v>45348</v>
      </c>
      <c r="G1138" t="s">
        <v>60</v>
      </c>
      <c r="H1138" t="s">
        <v>19</v>
      </c>
      <c r="I1138" t="s">
        <v>76</v>
      </c>
      <c r="J1138" t="s">
        <v>1632</v>
      </c>
      <c r="K1138" t="s">
        <v>48</v>
      </c>
      <c r="M1138" t="s">
        <v>78</v>
      </c>
      <c r="N1138">
        <v>14</v>
      </c>
      <c r="O1138" t="s">
        <v>25</v>
      </c>
    </row>
    <row r="1139" spans="1:15" x14ac:dyDescent="0.2">
      <c r="A1139">
        <v>1137</v>
      </c>
      <c r="B1139" t="s">
        <v>82</v>
      </c>
      <c r="C1139" t="s">
        <v>97</v>
      </c>
      <c r="D1139" s="1">
        <v>33939</v>
      </c>
      <c r="E1139" s="1">
        <v>45372</v>
      </c>
      <c r="F1139" s="1">
        <v>45373</v>
      </c>
      <c r="G1139" t="s">
        <v>60</v>
      </c>
      <c r="H1139" t="s">
        <v>75</v>
      </c>
      <c r="I1139" t="s">
        <v>31</v>
      </c>
      <c r="J1139" t="s">
        <v>1633</v>
      </c>
      <c r="K1139" t="s">
        <v>48</v>
      </c>
      <c r="L1139" t="s">
        <v>23</v>
      </c>
      <c r="M1139" t="s">
        <v>35</v>
      </c>
      <c r="N1139">
        <v>9</v>
      </c>
      <c r="O1139" t="s">
        <v>36</v>
      </c>
    </row>
    <row r="1140" spans="1:15" x14ac:dyDescent="0.2">
      <c r="A1140">
        <v>1138</v>
      </c>
      <c r="B1140" t="s">
        <v>140</v>
      </c>
      <c r="C1140" t="s">
        <v>97</v>
      </c>
      <c r="D1140" s="1">
        <v>19215</v>
      </c>
      <c r="E1140" s="1">
        <v>45361</v>
      </c>
      <c r="G1140" t="s">
        <v>40</v>
      </c>
      <c r="H1140" t="s">
        <v>30</v>
      </c>
      <c r="I1140" t="s">
        <v>76</v>
      </c>
      <c r="J1140" t="s">
        <v>1634</v>
      </c>
      <c r="K1140" t="s">
        <v>48</v>
      </c>
      <c r="M1140" t="s">
        <v>24</v>
      </c>
      <c r="O1140" t="s">
        <v>25</v>
      </c>
    </row>
    <row r="1141" spans="1:15" x14ac:dyDescent="0.2">
      <c r="A1141" t="s">
        <v>1635</v>
      </c>
      <c r="B1141" t="s">
        <v>87</v>
      </c>
      <c r="C1141" t="s">
        <v>92</v>
      </c>
      <c r="D1141" s="1">
        <v>19971</v>
      </c>
      <c r="E1141" s="1">
        <v>45306</v>
      </c>
      <c r="F1141" s="1">
        <v>45318</v>
      </c>
      <c r="G1141" t="s">
        <v>60</v>
      </c>
      <c r="H1141" t="s">
        <v>75</v>
      </c>
      <c r="I1141" t="s">
        <v>57</v>
      </c>
      <c r="J1141" t="s">
        <v>1636</v>
      </c>
      <c r="K1141" t="s">
        <v>71</v>
      </c>
      <c r="M1141" t="s">
        <v>78</v>
      </c>
      <c r="N1141">
        <v>7</v>
      </c>
      <c r="O1141" t="s">
        <v>25</v>
      </c>
    </row>
    <row r="1142" spans="1:15" x14ac:dyDescent="0.2">
      <c r="A1142" t="s">
        <v>1637</v>
      </c>
      <c r="B1142" t="s">
        <v>85</v>
      </c>
      <c r="C1142" t="s">
        <v>39</v>
      </c>
      <c r="D1142" s="1">
        <v>24256</v>
      </c>
      <c r="E1142" s="1">
        <v>45304</v>
      </c>
      <c r="F1142" s="1">
        <v>45313</v>
      </c>
      <c r="G1142" t="s">
        <v>40</v>
      </c>
      <c r="I1142" t="s">
        <v>76</v>
      </c>
      <c r="J1142">
        <v>415</v>
      </c>
      <c r="K1142" t="s">
        <v>22</v>
      </c>
      <c r="M1142" t="s">
        <v>24</v>
      </c>
      <c r="N1142">
        <v>2</v>
      </c>
      <c r="O1142" t="s">
        <v>25</v>
      </c>
    </row>
    <row r="1143" spans="1:15" x14ac:dyDescent="0.2">
      <c r="A1143" t="s">
        <v>1638</v>
      </c>
      <c r="B1143" t="s">
        <v>59</v>
      </c>
      <c r="C1143" t="s">
        <v>65</v>
      </c>
      <c r="D1143" s="1">
        <v>19578</v>
      </c>
      <c r="E1143" s="1">
        <v>45390</v>
      </c>
      <c r="F1143" s="1">
        <v>45395</v>
      </c>
      <c r="G1143" t="s">
        <v>40</v>
      </c>
      <c r="H1143" t="s">
        <v>75</v>
      </c>
      <c r="I1143" t="s">
        <v>53</v>
      </c>
      <c r="J1143" t="s">
        <v>1639</v>
      </c>
      <c r="K1143" t="s">
        <v>71</v>
      </c>
      <c r="L1143" t="s">
        <v>23</v>
      </c>
      <c r="M1143" t="s">
        <v>24</v>
      </c>
    </row>
    <row r="1144" spans="1:15" x14ac:dyDescent="0.2">
      <c r="A1144" t="s">
        <v>1640</v>
      </c>
      <c r="B1144" t="s">
        <v>140</v>
      </c>
      <c r="C1144" t="s">
        <v>17</v>
      </c>
      <c r="D1144" s="1">
        <v>22523</v>
      </c>
      <c r="E1144" s="1">
        <v>45314</v>
      </c>
      <c r="G1144" t="s">
        <v>100</v>
      </c>
      <c r="H1144" t="s">
        <v>61</v>
      </c>
      <c r="I1144" t="s">
        <v>20</v>
      </c>
      <c r="J1144" t="s">
        <v>1641</v>
      </c>
      <c r="K1144" t="s">
        <v>43</v>
      </c>
      <c r="M1144" t="s">
        <v>24</v>
      </c>
      <c r="N1144">
        <v>11</v>
      </c>
      <c r="O1144" t="s">
        <v>25</v>
      </c>
    </row>
    <row r="1145" spans="1:15" x14ac:dyDescent="0.2">
      <c r="A1145">
        <v>1143</v>
      </c>
      <c r="B1145" t="s">
        <v>80</v>
      </c>
      <c r="C1145" t="s">
        <v>39</v>
      </c>
      <c r="D1145" s="1">
        <v>34147</v>
      </c>
      <c r="E1145" s="1">
        <v>45469</v>
      </c>
      <c r="F1145" s="1">
        <v>45484</v>
      </c>
      <c r="G1145" t="s">
        <v>18</v>
      </c>
      <c r="H1145" t="s">
        <v>52</v>
      </c>
      <c r="I1145" t="s">
        <v>31</v>
      </c>
      <c r="J1145" t="s">
        <v>1642</v>
      </c>
      <c r="K1145" t="s">
        <v>33</v>
      </c>
      <c r="L1145" t="s">
        <v>23</v>
      </c>
      <c r="M1145" t="s">
        <v>24</v>
      </c>
      <c r="N1145">
        <v>15</v>
      </c>
      <c r="O1145" t="s">
        <v>25</v>
      </c>
    </row>
    <row r="1146" spans="1:15" x14ac:dyDescent="0.2">
      <c r="A1146">
        <v>1144</v>
      </c>
      <c r="B1146" t="s">
        <v>16</v>
      </c>
      <c r="C1146" t="s">
        <v>97</v>
      </c>
      <c r="D1146" s="1">
        <v>24014</v>
      </c>
      <c r="E1146" s="1">
        <v>45418</v>
      </c>
      <c r="F1146" s="1">
        <v>45422</v>
      </c>
      <c r="G1146" t="s">
        <v>40</v>
      </c>
      <c r="H1146" t="s">
        <v>19</v>
      </c>
      <c r="I1146" t="s">
        <v>67</v>
      </c>
      <c r="J1146" t="s">
        <v>461</v>
      </c>
      <c r="K1146" t="s">
        <v>33</v>
      </c>
      <c r="M1146" t="s">
        <v>35</v>
      </c>
      <c r="O1146" t="s">
        <v>36</v>
      </c>
    </row>
    <row r="1147" spans="1:15" x14ac:dyDescent="0.2">
      <c r="A1147" t="s">
        <v>1643</v>
      </c>
      <c r="B1147" t="s">
        <v>118</v>
      </c>
      <c r="C1147" t="s">
        <v>49</v>
      </c>
      <c r="D1147" s="1">
        <v>28766</v>
      </c>
      <c r="E1147" s="1">
        <v>45443</v>
      </c>
      <c r="F1147" s="1">
        <v>45447</v>
      </c>
      <c r="G1147" t="s">
        <v>88</v>
      </c>
      <c r="H1147" t="s">
        <v>75</v>
      </c>
      <c r="I1147" t="s">
        <v>57</v>
      </c>
      <c r="J1147" t="s">
        <v>555</v>
      </c>
      <c r="K1147" t="s">
        <v>33</v>
      </c>
      <c r="M1147" t="s">
        <v>78</v>
      </c>
      <c r="N1147">
        <v>15</v>
      </c>
      <c r="O1147" t="s">
        <v>25</v>
      </c>
    </row>
    <row r="1148" spans="1:15" x14ac:dyDescent="0.2">
      <c r="A1148">
        <v>1146</v>
      </c>
      <c r="B1148" t="s">
        <v>105</v>
      </c>
      <c r="C1148" t="s">
        <v>39</v>
      </c>
      <c r="D1148" s="1">
        <v>35256</v>
      </c>
      <c r="E1148" s="1">
        <v>45422</v>
      </c>
      <c r="G1148" t="s">
        <v>100</v>
      </c>
      <c r="H1148" t="s">
        <v>66</v>
      </c>
      <c r="I1148" t="s">
        <v>41</v>
      </c>
      <c r="J1148" t="s">
        <v>1644</v>
      </c>
      <c r="K1148" t="s">
        <v>33</v>
      </c>
      <c r="M1148" t="s">
        <v>24</v>
      </c>
      <c r="N1148">
        <v>2</v>
      </c>
    </row>
    <row r="1149" spans="1:15" x14ac:dyDescent="0.2">
      <c r="A1149">
        <v>1147</v>
      </c>
      <c r="B1149" t="s">
        <v>51</v>
      </c>
      <c r="C1149" t="s">
        <v>39</v>
      </c>
      <c r="D1149" s="1">
        <v>32950</v>
      </c>
      <c r="E1149" s="1">
        <v>45357</v>
      </c>
      <c r="F1149" s="1">
        <v>45368</v>
      </c>
      <c r="G1149" t="s">
        <v>46</v>
      </c>
      <c r="H1149" t="s">
        <v>61</v>
      </c>
      <c r="I1149" t="s">
        <v>53</v>
      </c>
      <c r="J1149">
        <v>748</v>
      </c>
      <c r="K1149" t="s">
        <v>22</v>
      </c>
      <c r="M1149" t="s">
        <v>35</v>
      </c>
      <c r="N1149">
        <v>8</v>
      </c>
      <c r="O1149" t="s">
        <v>36</v>
      </c>
    </row>
    <row r="1150" spans="1:15" x14ac:dyDescent="0.2">
      <c r="A1150">
        <v>1148</v>
      </c>
      <c r="B1150" t="s">
        <v>140</v>
      </c>
      <c r="C1150" t="s">
        <v>97</v>
      </c>
      <c r="D1150" s="1">
        <v>30017</v>
      </c>
      <c r="E1150" s="1">
        <v>45296</v>
      </c>
      <c r="G1150" t="s">
        <v>29</v>
      </c>
      <c r="H1150" t="s">
        <v>30</v>
      </c>
      <c r="I1150" t="s">
        <v>57</v>
      </c>
      <c r="J1150" t="s">
        <v>1645</v>
      </c>
      <c r="K1150" t="s">
        <v>43</v>
      </c>
      <c r="L1150" t="s">
        <v>23</v>
      </c>
      <c r="M1150" t="s">
        <v>35</v>
      </c>
      <c r="N1150">
        <v>10</v>
      </c>
    </row>
    <row r="1151" spans="1:15" x14ac:dyDescent="0.2">
      <c r="A1151" t="s">
        <v>1646</v>
      </c>
      <c r="B1151" t="s">
        <v>87</v>
      </c>
      <c r="C1151" t="s">
        <v>65</v>
      </c>
      <c r="D1151" s="1">
        <v>27630</v>
      </c>
      <c r="E1151" s="1">
        <v>45310</v>
      </c>
      <c r="F1151" s="1">
        <v>45325</v>
      </c>
      <c r="G1151" t="s">
        <v>50</v>
      </c>
      <c r="H1151" t="s">
        <v>66</v>
      </c>
      <c r="I1151" t="s">
        <v>67</v>
      </c>
      <c r="J1151" t="s">
        <v>1647</v>
      </c>
      <c r="K1151" t="s">
        <v>33</v>
      </c>
      <c r="M1151" t="s">
        <v>35</v>
      </c>
      <c r="N1151">
        <v>8</v>
      </c>
    </row>
    <row r="1152" spans="1:15" x14ac:dyDescent="0.2">
      <c r="A1152" t="s">
        <v>1648</v>
      </c>
      <c r="B1152" t="s">
        <v>87</v>
      </c>
      <c r="C1152" t="s">
        <v>49</v>
      </c>
      <c r="D1152" s="1">
        <v>31653</v>
      </c>
      <c r="E1152" s="1">
        <v>45451</v>
      </c>
      <c r="F1152" s="1">
        <v>45454</v>
      </c>
      <c r="G1152" t="s">
        <v>29</v>
      </c>
      <c r="H1152" t="s">
        <v>19</v>
      </c>
      <c r="I1152" t="s">
        <v>20</v>
      </c>
      <c r="J1152" t="s">
        <v>1649</v>
      </c>
      <c r="K1152" t="s">
        <v>43</v>
      </c>
      <c r="L1152" t="s">
        <v>34</v>
      </c>
      <c r="M1152" t="s">
        <v>24</v>
      </c>
      <c r="N1152">
        <v>6</v>
      </c>
      <c r="O1152" t="s">
        <v>25</v>
      </c>
    </row>
    <row r="1153" spans="1:15" x14ac:dyDescent="0.2">
      <c r="A1153" t="s">
        <v>1650</v>
      </c>
      <c r="B1153" t="s">
        <v>51</v>
      </c>
      <c r="C1153" t="s">
        <v>49</v>
      </c>
      <c r="D1153" s="1">
        <v>21769</v>
      </c>
      <c r="E1153" s="1">
        <v>45459</v>
      </c>
      <c r="G1153" t="s">
        <v>18</v>
      </c>
      <c r="H1153" t="s">
        <v>61</v>
      </c>
      <c r="I1153" t="s">
        <v>41</v>
      </c>
      <c r="J1153" t="s">
        <v>1651</v>
      </c>
      <c r="K1153" t="s">
        <v>48</v>
      </c>
      <c r="L1153" t="s">
        <v>34</v>
      </c>
      <c r="M1153" t="s">
        <v>35</v>
      </c>
      <c r="N1153">
        <v>2</v>
      </c>
      <c r="O1153" t="s">
        <v>25</v>
      </c>
    </row>
    <row r="1154" spans="1:15" x14ac:dyDescent="0.2">
      <c r="A1154" t="s">
        <v>1652</v>
      </c>
      <c r="B1154" t="s">
        <v>102</v>
      </c>
      <c r="C1154" t="s">
        <v>49</v>
      </c>
      <c r="D1154" s="1">
        <v>27965</v>
      </c>
      <c r="E1154" s="1">
        <v>45387</v>
      </c>
      <c r="F1154" s="1">
        <v>45396</v>
      </c>
      <c r="G1154" t="s">
        <v>40</v>
      </c>
      <c r="H1154" t="s">
        <v>19</v>
      </c>
      <c r="I1154" t="s">
        <v>76</v>
      </c>
      <c r="J1154" t="s">
        <v>660</v>
      </c>
      <c r="K1154" t="s">
        <v>48</v>
      </c>
      <c r="L1154" t="s">
        <v>34</v>
      </c>
      <c r="M1154" t="s">
        <v>24</v>
      </c>
      <c r="N1154">
        <v>9</v>
      </c>
    </row>
    <row r="1155" spans="1:15" x14ac:dyDescent="0.2">
      <c r="A1155" t="s">
        <v>1653</v>
      </c>
      <c r="B1155" t="s">
        <v>118</v>
      </c>
      <c r="C1155" t="s">
        <v>92</v>
      </c>
      <c r="D1155" s="1">
        <v>28277</v>
      </c>
      <c r="E1155" s="1">
        <v>45464</v>
      </c>
      <c r="G1155" t="s">
        <v>29</v>
      </c>
      <c r="H1155" t="s">
        <v>52</v>
      </c>
      <c r="I1155" t="s">
        <v>57</v>
      </c>
      <c r="J1155">
        <v>1129</v>
      </c>
      <c r="K1155" t="s">
        <v>71</v>
      </c>
      <c r="M1155" t="s">
        <v>35</v>
      </c>
      <c r="N1155">
        <v>9</v>
      </c>
      <c r="O1155" t="s">
        <v>36</v>
      </c>
    </row>
    <row r="1156" spans="1:15" x14ac:dyDescent="0.2">
      <c r="A1156" t="s">
        <v>1654</v>
      </c>
      <c r="B1156" t="s">
        <v>118</v>
      </c>
      <c r="C1156" t="s">
        <v>49</v>
      </c>
      <c r="D1156" s="1">
        <v>31427</v>
      </c>
      <c r="E1156" s="1">
        <v>45394</v>
      </c>
      <c r="F1156" s="1">
        <v>45396</v>
      </c>
      <c r="G1156" t="s">
        <v>46</v>
      </c>
      <c r="H1156" t="s">
        <v>52</v>
      </c>
      <c r="I1156" t="s">
        <v>31</v>
      </c>
      <c r="J1156" t="s">
        <v>1655</v>
      </c>
      <c r="K1156" t="s">
        <v>48</v>
      </c>
      <c r="L1156" t="s">
        <v>23</v>
      </c>
      <c r="M1156" t="s">
        <v>24</v>
      </c>
      <c r="N1156">
        <v>13</v>
      </c>
      <c r="O1156" t="s">
        <v>25</v>
      </c>
    </row>
    <row r="1157" spans="1:15" x14ac:dyDescent="0.2">
      <c r="A1157" t="s">
        <v>1656</v>
      </c>
      <c r="B1157" t="s">
        <v>150</v>
      </c>
      <c r="C1157" t="s">
        <v>97</v>
      </c>
      <c r="D1157" s="1">
        <v>24261</v>
      </c>
      <c r="E1157" s="1">
        <v>45370</v>
      </c>
      <c r="G1157" t="s">
        <v>46</v>
      </c>
      <c r="H1157" t="s">
        <v>61</v>
      </c>
      <c r="I1157" t="s">
        <v>31</v>
      </c>
      <c r="J1157" t="s">
        <v>1657</v>
      </c>
      <c r="K1157" t="s">
        <v>48</v>
      </c>
      <c r="M1157" t="s">
        <v>24</v>
      </c>
      <c r="N1157">
        <v>9</v>
      </c>
    </row>
    <row r="1158" spans="1:15" x14ac:dyDescent="0.2">
      <c r="A1158" t="s">
        <v>1658</v>
      </c>
      <c r="B1158" t="s">
        <v>16</v>
      </c>
      <c r="C1158" t="s">
        <v>17</v>
      </c>
      <c r="D1158" s="1">
        <v>33699</v>
      </c>
      <c r="E1158" s="1">
        <v>45331</v>
      </c>
      <c r="F1158" s="1">
        <v>45341</v>
      </c>
      <c r="G1158" t="s">
        <v>18</v>
      </c>
      <c r="H1158" t="s">
        <v>75</v>
      </c>
      <c r="I1158" t="s">
        <v>57</v>
      </c>
      <c r="J1158" t="s">
        <v>1659</v>
      </c>
      <c r="K1158" t="s">
        <v>43</v>
      </c>
      <c r="L1158" t="s">
        <v>23</v>
      </c>
      <c r="M1158" t="s">
        <v>35</v>
      </c>
      <c r="N1158">
        <v>1</v>
      </c>
      <c r="O1158" t="s">
        <v>25</v>
      </c>
    </row>
    <row r="1159" spans="1:15" x14ac:dyDescent="0.2">
      <c r="A1159" t="s">
        <v>1660</v>
      </c>
      <c r="B1159" t="s">
        <v>82</v>
      </c>
      <c r="C1159" t="s">
        <v>28</v>
      </c>
      <c r="D1159" s="1">
        <v>31693</v>
      </c>
      <c r="E1159" s="1">
        <v>45468</v>
      </c>
      <c r="F1159" s="1">
        <v>45469</v>
      </c>
      <c r="G1159" t="s">
        <v>83</v>
      </c>
      <c r="H1159" t="s">
        <v>52</v>
      </c>
      <c r="I1159" t="s">
        <v>53</v>
      </c>
      <c r="J1159" t="s">
        <v>1661</v>
      </c>
      <c r="K1159" t="s">
        <v>22</v>
      </c>
      <c r="M1159" t="s">
        <v>35</v>
      </c>
      <c r="N1159">
        <v>1</v>
      </c>
      <c r="O1159" t="s">
        <v>36</v>
      </c>
    </row>
    <row r="1160" spans="1:15" x14ac:dyDescent="0.2">
      <c r="A1160" t="s">
        <v>1662</v>
      </c>
      <c r="B1160" t="s">
        <v>80</v>
      </c>
      <c r="C1160" t="s">
        <v>92</v>
      </c>
      <c r="D1160" s="1">
        <v>24144</v>
      </c>
      <c r="E1160" s="1">
        <v>45354</v>
      </c>
      <c r="F1160" s="1">
        <v>45355</v>
      </c>
      <c r="G1160" t="s">
        <v>40</v>
      </c>
      <c r="H1160" t="s">
        <v>75</v>
      </c>
      <c r="I1160" t="s">
        <v>67</v>
      </c>
      <c r="J1160" t="s">
        <v>1663</v>
      </c>
      <c r="K1160" t="s">
        <v>43</v>
      </c>
      <c r="L1160" t="s">
        <v>34</v>
      </c>
      <c r="M1160" t="s">
        <v>35</v>
      </c>
      <c r="N1160">
        <v>9</v>
      </c>
    </row>
    <row r="1161" spans="1:15" x14ac:dyDescent="0.2">
      <c r="A1161">
        <v>1159</v>
      </c>
      <c r="B1161" t="s">
        <v>140</v>
      </c>
      <c r="C1161" t="s">
        <v>39</v>
      </c>
      <c r="D1161" s="1">
        <v>33251</v>
      </c>
      <c r="E1161" s="1">
        <v>45354</v>
      </c>
      <c r="F1161" s="1">
        <v>45363</v>
      </c>
      <c r="G1161" t="s">
        <v>40</v>
      </c>
      <c r="H1161" t="s">
        <v>61</v>
      </c>
      <c r="I1161" t="s">
        <v>76</v>
      </c>
      <c r="J1161" t="s">
        <v>1664</v>
      </c>
      <c r="K1161" t="s">
        <v>22</v>
      </c>
      <c r="M1161" t="s">
        <v>78</v>
      </c>
      <c r="N1161">
        <v>2</v>
      </c>
    </row>
    <row r="1162" spans="1:15" x14ac:dyDescent="0.2">
      <c r="A1162">
        <v>1160</v>
      </c>
      <c r="B1162" t="s">
        <v>16</v>
      </c>
      <c r="C1162" t="s">
        <v>49</v>
      </c>
      <c r="D1162" s="1">
        <v>36035</v>
      </c>
      <c r="E1162" s="1">
        <v>45337</v>
      </c>
      <c r="F1162" s="1">
        <v>45341</v>
      </c>
      <c r="G1162" t="s">
        <v>40</v>
      </c>
      <c r="H1162" t="s">
        <v>30</v>
      </c>
      <c r="I1162" t="s">
        <v>41</v>
      </c>
      <c r="J1162" t="s">
        <v>1665</v>
      </c>
      <c r="K1162" t="s">
        <v>48</v>
      </c>
      <c r="L1162" t="s">
        <v>23</v>
      </c>
      <c r="M1162" t="s">
        <v>35</v>
      </c>
      <c r="N1162">
        <v>13</v>
      </c>
      <c r="O1162" t="s">
        <v>25</v>
      </c>
    </row>
    <row r="1163" spans="1:15" x14ac:dyDescent="0.2">
      <c r="A1163" t="s">
        <v>1666</v>
      </c>
      <c r="B1163" t="s">
        <v>91</v>
      </c>
      <c r="C1163" t="s">
        <v>49</v>
      </c>
      <c r="D1163" s="1">
        <v>38212</v>
      </c>
      <c r="E1163" s="1">
        <v>45317</v>
      </c>
      <c r="F1163" s="1">
        <v>45320</v>
      </c>
      <c r="G1163" t="s">
        <v>18</v>
      </c>
      <c r="H1163" t="s">
        <v>75</v>
      </c>
      <c r="I1163" t="s">
        <v>41</v>
      </c>
      <c r="J1163">
        <v>229</v>
      </c>
      <c r="K1163" t="s">
        <v>33</v>
      </c>
      <c r="L1163" t="s">
        <v>34</v>
      </c>
      <c r="M1163" t="s">
        <v>78</v>
      </c>
      <c r="N1163">
        <v>8</v>
      </c>
      <c r="O1163" t="s">
        <v>36</v>
      </c>
    </row>
    <row r="1164" spans="1:15" x14ac:dyDescent="0.2">
      <c r="A1164">
        <v>1162</v>
      </c>
      <c r="B1164" t="s">
        <v>16</v>
      </c>
      <c r="C1164" t="s">
        <v>49</v>
      </c>
      <c r="D1164" s="1">
        <v>19687</v>
      </c>
      <c r="E1164" s="1">
        <v>45453</v>
      </c>
      <c r="F1164" s="1">
        <v>45456</v>
      </c>
      <c r="G1164" t="s">
        <v>72</v>
      </c>
      <c r="H1164" t="s">
        <v>61</v>
      </c>
      <c r="I1164" t="s">
        <v>57</v>
      </c>
      <c r="J1164" t="s">
        <v>1667</v>
      </c>
      <c r="K1164" t="s">
        <v>22</v>
      </c>
      <c r="L1164" t="s">
        <v>34</v>
      </c>
      <c r="M1164" t="s">
        <v>24</v>
      </c>
    </row>
    <row r="1165" spans="1:15" x14ac:dyDescent="0.2">
      <c r="A1165">
        <v>1163</v>
      </c>
      <c r="B1165" t="s">
        <v>82</v>
      </c>
      <c r="C1165" t="s">
        <v>17</v>
      </c>
      <c r="D1165" s="1">
        <v>33358</v>
      </c>
      <c r="E1165" s="1">
        <v>45382</v>
      </c>
      <c r="F1165" s="1">
        <v>45391</v>
      </c>
      <c r="G1165" t="s">
        <v>40</v>
      </c>
      <c r="H1165" t="s">
        <v>75</v>
      </c>
      <c r="I1165" t="s">
        <v>31</v>
      </c>
      <c r="J1165">
        <v>816</v>
      </c>
      <c r="K1165" t="s">
        <v>22</v>
      </c>
      <c r="L1165" t="s">
        <v>34</v>
      </c>
      <c r="M1165" t="s">
        <v>24</v>
      </c>
      <c r="N1165">
        <v>3</v>
      </c>
    </row>
    <row r="1166" spans="1:15" x14ac:dyDescent="0.2">
      <c r="A1166">
        <v>1164</v>
      </c>
      <c r="B1166" t="s">
        <v>118</v>
      </c>
      <c r="C1166" t="s">
        <v>92</v>
      </c>
      <c r="D1166" s="1">
        <v>31346</v>
      </c>
      <c r="E1166" s="1">
        <v>45335</v>
      </c>
      <c r="F1166" s="1">
        <v>45337</v>
      </c>
      <c r="G1166" t="s">
        <v>83</v>
      </c>
      <c r="H1166" t="s">
        <v>19</v>
      </c>
      <c r="I1166" t="s">
        <v>67</v>
      </c>
      <c r="J1166" t="s">
        <v>1668</v>
      </c>
      <c r="K1166" t="s">
        <v>33</v>
      </c>
      <c r="M1166" t="s">
        <v>35</v>
      </c>
      <c r="N1166">
        <v>11</v>
      </c>
      <c r="O1166" t="s">
        <v>36</v>
      </c>
    </row>
    <row r="1167" spans="1:15" x14ac:dyDescent="0.2">
      <c r="A1167" t="s">
        <v>1669</v>
      </c>
      <c r="B1167" t="s">
        <v>64</v>
      </c>
      <c r="C1167" t="s">
        <v>39</v>
      </c>
      <c r="D1167" s="1">
        <v>32824</v>
      </c>
      <c r="E1167" s="1">
        <v>45326</v>
      </c>
      <c r="F1167" s="1">
        <v>45337</v>
      </c>
      <c r="G1167" t="s">
        <v>46</v>
      </c>
      <c r="I1167" t="s">
        <v>57</v>
      </c>
      <c r="J1167">
        <v>943</v>
      </c>
      <c r="K1167" t="s">
        <v>43</v>
      </c>
      <c r="M1167" t="s">
        <v>35</v>
      </c>
      <c r="N1167">
        <v>10</v>
      </c>
    </row>
    <row r="1168" spans="1:15" x14ac:dyDescent="0.2">
      <c r="A1168">
        <v>1166</v>
      </c>
      <c r="B1168" t="s">
        <v>56</v>
      </c>
      <c r="C1168" t="s">
        <v>17</v>
      </c>
      <c r="D1168" s="1">
        <v>36693</v>
      </c>
      <c r="E1168" s="1">
        <v>45433</v>
      </c>
      <c r="F1168" s="1">
        <v>45444</v>
      </c>
      <c r="G1168" t="s">
        <v>60</v>
      </c>
      <c r="H1168" t="s">
        <v>61</v>
      </c>
      <c r="I1168" t="s">
        <v>31</v>
      </c>
      <c r="J1168" t="s">
        <v>1670</v>
      </c>
      <c r="K1168" t="s">
        <v>71</v>
      </c>
      <c r="M1168" t="s">
        <v>35</v>
      </c>
      <c r="N1168">
        <v>4</v>
      </c>
    </row>
    <row r="1169" spans="1:15" x14ac:dyDescent="0.2">
      <c r="A1169" t="s">
        <v>1671</v>
      </c>
      <c r="B1169" t="s">
        <v>45</v>
      </c>
      <c r="C1169" t="s">
        <v>17</v>
      </c>
      <c r="D1169" s="1">
        <v>31730</v>
      </c>
      <c r="E1169" s="1">
        <v>45354</v>
      </c>
      <c r="F1169" s="1">
        <v>45363</v>
      </c>
      <c r="G1169" t="s">
        <v>50</v>
      </c>
      <c r="H1169" t="s">
        <v>19</v>
      </c>
      <c r="I1169" t="s">
        <v>53</v>
      </c>
      <c r="J1169" t="s">
        <v>1672</v>
      </c>
      <c r="K1169" t="s">
        <v>71</v>
      </c>
      <c r="M1169" t="s">
        <v>24</v>
      </c>
      <c r="N1169">
        <v>5</v>
      </c>
      <c r="O1169" t="s">
        <v>36</v>
      </c>
    </row>
    <row r="1170" spans="1:15" x14ac:dyDescent="0.2">
      <c r="A1170">
        <v>1168</v>
      </c>
      <c r="B1170" t="s">
        <v>64</v>
      </c>
      <c r="C1170" t="s">
        <v>39</v>
      </c>
      <c r="D1170" s="1">
        <v>38086</v>
      </c>
      <c r="E1170" s="1">
        <v>45461</v>
      </c>
      <c r="F1170" s="1">
        <v>45467</v>
      </c>
      <c r="G1170" t="s">
        <v>74</v>
      </c>
      <c r="I1170" t="s">
        <v>20</v>
      </c>
      <c r="J1170">
        <v>435</v>
      </c>
      <c r="K1170" t="s">
        <v>22</v>
      </c>
      <c r="M1170" t="s">
        <v>35</v>
      </c>
      <c r="N1170">
        <v>5</v>
      </c>
    </row>
    <row r="1171" spans="1:15" x14ac:dyDescent="0.2">
      <c r="A1171" t="s">
        <v>1673</v>
      </c>
      <c r="B1171" t="s">
        <v>80</v>
      </c>
      <c r="C1171" t="s">
        <v>17</v>
      </c>
      <c r="D1171" s="1">
        <v>36101</v>
      </c>
      <c r="E1171" s="1">
        <v>45361</v>
      </c>
      <c r="F1171" s="1">
        <v>45363</v>
      </c>
      <c r="G1171" t="s">
        <v>88</v>
      </c>
      <c r="H1171" t="s">
        <v>61</v>
      </c>
      <c r="I1171" t="s">
        <v>57</v>
      </c>
      <c r="J1171" t="s">
        <v>1674</v>
      </c>
      <c r="K1171" t="s">
        <v>48</v>
      </c>
      <c r="M1171" t="s">
        <v>78</v>
      </c>
      <c r="N1171">
        <v>14</v>
      </c>
    </row>
    <row r="1172" spans="1:15" x14ac:dyDescent="0.2">
      <c r="A1172" t="s">
        <v>1675</v>
      </c>
      <c r="B1172" t="s">
        <v>91</v>
      </c>
      <c r="C1172" t="s">
        <v>65</v>
      </c>
      <c r="D1172" s="1">
        <v>37761</v>
      </c>
      <c r="E1172" s="1">
        <v>45359</v>
      </c>
      <c r="F1172" s="1">
        <v>45366</v>
      </c>
      <c r="G1172" t="s">
        <v>88</v>
      </c>
      <c r="H1172" t="s">
        <v>52</v>
      </c>
      <c r="I1172" t="s">
        <v>76</v>
      </c>
      <c r="J1172" t="s">
        <v>222</v>
      </c>
      <c r="K1172" t="s">
        <v>48</v>
      </c>
      <c r="L1172" t="s">
        <v>34</v>
      </c>
      <c r="M1172" t="s">
        <v>35</v>
      </c>
      <c r="O1172" t="s">
        <v>36</v>
      </c>
    </row>
    <row r="1173" spans="1:15" x14ac:dyDescent="0.2">
      <c r="A1173" t="s">
        <v>1676</v>
      </c>
      <c r="B1173" t="s">
        <v>118</v>
      </c>
      <c r="C1173" t="s">
        <v>39</v>
      </c>
      <c r="D1173" s="1">
        <v>31479</v>
      </c>
      <c r="E1173" s="1">
        <v>45443</v>
      </c>
      <c r="F1173" s="1">
        <v>45444</v>
      </c>
      <c r="G1173" t="s">
        <v>29</v>
      </c>
      <c r="H1173" t="s">
        <v>30</v>
      </c>
      <c r="I1173" t="s">
        <v>20</v>
      </c>
      <c r="J1173" t="s">
        <v>1677</v>
      </c>
      <c r="K1173" t="s">
        <v>43</v>
      </c>
      <c r="L1173" t="s">
        <v>23</v>
      </c>
      <c r="M1173" t="s">
        <v>78</v>
      </c>
      <c r="N1173">
        <v>11</v>
      </c>
      <c r="O1173" t="s">
        <v>36</v>
      </c>
    </row>
    <row r="1174" spans="1:15" x14ac:dyDescent="0.2">
      <c r="A1174">
        <v>1172</v>
      </c>
      <c r="B1174" t="s">
        <v>114</v>
      </c>
      <c r="C1174" t="s">
        <v>65</v>
      </c>
      <c r="D1174" s="1">
        <v>19960</v>
      </c>
      <c r="E1174" s="1">
        <v>45296</v>
      </c>
      <c r="F1174" s="1">
        <v>45299</v>
      </c>
      <c r="G1174" t="s">
        <v>72</v>
      </c>
      <c r="I1174" t="s">
        <v>20</v>
      </c>
      <c r="J1174" t="s">
        <v>1678</v>
      </c>
      <c r="K1174" t="s">
        <v>22</v>
      </c>
      <c r="M1174" t="s">
        <v>78</v>
      </c>
      <c r="N1174">
        <v>2</v>
      </c>
      <c r="O1174" t="s">
        <v>25</v>
      </c>
    </row>
    <row r="1175" spans="1:15" x14ac:dyDescent="0.2">
      <c r="A1175" t="s">
        <v>1679</v>
      </c>
      <c r="B1175" t="s">
        <v>38</v>
      </c>
      <c r="C1175" t="s">
        <v>92</v>
      </c>
      <c r="D1175" s="1">
        <v>28193</v>
      </c>
      <c r="E1175" s="1">
        <v>45325</v>
      </c>
      <c r="F1175" s="1">
        <v>45330</v>
      </c>
      <c r="G1175" t="s">
        <v>29</v>
      </c>
      <c r="H1175" t="s">
        <v>61</v>
      </c>
      <c r="I1175" t="s">
        <v>76</v>
      </c>
      <c r="J1175" t="s">
        <v>1680</v>
      </c>
      <c r="K1175" t="s">
        <v>33</v>
      </c>
      <c r="L1175" t="s">
        <v>34</v>
      </c>
      <c r="M1175" t="s">
        <v>78</v>
      </c>
      <c r="O1175" t="s">
        <v>25</v>
      </c>
    </row>
    <row r="1176" spans="1:15" x14ac:dyDescent="0.2">
      <c r="A1176" t="s">
        <v>1681</v>
      </c>
      <c r="B1176" t="s">
        <v>59</v>
      </c>
      <c r="C1176" t="s">
        <v>92</v>
      </c>
      <c r="D1176" s="1">
        <v>38294</v>
      </c>
      <c r="E1176" s="1">
        <v>45414</v>
      </c>
      <c r="F1176" s="1">
        <v>45421</v>
      </c>
      <c r="G1176" t="s">
        <v>46</v>
      </c>
      <c r="I1176" t="s">
        <v>67</v>
      </c>
      <c r="J1176" t="s">
        <v>1682</v>
      </c>
      <c r="K1176" t="s">
        <v>33</v>
      </c>
      <c r="L1176" t="s">
        <v>23</v>
      </c>
      <c r="M1176" t="s">
        <v>35</v>
      </c>
      <c r="N1176">
        <v>11</v>
      </c>
    </row>
    <row r="1177" spans="1:15" x14ac:dyDescent="0.2">
      <c r="A1177">
        <v>1175</v>
      </c>
      <c r="B1177" t="s">
        <v>114</v>
      </c>
      <c r="C1177" t="s">
        <v>39</v>
      </c>
      <c r="D1177" s="1">
        <v>19227</v>
      </c>
      <c r="E1177" s="1">
        <v>45419</v>
      </c>
      <c r="F1177" s="1">
        <v>45426</v>
      </c>
      <c r="G1177" t="s">
        <v>40</v>
      </c>
      <c r="H1177" t="s">
        <v>30</v>
      </c>
      <c r="I1177" t="s">
        <v>53</v>
      </c>
      <c r="J1177" t="s">
        <v>1683</v>
      </c>
      <c r="K1177" t="s">
        <v>43</v>
      </c>
      <c r="L1177" t="s">
        <v>23</v>
      </c>
      <c r="M1177" t="s">
        <v>24</v>
      </c>
      <c r="N1177">
        <v>3</v>
      </c>
      <c r="O1177" t="s">
        <v>25</v>
      </c>
    </row>
    <row r="1178" spans="1:15" x14ac:dyDescent="0.2">
      <c r="A1178" t="s">
        <v>1684</v>
      </c>
      <c r="B1178" t="s">
        <v>27</v>
      </c>
      <c r="C1178" t="s">
        <v>97</v>
      </c>
      <c r="D1178" s="1">
        <v>28505</v>
      </c>
      <c r="E1178" s="1">
        <v>45417</v>
      </c>
      <c r="F1178" s="1">
        <v>45422</v>
      </c>
      <c r="G1178" t="s">
        <v>83</v>
      </c>
      <c r="H1178" t="s">
        <v>52</v>
      </c>
      <c r="I1178" t="s">
        <v>20</v>
      </c>
      <c r="J1178" t="s">
        <v>1644</v>
      </c>
      <c r="K1178" t="s">
        <v>48</v>
      </c>
      <c r="L1178" t="s">
        <v>23</v>
      </c>
      <c r="M1178" t="s">
        <v>78</v>
      </c>
      <c r="O1178" t="s">
        <v>25</v>
      </c>
    </row>
    <row r="1179" spans="1:15" x14ac:dyDescent="0.2">
      <c r="A1179" t="s">
        <v>1685</v>
      </c>
      <c r="B1179" t="s">
        <v>150</v>
      </c>
      <c r="C1179" t="s">
        <v>49</v>
      </c>
      <c r="D1179" s="1">
        <v>33740</v>
      </c>
      <c r="E1179" s="1">
        <v>45455</v>
      </c>
      <c r="F1179" s="1">
        <v>45463</v>
      </c>
      <c r="G1179" t="s">
        <v>46</v>
      </c>
      <c r="H1179" t="s">
        <v>19</v>
      </c>
      <c r="I1179" t="s">
        <v>41</v>
      </c>
      <c r="J1179" t="s">
        <v>1686</v>
      </c>
      <c r="K1179" t="s">
        <v>43</v>
      </c>
      <c r="M1179" t="s">
        <v>24</v>
      </c>
      <c r="N1179">
        <v>11</v>
      </c>
      <c r="O1179" t="s">
        <v>36</v>
      </c>
    </row>
    <row r="1180" spans="1:15" x14ac:dyDescent="0.2">
      <c r="A1180" t="s">
        <v>1687</v>
      </c>
      <c r="B1180" t="s">
        <v>59</v>
      </c>
      <c r="C1180" t="s">
        <v>97</v>
      </c>
      <c r="D1180" s="1">
        <v>24193</v>
      </c>
      <c r="E1180" s="1">
        <v>45335</v>
      </c>
      <c r="G1180" t="s">
        <v>83</v>
      </c>
      <c r="H1180" t="s">
        <v>66</v>
      </c>
      <c r="I1180" t="s">
        <v>76</v>
      </c>
      <c r="J1180" t="s">
        <v>1688</v>
      </c>
      <c r="K1180" t="s">
        <v>71</v>
      </c>
      <c r="M1180" t="s">
        <v>24</v>
      </c>
      <c r="O1180" t="s">
        <v>25</v>
      </c>
    </row>
    <row r="1181" spans="1:15" x14ac:dyDescent="0.2">
      <c r="A1181" t="s">
        <v>1689</v>
      </c>
      <c r="B1181" t="s">
        <v>59</v>
      </c>
      <c r="C1181" t="s">
        <v>17</v>
      </c>
      <c r="D1181" s="1">
        <v>35601</v>
      </c>
      <c r="E1181" s="1">
        <v>45384</v>
      </c>
      <c r="F1181" s="1">
        <v>45389</v>
      </c>
      <c r="G1181" t="s">
        <v>100</v>
      </c>
      <c r="H1181" t="s">
        <v>30</v>
      </c>
      <c r="I1181" t="s">
        <v>31</v>
      </c>
      <c r="J1181" t="s">
        <v>1690</v>
      </c>
      <c r="K1181" t="s">
        <v>33</v>
      </c>
      <c r="L1181" t="s">
        <v>23</v>
      </c>
      <c r="M1181" t="s">
        <v>78</v>
      </c>
      <c r="N1181">
        <v>5</v>
      </c>
      <c r="O1181" t="s">
        <v>36</v>
      </c>
    </row>
    <row r="1182" spans="1:15" x14ac:dyDescent="0.2">
      <c r="A1182" t="s">
        <v>1691</v>
      </c>
      <c r="B1182" t="s">
        <v>45</v>
      </c>
      <c r="C1182" t="s">
        <v>17</v>
      </c>
      <c r="D1182" s="1">
        <v>33378</v>
      </c>
      <c r="E1182" s="1">
        <v>45383</v>
      </c>
      <c r="F1182" s="1">
        <v>45393</v>
      </c>
      <c r="G1182" t="s">
        <v>50</v>
      </c>
      <c r="H1182" t="s">
        <v>30</v>
      </c>
      <c r="I1182" t="s">
        <v>31</v>
      </c>
      <c r="J1182" t="s">
        <v>1154</v>
      </c>
      <c r="K1182" t="s">
        <v>48</v>
      </c>
      <c r="M1182" t="s">
        <v>35</v>
      </c>
      <c r="N1182">
        <v>9</v>
      </c>
      <c r="O1182" t="s">
        <v>25</v>
      </c>
    </row>
    <row r="1183" spans="1:15" x14ac:dyDescent="0.2">
      <c r="A1183" t="s">
        <v>1692</v>
      </c>
      <c r="B1183" t="s">
        <v>51</v>
      </c>
      <c r="C1183" t="s">
        <v>17</v>
      </c>
      <c r="D1183" s="1">
        <v>35626</v>
      </c>
      <c r="E1183" s="1">
        <v>45399</v>
      </c>
      <c r="F1183" s="1">
        <v>45401</v>
      </c>
      <c r="G1183" t="s">
        <v>50</v>
      </c>
      <c r="I1183" t="s">
        <v>53</v>
      </c>
      <c r="J1183" t="s">
        <v>1693</v>
      </c>
      <c r="K1183" t="s">
        <v>71</v>
      </c>
      <c r="L1183" t="s">
        <v>34</v>
      </c>
      <c r="M1183" t="s">
        <v>24</v>
      </c>
      <c r="N1183">
        <v>9</v>
      </c>
      <c r="O1183" t="s">
        <v>25</v>
      </c>
    </row>
    <row r="1184" spans="1:15" x14ac:dyDescent="0.2">
      <c r="A1184" t="s">
        <v>1694</v>
      </c>
      <c r="B1184" t="s">
        <v>150</v>
      </c>
      <c r="C1184" t="s">
        <v>92</v>
      </c>
      <c r="D1184" s="1">
        <v>23968</v>
      </c>
      <c r="E1184" s="1">
        <v>45431</v>
      </c>
      <c r="F1184" s="1">
        <v>45436</v>
      </c>
      <c r="G1184" t="s">
        <v>46</v>
      </c>
      <c r="H1184" t="s">
        <v>30</v>
      </c>
      <c r="I1184" t="s">
        <v>53</v>
      </c>
      <c r="J1184" t="s">
        <v>1695</v>
      </c>
      <c r="K1184" t="s">
        <v>22</v>
      </c>
      <c r="L1184" t="s">
        <v>34</v>
      </c>
      <c r="M1184" t="s">
        <v>78</v>
      </c>
      <c r="N1184">
        <v>7</v>
      </c>
      <c r="O1184" t="s">
        <v>36</v>
      </c>
    </row>
    <row r="1185" spans="1:15" x14ac:dyDescent="0.2">
      <c r="A1185" t="s">
        <v>1696</v>
      </c>
      <c r="B1185" t="s">
        <v>51</v>
      </c>
      <c r="C1185" t="s">
        <v>92</v>
      </c>
      <c r="D1185" s="1">
        <v>25683</v>
      </c>
      <c r="E1185" s="1">
        <v>45423</v>
      </c>
      <c r="G1185" t="s">
        <v>18</v>
      </c>
      <c r="I1185" t="s">
        <v>20</v>
      </c>
      <c r="J1185">
        <v>829</v>
      </c>
      <c r="K1185" t="s">
        <v>71</v>
      </c>
      <c r="L1185" t="s">
        <v>23</v>
      </c>
      <c r="M1185" t="s">
        <v>78</v>
      </c>
      <c r="O1185" t="s">
        <v>36</v>
      </c>
    </row>
    <row r="1186" spans="1:15" x14ac:dyDescent="0.2">
      <c r="A1186">
        <v>1184</v>
      </c>
      <c r="B1186" t="s">
        <v>150</v>
      </c>
      <c r="C1186" t="s">
        <v>49</v>
      </c>
      <c r="D1186" s="1">
        <v>33966</v>
      </c>
      <c r="E1186" s="1">
        <v>45388</v>
      </c>
      <c r="F1186" s="1">
        <v>45395</v>
      </c>
      <c r="G1186" t="s">
        <v>60</v>
      </c>
      <c r="H1186" t="s">
        <v>52</v>
      </c>
      <c r="I1186" t="s">
        <v>67</v>
      </c>
      <c r="J1186" t="s">
        <v>1697</v>
      </c>
      <c r="K1186" t="s">
        <v>43</v>
      </c>
      <c r="M1186" t="s">
        <v>78</v>
      </c>
      <c r="N1186">
        <v>7</v>
      </c>
      <c r="O1186" t="s">
        <v>36</v>
      </c>
    </row>
    <row r="1187" spans="1:15" x14ac:dyDescent="0.2">
      <c r="A1187">
        <v>1185</v>
      </c>
      <c r="B1187" t="s">
        <v>80</v>
      </c>
      <c r="C1187" t="s">
        <v>65</v>
      </c>
      <c r="D1187" s="1">
        <v>37516</v>
      </c>
      <c r="E1187" s="1">
        <v>45468</v>
      </c>
      <c r="G1187" t="s">
        <v>40</v>
      </c>
      <c r="H1187" t="s">
        <v>61</v>
      </c>
      <c r="I1187" t="s">
        <v>57</v>
      </c>
      <c r="J1187">
        <v>796</v>
      </c>
      <c r="K1187" t="s">
        <v>22</v>
      </c>
      <c r="L1187" t="s">
        <v>34</v>
      </c>
      <c r="M1187" t="s">
        <v>24</v>
      </c>
      <c r="N1187">
        <v>14</v>
      </c>
    </row>
    <row r="1188" spans="1:15" x14ac:dyDescent="0.2">
      <c r="A1188" t="s">
        <v>1698</v>
      </c>
      <c r="B1188" t="s">
        <v>59</v>
      </c>
      <c r="C1188" t="s">
        <v>97</v>
      </c>
      <c r="D1188" s="1">
        <v>21383</v>
      </c>
      <c r="E1188" s="1">
        <v>45430</v>
      </c>
      <c r="F1188" s="1">
        <v>45435</v>
      </c>
      <c r="G1188" t="s">
        <v>46</v>
      </c>
      <c r="H1188" t="s">
        <v>75</v>
      </c>
      <c r="I1188" t="s">
        <v>31</v>
      </c>
      <c r="J1188" t="s">
        <v>1699</v>
      </c>
      <c r="K1188" t="s">
        <v>43</v>
      </c>
      <c r="M1188" t="s">
        <v>24</v>
      </c>
      <c r="N1188">
        <v>15</v>
      </c>
    </row>
    <row r="1189" spans="1:15" x14ac:dyDescent="0.2">
      <c r="A1189" t="s">
        <v>1700</v>
      </c>
      <c r="B1189" t="s">
        <v>114</v>
      </c>
      <c r="C1189" t="s">
        <v>65</v>
      </c>
      <c r="D1189" s="1">
        <v>30411</v>
      </c>
      <c r="E1189" s="1">
        <v>45335</v>
      </c>
      <c r="F1189" s="1">
        <v>45350</v>
      </c>
      <c r="G1189" t="s">
        <v>83</v>
      </c>
      <c r="H1189" t="s">
        <v>75</v>
      </c>
      <c r="I1189" t="s">
        <v>53</v>
      </c>
      <c r="J1189" t="s">
        <v>1701</v>
      </c>
      <c r="K1189" t="s">
        <v>43</v>
      </c>
      <c r="L1189" t="s">
        <v>23</v>
      </c>
      <c r="M1189" t="s">
        <v>24</v>
      </c>
      <c r="N1189">
        <v>14</v>
      </c>
    </row>
    <row r="1190" spans="1:15" x14ac:dyDescent="0.2">
      <c r="A1190" t="s">
        <v>1702</v>
      </c>
      <c r="B1190" t="s">
        <v>140</v>
      </c>
      <c r="C1190" t="s">
        <v>97</v>
      </c>
      <c r="D1190" s="1">
        <v>20605</v>
      </c>
      <c r="E1190" s="1">
        <v>45441</v>
      </c>
      <c r="F1190" s="1">
        <v>45451</v>
      </c>
      <c r="G1190" t="s">
        <v>46</v>
      </c>
      <c r="H1190" t="s">
        <v>30</v>
      </c>
      <c r="I1190" t="s">
        <v>57</v>
      </c>
      <c r="J1190" t="s">
        <v>1703</v>
      </c>
      <c r="K1190" t="s">
        <v>43</v>
      </c>
      <c r="M1190" t="s">
        <v>35</v>
      </c>
      <c r="N1190">
        <v>15</v>
      </c>
      <c r="O1190" t="s">
        <v>36</v>
      </c>
    </row>
    <row r="1191" spans="1:15" x14ac:dyDescent="0.2">
      <c r="A1191" t="s">
        <v>1704</v>
      </c>
      <c r="B1191" t="s">
        <v>105</v>
      </c>
      <c r="C1191" t="s">
        <v>92</v>
      </c>
      <c r="D1191" s="1">
        <v>26871</v>
      </c>
      <c r="E1191" s="1">
        <v>45317</v>
      </c>
      <c r="F1191" s="1">
        <v>45321</v>
      </c>
      <c r="G1191" t="s">
        <v>100</v>
      </c>
      <c r="I1191" t="s">
        <v>41</v>
      </c>
      <c r="J1191">
        <v>427</v>
      </c>
      <c r="K1191" t="s">
        <v>43</v>
      </c>
      <c r="L1191" t="s">
        <v>34</v>
      </c>
      <c r="M1191" t="s">
        <v>35</v>
      </c>
      <c r="O1191" t="s">
        <v>25</v>
      </c>
    </row>
    <row r="1192" spans="1:15" x14ac:dyDescent="0.2">
      <c r="A1192" t="s">
        <v>1705</v>
      </c>
      <c r="B1192" t="s">
        <v>64</v>
      </c>
      <c r="C1192" t="s">
        <v>97</v>
      </c>
      <c r="D1192" s="1">
        <v>35570</v>
      </c>
      <c r="E1192" s="1">
        <v>45403</v>
      </c>
      <c r="F1192" s="1">
        <v>45413</v>
      </c>
      <c r="G1192" t="s">
        <v>18</v>
      </c>
      <c r="H1192" t="s">
        <v>19</v>
      </c>
      <c r="I1192" t="s">
        <v>41</v>
      </c>
      <c r="J1192" t="s">
        <v>1706</v>
      </c>
      <c r="K1192" t="s">
        <v>33</v>
      </c>
      <c r="M1192" t="s">
        <v>24</v>
      </c>
      <c r="O1192" t="s">
        <v>25</v>
      </c>
    </row>
    <row r="1193" spans="1:15" x14ac:dyDescent="0.2">
      <c r="A1193" t="s">
        <v>1707</v>
      </c>
      <c r="B1193" t="s">
        <v>85</v>
      </c>
      <c r="C1193" t="s">
        <v>49</v>
      </c>
      <c r="D1193" s="1">
        <v>37035</v>
      </c>
      <c r="E1193" s="1">
        <v>45318</v>
      </c>
      <c r="F1193" s="1">
        <v>45319</v>
      </c>
      <c r="G1193" t="s">
        <v>83</v>
      </c>
      <c r="H1193" t="s">
        <v>52</v>
      </c>
      <c r="I1193" t="s">
        <v>57</v>
      </c>
      <c r="J1193">
        <v>970</v>
      </c>
      <c r="K1193" t="s">
        <v>43</v>
      </c>
      <c r="L1193" t="s">
        <v>23</v>
      </c>
      <c r="M1193" t="s">
        <v>35</v>
      </c>
      <c r="N1193">
        <v>6</v>
      </c>
      <c r="O1193" t="s">
        <v>25</v>
      </c>
    </row>
    <row r="1194" spans="1:15" x14ac:dyDescent="0.2">
      <c r="A1194" t="s">
        <v>1708</v>
      </c>
      <c r="B1194" t="s">
        <v>59</v>
      </c>
      <c r="C1194" t="s">
        <v>49</v>
      </c>
      <c r="D1194" s="1">
        <v>34798</v>
      </c>
      <c r="E1194" s="1">
        <v>45410</v>
      </c>
      <c r="F1194" s="1">
        <v>45421</v>
      </c>
      <c r="G1194" t="s">
        <v>50</v>
      </c>
      <c r="H1194" t="s">
        <v>52</v>
      </c>
      <c r="I1194" t="s">
        <v>53</v>
      </c>
      <c r="J1194" t="s">
        <v>1709</v>
      </c>
      <c r="K1194" t="s">
        <v>48</v>
      </c>
      <c r="L1194" t="s">
        <v>34</v>
      </c>
      <c r="M1194" t="s">
        <v>24</v>
      </c>
    </row>
    <row r="1195" spans="1:15" x14ac:dyDescent="0.2">
      <c r="A1195" t="s">
        <v>1710</v>
      </c>
      <c r="B1195" t="s">
        <v>64</v>
      </c>
      <c r="C1195" t="s">
        <v>97</v>
      </c>
      <c r="D1195" s="1">
        <v>35717</v>
      </c>
      <c r="E1195" s="1">
        <v>45438</v>
      </c>
      <c r="F1195" s="1">
        <v>45449</v>
      </c>
      <c r="G1195" t="s">
        <v>83</v>
      </c>
      <c r="H1195" t="s">
        <v>66</v>
      </c>
      <c r="I1195" t="s">
        <v>67</v>
      </c>
      <c r="J1195" t="s">
        <v>170</v>
      </c>
      <c r="K1195" t="s">
        <v>43</v>
      </c>
      <c r="L1195" t="s">
        <v>34</v>
      </c>
      <c r="M1195" t="s">
        <v>24</v>
      </c>
      <c r="N1195">
        <v>14</v>
      </c>
    </row>
    <row r="1196" spans="1:15" x14ac:dyDescent="0.2">
      <c r="A1196" t="s">
        <v>1711</v>
      </c>
      <c r="B1196" t="s">
        <v>105</v>
      </c>
      <c r="C1196" t="s">
        <v>49</v>
      </c>
      <c r="D1196" s="1">
        <v>22295</v>
      </c>
      <c r="E1196" s="1">
        <v>45364</v>
      </c>
      <c r="G1196" t="s">
        <v>46</v>
      </c>
      <c r="H1196" t="s">
        <v>30</v>
      </c>
      <c r="I1196" t="s">
        <v>67</v>
      </c>
      <c r="J1196" t="s">
        <v>1712</v>
      </c>
      <c r="K1196" t="s">
        <v>71</v>
      </c>
      <c r="L1196" t="s">
        <v>34</v>
      </c>
      <c r="M1196" t="s">
        <v>78</v>
      </c>
      <c r="N1196">
        <v>13</v>
      </c>
    </row>
    <row r="1197" spans="1:15" x14ac:dyDescent="0.2">
      <c r="A1197">
        <v>1195</v>
      </c>
      <c r="B1197" t="s">
        <v>51</v>
      </c>
      <c r="C1197" t="s">
        <v>28</v>
      </c>
      <c r="D1197" s="1">
        <v>31438</v>
      </c>
      <c r="E1197" s="1">
        <v>45404</v>
      </c>
      <c r="F1197" s="1">
        <v>45410</v>
      </c>
      <c r="G1197" t="s">
        <v>18</v>
      </c>
      <c r="H1197" t="s">
        <v>52</v>
      </c>
      <c r="I1197" t="s">
        <v>67</v>
      </c>
      <c r="J1197" t="s">
        <v>1713</v>
      </c>
      <c r="K1197" t="s">
        <v>43</v>
      </c>
      <c r="L1197" t="s">
        <v>34</v>
      </c>
      <c r="M1197" t="s">
        <v>24</v>
      </c>
      <c r="O1197" t="s">
        <v>36</v>
      </c>
    </row>
    <row r="1198" spans="1:15" x14ac:dyDescent="0.2">
      <c r="A1198" t="s">
        <v>1714</v>
      </c>
      <c r="B1198" t="s">
        <v>59</v>
      </c>
      <c r="C1198" t="s">
        <v>39</v>
      </c>
      <c r="D1198" s="1">
        <v>32360</v>
      </c>
      <c r="E1198" s="1">
        <v>45385</v>
      </c>
      <c r="F1198" s="1">
        <v>45389</v>
      </c>
      <c r="G1198" t="s">
        <v>72</v>
      </c>
      <c r="H1198" t="s">
        <v>30</v>
      </c>
      <c r="I1198" t="s">
        <v>41</v>
      </c>
      <c r="J1198">
        <v>890</v>
      </c>
      <c r="K1198" t="s">
        <v>22</v>
      </c>
      <c r="M1198" t="s">
        <v>24</v>
      </c>
      <c r="O1198" t="s">
        <v>36</v>
      </c>
    </row>
    <row r="1199" spans="1:15" x14ac:dyDescent="0.2">
      <c r="A1199" t="s">
        <v>1715</v>
      </c>
      <c r="B1199" t="s">
        <v>16</v>
      </c>
      <c r="C1199" t="s">
        <v>28</v>
      </c>
      <c r="D1199" s="1">
        <v>27772</v>
      </c>
      <c r="E1199" s="1">
        <v>45392</v>
      </c>
      <c r="F1199" s="1">
        <v>45406</v>
      </c>
      <c r="G1199" t="s">
        <v>100</v>
      </c>
      <c r="H1199" t="s">
        <v>19</v>
      </c>
      <c r="I1199" t="s">
        <v>67</v>
      </c>
      <c r="J1199" t="s">
        <v>1716</v>
      </c>
      <c r="K1199" t="s">
        <v>22</v>
      </c>
      <c r="M1199" t="s">
        <v>24</v>
      </c>
      <c r="N1199">
        <v>1</v>
      </c>
      <c r="O1199" t="s">
        <v>36</v>
      </c>
    </row>
    <row r="1200" spans="1:15" x14ac:dyDescent="0.2">
      <c r="A1200" t="s">
        <v>1717</v>
      </c>
      <c r="B1200" t="s">
        <v>45</v>
      </c>
      <c r="C1200" t="s">
        <v>97</v>
      </c>
      <c r="D1200" s="1">
        <v>35343</v>
      </c>
      <c r="E1200" s="1">
        <v>45388</v>
      </c>
      <c r="F1200" s="1">
        <v>45402</v>
      </c>
      <c r="G1200" t="s">
        <v>74</v>
      </c>
      <c r="H1200" t="s">
        <v>66</v>
      </c>
      <c r="I1200" t="s">
        <v>20</v>
      </c>
      <c r="J1200">
        <v>1376</v>
      </c>
      <c r="K1200" t="s">
        <v>33</v>
      </c>
      <c r="L1200" t="s">
        <v>23</v>
      </c>
      <c r="M1200" t="s">
        <v>78</v>
      </c>
      <c r="N1200">
        <v>14</v>
      </c>
    </row>
    <row r="1201" spans="1:15" x14ac:dyDescent="0.2">
      <c r="A1201">
        <v>1199</v>
      </c>
      <c r="B1201" t="s">
        <v>82</v>
      </c>
      <c r="C1201" t="s">
        <v>39</v>
      </c>
      <c r="D1201" s="1">
        <v>26967</v>
      </c>
      <c r="E1201" s="1">
        <v>45387</v>
      </c>
      <c r="G1201" t="s">
        <v>72</v>
      </c>
      <c r="H1201" t="s">
        <v>61</v>
      </c>
      <c r="I1201" t="s">
        <v>57</v>
      </c>
      <c r="J1201" t="s">
        <v>1718</v>
      </c>
      <c r="K1201" t="s">
        <v>71</v>
      </c>
      <c r="L1201" t="s">
        <v>23</v>
      </c>
      <c r="M1201" t="s">
        <v>35</v>
      </c>
      <c r="O1201"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Cleaned data</vt:lpstr>
      <vt:lpstr>messy_hospital_dataset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Mugabe</dc:creator>
  <cp:lastModifiedBy>Patricia Mugabe</cp:lastModifiedBy>
  <dcterms:created xsi:type="dcterms:W3CDTF">2026-03-30T17:00:40Z</dcterms:created>
  <dcterms:modified xsi:type="dcterms:W3CDTF">2026-04-01T17:42:42Z</dcterms:modified>
</cp:coreProperties>
</file>